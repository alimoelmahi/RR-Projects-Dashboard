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C:\Users\marrian.gebreselassi\Downloads\"/>
    </mc:Choice>
  </mc:AlternateContent>
  <xr:revisionPtr revIDLastSave="0" documentId="8_{D46F1A26-6F5C-4CE0-B85B-8B7B0B209C47}" xr6:coauthVersionLast="47" xr6:coauthVersionMax="47" xr10:uidLastSave="{00000000-0000-0000-0000-000000000000}"/>
  <bookViews>
    <workbookView xWindow="28680" yWindow="-120" windowWidth="29040" windowHeight="15720" firstSheet="5" activeTab="5" xr2:uid="{D860F52A-5B5F-4EFF-A441-CFFE498E417E}"/>
  </bookViews>
  <sheets>
    <sheet name="Project_FactSheet" sheetId="1" r:id="rId1"/>
    <sheet name="NKuwait_Tracker" sheetId="2" r:id="rId2"/>
    <sheet name="Target_Associations" sheetId="6" r:id="rId3"/>
    <sheet name="Weekly_Updates" sheetId="3" r:id="rId4"/>
    <sheet name="WaterPumps" sheetId="4" r:id="rId5"/>
    <sheet name="Canal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5" l="1"/>
  <c r="F16" i="5"/>
  <c r="L23" i="6"/>
  <c r="A4" i="4"/>
  <c r="A5" i="4"/>
  <c r="A6" i="4"/>
  <c r="A7" i="4"/>
  <c r="A8" i="4"/>
  <c r="A9" i="4"/>
  <c r="A10" i="4"/>
  <c r="A11" i="4"/>
  <c r="A12" i="4"/>
  <c r="A13" i="4"/>
  <c r="A14" i="4"/>
  <c r="A15" i="4"/>
  <c r="A16" i="4"/>
  <c r="A17" i="4"/>
  <c r="A18" i="4"/>
  <c r="A19" i="4"/>
  <c r="A20" i="4"/>
  <c r="A21" i="4"/>
  <c r="A3" i="4"/>
  <c r="A4" i="5"/>
  <c r="A5" i="5"/>
  <c r="A6" i="5"/>
  <c r="A7" i="5"/>
  <c r="A8" i="5"/>
  <c r="A9" i="5"/>
  <c r="A10" i="5"/>
  <c r="A11" i="5"/>
  <c r="A12" i="5"/>
  <c r="A3" i="5"/>
  <c r="J22" i="6"/>
  <c r="O3" i="4"/>
  <c r="O4" i="4"/>
  <c r="O5" i="4"/>
  <c r="O6" i="4"/>
  <c r="O7" i="4"/>
  <c r="O8" i="4"/>
  <c r="O9" i="4"/>
  <c r="O10" i="4"/>
  <c r="O11" i="4"/>
  <c r="O12" i="4"/>
  <c r="O13" i="4"/>
  <c r="O14" i="4"/>
  <c r="O15" i="4"/>
  <c r="O16" i="4"/>
  <c r="O17" i="4"/>
  <c r="O18" i="4"/>
  <c r="O19" i="4"/>
  <c r="O20" i="4"/>
  <c r="O21" i="4"/>
  <c r="O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tc={FC2AEF7C-7CD5-47A3-B89B-7A7AEBA472F9}</author>
    <author>tc={CD5E1FD9-4D5C-488F-872F-E54785868904}</author>
    <author>tc={3980E2AD-7D83-4442-9D1D-422362F14B89}</author>
  </authors>
  <commentList>
    <comment ref="F1" authorId="0" shapeId="0" xr:uid="{FC2AEF7C-7CD5-47A3-B89B-7A7AEBA472F9}">
      <text>
        <t>[Threaded comment]
Your version of Excel allows you to read this threaded comment; however, any edits to it will get removed if the file is opened in a newer version of Excel. Learn more: https://go.microsoft.com/fwlink/?linkid=870924
Comment:
    @Sanaa Saeed / @Mustafa Hassan  please make sure the changed association is updated.
cc: @Yahya Mohammed 
Reply:
    Dear Marrian,Done</t>
      </text>
    </comment>
    <comment ref="K1" authorId="1" shapeId="0" xr:uid="{CD5E1FD9-4D5C-488F-872F-E54785868904}">
      <text>
        <t xml:space="preserve">[Threaded comment]
Your version of Excel allows you to read this threaded comment; however, any edits to it will get removed if the file is opened in a newer version of Excel. Learn more: https://go.microsoft.com/fwlink/?linkid=870924
Comment:
    I would put the two figures separately. e.g. in Diem Almashaikha the 30 feddans will only serve a limited number of poor families while the association has 1660 members. the vast majority of them are not targeted by the project. We can't inflate the number of beneficiaries based on association membership. </t>
      </text>
    </comment>
    <comment ref="J9" authorId="2" shapeId="0" xr:uid="{3980E2AD-7D83-4442-9D1D-422362F14B89}">
      <text>
        <t>[Threaded comment]
Your version of Excel allows you to read this threaded comment; however, any edits to it will get removed if the file is opened in a newer version of Excel. Learn more: https://go.microsoft.com/fwlink/?linkid=870924
Comment:
    @Sanaa Saeed  / @Mustafa Hassan  kindly advise if this number is accurate
cc: @Yahya Mohammed  / @Osama Tageldin 
Reply:
    Confirmed, the number is accurate as per the MoA report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tc={C580F9F8-0E80-4DA0-A941-0586CCD9ACF5}</author>
    <author>tc={630F5533-9927-4D49-A36E-CFB0019034A0}</author>
  </authors>
  <commentList>
    <comment ref="B14" authorId="0" shapeId="0" xr:uid="{C580F9F8-0E80-4DA0-A941-0586CCD9ACF5}">
      <text>
        <t>[Threaded comment]
Your version of Excel allows you to read this threaded comment; however, any edits to it will get removed if the file is opened in a newer version of Excel. Learn more: https://go.microsoft.com/fwlink/?linkid=870924
Comment:
    @Yahya Mohammed  there has been the exact same update for New Kuwait project all of March in the weekly updates.</t>
      </text>
    </comment>
    <comment ref="B16" authorId="1" shapeId="0" xr:uid="{630F5533-9927-4D49-A36E-CFB0019034A0}">
      <text>
        <t>[Threaded comment]
Your version of Excel allows you to read this threaded comment; however, any edits to it will get removed if the file is opened in a newer version of Excel. Learn more: https://go.microsoft.com/fwlink/?linkid=870924
Comment:
    @Ahmed Adam  11+ 16 in procurement = 27</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tc={B331E3CF-2B80-43C7-A61F-5F389A590BCD}</author>
  </authors>
  <commentList>
    <comment ref="C1" authorId="0" shapeId="0" xr:uid="{B331E3CF-2B80-43C7-A61F-5F389A590BCD}">
      <text>
        <t xml:space="preserve">[Threaded comment]
Your version of Excel allows you to read this threaded comment; however, any edits to it will get removed if the file is opened in a newer version of Excel. Learn more: https://go.microsoft.com/fwlink/?linkid=870924
Comment:
    @Yahya Mohammed  the canals being rehabilitated are in Al-Qutaynah not Guli. Please confirm.
cc @Mustafa Hassan </t>
      </text>
    </comment>
  </commentList>
</comments>
</file>

<file path=xl/sharedStrings.xml><?xml version="1.0" encoding="utf-8"?>
<sst xmlns="http://schemas.openxmlformats.org/spreadsheetml/2006/main" count="483" uniqueCount="222">
  <si>
    <t>Project Name:</t>
  </si>
  <si>
    <t>Powering Sudan's Agriculture: Renewable Water Solutions for Sustainable Future</t>
  </si>
  <si>
    <t>Award No:</t>
  </si>
  <si>
    <t>Award No: 1527487 (457)</t>
  </si>
  <si>
    <t>Donor:</t>
  </si>
  <si>
    <t>Kuwait Fund for Arab Economic Development (KFAED) 013848</t>
  </si>
  <si>
    <t>Total budget:</t>
  </si>
  <si>
    <t>Start date:</t>
  </si>
  <si>
    <t>End date:</t>
  </si>
  <si>
    <t>Duration:</t>
  </si>
  <si>
    <t>18 months</t>
  </si>
  <si>
    <t>Target locations:</t>
  </si>
  <si>
    <t>White Nile, Al Jazeera, Kassala, Red Sea</t>
  </si>
  <si>
    <t>Implementing Partners:</t>
  </si>
  <si>
    <t>NA</t>
  </si>
  <si>
    <t>Last update to tracker:</t>
  </si>
  <si>
    <t>Outcome</t>
  </si>
  <si>
    <t>Output</t>
  </si>
  <si>
    <t>Activity</t>
  </si>
  <si>
    <t>Target</t>
  </si>
  <si>
    <t>T_WhiteNile</t>
  </si>
  <si>
    <t>WhiteNile_Actual</t>
  </si>
  <si>
    <t>T_AlJazeera</t>
  </si>
  <si>
    <t>AlJazeera_Actual</t>
  </si>
  <si>
    <t>T_Kassala</t>
  </si>
  <si>
    <t>Kassala_Actual</t>
  </si>
  <si>
    <t>T_RedSea</t>
  </si>
  <si>
    <t>RedSea_Actual</t>
  </si>
  <si>
    <t>Actual_Total</t>
  </si>
  <si>
    <t>Comment_18.03</t>
  </si>
  <si>
    <t>To enhance agricultural productivity, water security, and rural livelihoods in Sudan through sustainable solar-powered irrigation, and improved water infrastructure for smallholder farmers.</t>
  </si>
  <si>
    <t>Output 1: Improved Access to Affordable and Sustainable Water for Irrigation</t>
  </si>
  <si>
    <t>Activity 1.1: Install 50 solar-powered water pumps of different capacity based on the existing irrigation structures for irrigation based on the feasibility assessment/study.</t>
  </si>
  <si>
    <t>10 in WN; 10 in Gazeera; identified and works ongoing</t>
  </si>
  <si>
    <t>Activity 1.2 Training of 500 small holder farmers on efficient water management techniques including Solar PV-Operation and Maintenance (O&amp;M).</t>
  </si>
  <si>
    <t>Training after the formation of the association; 10 will be trained in each association/water pump; each association has 10; due to size of water pump capacity, can only support 10-20 farmers</t>
  </si>
  <si>
    <t>Activity 1.3: Establish/reactivate 50 community-based water user associations varies depending on the existing schemes and farmers associations and cost recovery mechanisms to enhance sustainable and equitable water distribution and management.</t>
  </si>
  <si>
    <t>Linked with solar pump; 1.1 which will be trained</t>
  </si>
  <si>
    <t>Output 2: Rehabilitated Irrigation Infrastructure for Sustainable Water Management</t>
  </si>
  <si>
    <t>Activity 2.1: Conduct assessments to identify and prioritize small-scale irrigation infrastructure in need of rehabilitation.</t>
  </si>
  <si>
    <t>Assessment done in November for 20 pumps and 8 canals; scale of impact area of damaged canals to revive maximum agricultural activity; led by Ministry of Agriculture &amp; Irrigation</t>
  </si>
  <si>
    <t>Activity 2.2: Rehabilitate 28 existing (small) irrigation canals, storage facilities, and water distribution networks to enhance efficiency.</t>
  </si>
  <si>
    <t>11 done now in WN; 16 in procurement - pending cost estimation and based on which will be able to determine balance for revised target of canals</t>
  </si>
  <si>
    <t>#</t>
  </si>
  <si>
    <t xml:space="preserve">State </t>
  </si>
  <si>
    <t>Locality</t>
  </si>
  <si>
    <t xml:space="preserve">Location </t>
  </si>
  <si>
    <t>GPS coordinates</t>
  </si>
  <si>
    <t xml:space="preserve">Association name </t>
  </si>
  <si>
    <t xml:space="preserve">Focal Point/ Chair of Association </t>
  </si>
  <si>
    <t xml:space="preserve">FP's Phone Number </t>
  </si>
  <si>
    <t>Farm Area (Feddan)</t>
  </si>
  <si>
    <t>Number of Association members</t>
  </si>
  <si>
    <t>Number of beneficiaries</t>
  </si>
  <si>
    <t>Al Jazeera</t>
  </si>
  <si>
    <t>Alhasahesa</t>
  </si>
  <si>
    <t>Amara Abied</t>
  </si>
  <si>
    <t> </t>
  </si>
  <si>
    <t>TajEldien Alshiekh</t>
  </si>
  <si>
    <t>0912632133/0128437025</t>
  </si>
  <si>
    <t>10~15</t>
  </si>
  <si>
    <t>Arbeji</t>
  </si>
  <si>
    <t>Ismaiel Altayib Alameen</t>
  </si>
  <si>
    <t>Wad Alfadni</t>
  </si>
  <si>
    <t>Khlaw Wad Alfadni</t>
  </si>
  <si>
    <t>Alkhaliekha Mohammed Alrayh</t>
  </si>
  <si>
    <t>Greater Madani</t>
  </si>
  <si>
    <t>Al-danagla</t>
  </si>
  <si>
    <t>Aldanagla Collaboration</t>
  </si>
  <si>
    <t>Alfatih Babikr Alamien</t>
  </si>
  <si>
    <t>Fadasi</t>
  </si>
  <si>
    <t>Fadasi for Vegateable</t>
  </si>
  <si>
    <t>Izeldien Omar Ahmed</t>
  </si>
  <si>
    <t>AlKamleen</t>
  </si>
  <si>
    <t>Alkasmber</t>
  </si>
  <si>
    <t>Kasamber</t>
  </si>
  <si>
    <t>Mohammed Babikir Alameen</t>
  </si>
  <si>
    <t>912860263/0122323603</t>
  </si>
  <si>
    <t>20~30</t>
  </si>
  <si>
    <t>Al Bashagra</t>
  </si>
  <si>
    <t>Al Bashagra Collaboration</t>
  </si>
  <si>
    <t>Mustafa Eltayib</t>
  </si>
  <si>
    <t>Albageir</t>
  </si>
  <si>
    <t>Collaboration for Friut&amp; Vegateble</t>
  </si>
  <si>
    <t>Bashier Suliman Ahmed</t>
  </si>
  <si>
    <t>0912455272/0113102852</t>
  </si>
  <si>
    <t>Sourthen of Algazira</t>
  </si>
  <si>
    <t>Diem Almashaikha</t>
  </si>
  <si>
    <t>Mergani Alhaj Altoum</t>
  </si>
  <si>
    <t>Gendal</t>
  </si>
  <si>
    <t>Hamid Algasim Ahmed</t>
  </si>
  <si>
    <t>918081392/0123742249</t>
  </si>
  <si>
    <t xml:space="preserve">White Nile </t>
  </si>
  <si>
    <t>Guli</t>
  </si>
  <si>
    <t>Alhisi</t>
  </si>
  <si>
    <t>Awllad Saadwen Agriculture</t>
  </si>
  <si>
    <t>Tag Al-Asfia Hassan</t>
  </si>
  <si>
    <t>Al-amel Agriculture</t>
  </si>
  <si>
    <t>Yagoub Mohamed</t>
  </si>
  <si>
    <t>Wad Shamam</t>
  </si>
  <si>
    <t>Bashier Alkhier Agriculture</t>
  </si>
  <si>
    <t>Ahmed Altieb Mahala</t>
  </si>
  <si>
    <t>Abna Mongash Agriculture</t>
  </si>
  <si>
    <t>Ahmed Mohamed Musa</t>
  </si>
  <si>
    <t>Rodat Almokhtar</t>
  </si>
  <si>
    <t>Bahsr Anied Agriculture</t>
  </si>
  <si>
    <t>Abdelmajied Hassan Ibrahiem</t>
  </si>
  <si>
    <t>Ad-Dewaim</t>
  </si>
  <si>
    <t>Almoselamb</t>
  </si>
  <si>
    <t>Almoselamb Agriculture</t>
  </si>
  <si>
    <t>Alzain Abdala Alobadi</t>
  </si>
  <si>
    <t>Almekefi</t>
  </si>
  <si>
    <t>Almekefi Agriculture</t>
  </si>
  <si>
    <t>Abelhafeez Mahmoud</t>
  </si>
  <si>
    <t>Um Lahum</t>
  </si>
  <si>
    <t>Um Lahum Agriculture</t>
  </si>
  <si>
    <t>Alkhir Hassan Khalifa</t>
  </si>
  <si>
    <t>Elmeneedrip</t>
  </si>
  <si>
    <t>Elmeneedrip Agriculture</t>
  </si>
  <si>
    <t>Basheer Abelrahim Ali</t>
  </si>
  <si>
    <t>Algardood</t>
  </si>
  <si>
    <t>Algardood Agriculture</t>
  </si>
  <si>
    <t>Hamud Ahmed Esmaeel</t>
  </si>
  <si>
    <t>Week</t>
  </si>
  <si>
    <t>Update</t>
  </si>
  <si>
    <t>28th Dec to 31st Dec</t>
  </si>
  <si>
    <t xml:space="preserve">5. New Kuwait Project:
•	A coordination meeting was held with the Ministry of Agriculture to identify locations for irrigation pumps.
•	Targeted locations were shared by the Ministry of Agriculture.
N)	White Nile State:
Water initiative has officially commenced with the handover of 10 sites:
•	8 sites for Nile pumps serving agricultural cooperatives
•	2 sites for the rehabilitation of agricultural channels
The companies on the ground have started implementing the project.
</t>
  </si>
  <si>
    <t>4th Jan to 8th Jan</t>
  </si>
  <si>
    <t xml:space="preserve">New Kuwait Project (Hewa Co.) – 2 new water yards  
•                The two sites (Alsawarda &amp; Umm Bashim) have been handed over to the contractor.
4- New Kuwait-Funded Project - Gazira &amp; Sinnar
• The handover of agricultural irrigation pumps for ten (10) sites successfully completed.
E)	White Nile State:
Water initiative has officially commenced with the handover of 10 sites:
•	8 sites for Nile pumps serving agricultural cooperatives
•	2 sites for the rehabilitation of agricultural channels
The companies on the ground have started implementing the project.
</t>
  </si>
  <si>
    <t>11th Jan to 15th Jan</t>
  </si>
  <si>
    <t xml:space="preserve">New Kuwait Project (Hewa Co.) – 2 new water yards  - River Nile
•                the contractor conducted the geophysical study and started mobilizing the drilling rig and materials to the site
4- New Kuwait-Funded Project  - Gazir &amp; Sinanr
• The handover of agricultural irrigation pumps for ten (10) sites successfully completed.
</t>
  </si>
  <si>
    <t>18th Jan to 22nd Jan</t>
  </si>
  <si>
    <t xml:space="preserve">New Kuwait Project (Hewa Co.) – 2 new water yards  
•                sites have been handed over to the contractor. And mobilization and preparation of the sites are ongoing
New Kuwait-Funded Project – Al Gazira State
•	Samples of materials have been submitted for approval.
</t>
  </si>
  <si>
    <t>25th Jan to 29th Jan</t>
  </si>
  <si>
    <t xml:space="preserve">New Kuwait Project (Hewa Co.) – 2 new water yards  
•             Drilling rig will arrive today to the site and starts drilling  next week. 
New Kuwait Project- Gazira State
•	Samples of materials have been approved.
</t>
  </si>
  <si>
    <t>1st Feb to 5th Feb</t>
  </si>
  <si>
    <t xml:space="preserve">New Kuwait Project (Hewa Co.) – 2 new water yards  - River Nile
•             Drilling rig arrived at the site and started drilling.
</t>
  </si>
  <si>
    <t>8th Feb to 12th Feb</t>
  </si>
  <si>
    <t>15th Feb to 19th Feb</t>
  </si>
  <si>
    <t>22nd Feb to 26th Feb</t>
  </si>
  <si>
    <t xml:space="preserve">
</t>
  </si>
  <si>
    <t>1st Mar to 5th Mar</t>
  </si>
  <si>
    <t xml:space="preserve">New Kuwait Project
•	Provision of ten (10) solar agricultural pumps: the supplier has not yet commenced implementation activities.
</t>
  </si>
  <si>
    <t>8th Mar to 12th Mar</t>
  </si>
  <si>
    <t>15th Mar to 19th Mar</t>
  </si>
  <si>
    <r>
      <rPr>
        <b/>
        <sz val="14"/>
        <color rgb="FF00B050"/>
        <rFont val="Aptos Narrow"/>
        <scheme val="minor"/>
      </rPr>
      <t xml:space="preserve">New Kuwait Project - Powering Sudan's Agriculture:
</t>
    </r>
    <r>
      <rPr>
        <b/>
        <sz val="11"/>
        <color rgb="FF000000"/>
        <rFont val="Aptos Narrow"/>
        <scheme val="minor"/>
      </rPr>
      <t xml:space="preserve">White Nile State:
</t>
    </r>
    <r>
      <rPr>
        <sz val="11"/>
        <color rgb="FF00B050"/>
        <rFont val="Aptos Narrow"/>
        <scheme val="minor"/>
      </rPr>
      <t xml:space="preserve">•	Provision of ten (10) solar agricultural pumps: the Solar items have been transported to the state 
•	Rehabilitation of 11  Canals: 86% completion of the civil work
</t>
    </r>
    <r>
      <rPr>
        <b/>
        <sz val="11"/>
        <color rgb="FF000000"/>
        <rFont val="Aptos Narrow"/>
        <scheme val="minor"/>
      </rPr>
      <t xml:space="preserve">Gezira State:
</t>
    </r>
    <r>
      <rPr>
        <sz val="11"/>
        <color rgb="FF00B050"/>
        <rFont val="Aptos Narrow"/>
        <scheme val="minor"/>
      </rPr>
      <t xml:space="preserve">•	Provision of ten (10) solar agricultural pumps: Road permit was issued to trasoport the solar items to state.
•	Rehabilitation of 16  Canals: under tendering process  
</t>
    </r>
    <r>
      <rPr>
        <sz val="11"/>
        <color rgb="FFFF0000"/>
        <rFont val="Aptos Narrow"/>
        <scheme val="minor"/>
      </rPr>
      <t xml:space="preserve">	
</t>
    </r>
  </si>
  <si>
    <t>22nd Mar to 26th Mar</t>
  </si>
  <si>
    <r>
      <rPr>
        <sz val="11"/>
        <color rgb="FF000000"/>
        <rFont val="Aptos Narrow"/>
        <scheme val="minor"/>
      </rPr>
      <t xml:space="preserve">•	Joint meeting with the Ministry of Production was organized to discuss progress on the rehabilitation of 6 canals at the Gash Scheme
•	Cost for geophysical survey which was estimated at SDG 16M have been absorbed by State Government.
•	Joint meeting was convened with Minister of Agriculture to solicit Government support to expediate the process to start the canal rehabilitation. Government promised to absorb some of the cost.
.
New Kuwait Project	
</t>
    </r>
    <r>
      <rPr>
        <sz val="11"/>
        <color rgb="FFFF0000"/>
        <rFont val="Aptos Narrow"/>
        <scheme val="minor"/>
      </rPr>
      <t xml:space="preserve"># Provision of ten (10) solar agricultural pumps: the supplier has not yet commenced implementation activities.
</t>
    </r>
    <r>
      <rPr>
        <sz val="11"/>
        <color rgb="FF000000"/>
        <rFont val="Aptos Narrow"/>
        <scheme val="minor"/>
      </rPr>
      <t xml:space="preserve"># Contractors completed site visits for bid preparation related to the South Gezira canal rehabilitation project on March 20.
</t>
    </r>
  </si>
  <si>
    <t>29th Mar to 2nd Apr</t>
  </si>
  <si>
    <r>
      <rPr>
        <sz val="11"/>
        <color rgb="FF000000"/>
        <rFont val="Aptos Narrow"/>
        <scheme val="minor"/>
      </rPr>
      <t xml:space="preserve">Kuwait 2 Project
•	A joint engineering team from the Ministry of Agriculture and the Physical Infrastructure are currently finalizing plans to conduct geophysical surveys for the rehabilitation of 6 canals in Kassala State.
</t>
    </r>
    <r>
      <rPr>
        <sz val="11"/>
        <color rgb="FFFF0000"/>
        <rFont val="Aptos Narrow"/>
        <scheme val="minor"/>
      </rPr>
      <t xml:space="preserve">New Kuwait Project
•	Provision of ten (10) solar agricultural pumps: The supplier has not yet commenced implementation activities.
</t>
    </r>
  </si>
  <si>
    <t>No.</t>
  </si>
  <si>
    <t>Location of the water pump</t>
  </si>
  <si>
    <t>Type of Water Intervention</t>
  </si>
  <si>
    <t>Site Coordinates</t>
  </si>
  <si>
    <t>Farm area (Feddan)</t>
  </si>
  <si>
    <t>Pumping Setting Depth (F)</t>
  </si>
  <si>
    <t>Pump Selection Type &amp; Model</t>
  </si>
  <si>
    <t>Nominal Solar  Power (kWp)</t>
  </si>
  <si>
    <t>Number of Panels</t>
  </si>
  <si>
    <t>N. of hours it operates on solar system</t>
  </si>
  <si>
    <t>Water production rate per hour ((m³/hr)</t>
  </si>
  <si>
    <t>Water productivity rate (m³/day)</t>
  </si>
  <si>
    <t>Number of beneficiaries of water stations (persons)</t>
  </si>
  <si>
    <t>Status</t>
  </si>
  <si>
    <t>Ready for Handover</t>
  </si>
  <si>
    <t>Handed Over</t>
  </si>
  <si>
    <t>Handover Date</t>
  </si>
  <si>
    <t xml:space="preserve">Gezira </t>
  </si>
  <si>
    <t>Solarized Irrigation Pump</t>
  </si>
  <si>
    <t>N/A</t>
  </si>
  <si>
    <t>PSK3-7 CS-G100-17/2</t>
  </si>
  <si>
    <t xml:space="preserve">on going </t>
  </si>
  <si>
    <t>PSK3-7 CS-G100-17/3</t>
  </si>
  <si>
    <t>PSK3-7 CS-G100-17/4</t>
  </si>
  <si>
    <t>PSK3-7 CS-G100-17/5</t>
  </si>
  <si>
    <t>PSK3-7 CS-G100-17/6</t>
  </si>
  <si>
    <t>PSK3-15 CS-G150-12.5/4,6</t>
  </si>
  <si>
    <t>Um-Dagrsi</t>
  </si>
  <si>
    <t>Name of Canals</t>
  </si>
  <si>
    <t>Length (m)</t>
  </si>
  <si>
    <t xml:space="preserve">SOW </t>
  </si>
  <si>
    <t>Amount of water flowing in the canals (M3)</t>
  </si>
  <si>
    <t>White Nile</t>
  </si>
  <si>
    <t>Dakhla main canal</t>
  </si>
  <si>
    <t>13.592920 N 
32.498924 E</t>
  </si>
  <si>
    <t>Rehabilitation irrigation canals of 
Dakhla main channel</t>
  </si>
  <si>
    <t>Dakhla canal1</t>
  </si>
  <si>
    <t>13.563492 N 
32.498465 E</t>
  </si>
  <si>
    <t>Rehabilitation irrigation canals of 
branch canal Al-Dakhla, 1</t>
  </si>
  <si>
    <t>Dakhla canal 2</t>
  </si>
  <si>
    <t>13.579376 N 
32.498351 E</t>
  </si>
  <si>
    <t>Rehabilitation irrigation canals of 
branch canal Al-Dakhla, 2</t>
  </si>
  <si>
    <t>Dakhla canal 3</t>
  </si>
  <si>
    <t>13.558205 N 
32.498500 E</t>
  </si>
  <si>
    <t>Rehabilitation irrigation canals of 
branch canal Al-Dakhla, 3</t>
  </si>
  <si>
    <t>Dakhla canal 4</t>
  </si>
  <si>
    <t>13.591984 N 
32.498705 E</t>
  </si>
  <si>
    <t>Rehabilitation irrigation canals of 
branch canal Al-Dakhla, 4</t>
  </si>
  <si>
    <t>Safa Main canal</t>
  </si>
  <si>
    <t>13.620988 N 
32.525441 E</t>
  </si>
  <si>
    <t>Rehabilitation irrigation canals of 
Al-Safa, main channel</t>
  </si>
  <si>
    <t>Safa canal 1</t>
  </si>
  <si>
    <t>13.588257 N 
32.496598 E</t>
  </si>
  <si>
    <t>Rehabilitation irrigation canals of 
branch canal Al-Safa, 1</t>
  </si>
  <si>
    <t>Safa canal 2</t>
  </si>
  <si>
    <t>13.576706 N 
32.484732 E</t>
  </si>
  <si>
    <t>Rehabilitation irrigation canals of 
branch canal Al-Safa, 2</t>
  </si>
  <si>
    <t>Safa canal 3</t>
  </si>
  <si>
    <t>13.571250 N 
32.484653 E</t>
  </si>
  <si>
    <t>Rehabilitation irrigation canals of 
branch canal Al-Safa, 3</t>
  </si>
  <si>
    <t>Safa canal 4</t>
  </si>
  <si>
    <t>13.574022 N 
32.484747 E</t>
  </si>
  <si>
    <t>Rehabilitation irrigation canals of 
branch canal Al-Safa, 4</t>
  </si>
  <si>
    <t>Safa canal 5</t>
  </si>
  <si>
    <t>13.574109 N 
32.484754 E</t>
  </si>
  <si>
    <t>Rehabilitation irrigation canals of 
branch canal Al-Safa, 5</t>
  </si>
  <si>
    <t>Kassala</t>
  </si>
  <si>
    <t>Fota Canal</t>
  </si>
  <si>
    <t>N 15,3021.54 
E 36,2129.78</t>
  </si>
  <si>
    <t xml:space="preserve">Rehablitation Irrigation Canal </t>
  </si>
  <si>
    <t xml:space="preserve">Makaly Canal </t>
  </si>
  <si>
    <t>N 15,4036.47 
E 36,2015.05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</si>
</sst>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3" formatCode="_(* #,##0.00_);_(* \(#,##0.00\);_(* &quot;-&quot;??_);_(@_)"/>
  </numFmts>
  <fonts count="18">
    <font>
      <sz val="11"/>
      <color theme="1"/>
      <name val="Aptos Narrow"/>
      <family val="2"/>
      <scheme val="minor"/>
    </font>
    <font>
      <b/>
      <sz val="11"/>
      <color theme="1"/>
      <name val="Aptos Narrow"/>
      <family val="2"/>
      <scheme val="minor"/>
    </font>
    <font>
      <b/>
      <sz val="11"/>
      <color rgb="FF000000"/>
      <name val="Aptos Narrow"/>
      <family val="2"/>
      <scheme val="minor"/>
    </font>
    <font>
      <b/>
      <sz val="12"/>
      <color rgb="FF000000"/>
      <name val="Aptos Narrow"/>
      <family val="2"/>
      <scheme val="minor"/>
    </font>
    <font>
      <sz val="11"/>
      <color rgb="FF000000"/>
      <name val="Aptos Narrow"/>
      <family val="2"/>
      <scheme val="minor"/>
    </font>
    <font>
      <b/>
      <sz val="11"/>
      <color rgb="FF000000"/>
      <name val="Aptos Narrow"/>
      <scheme val="minor"/>
    </font>
    <font>
      <b/>
      <sz val="11"/>
      <name val="Aptos Narrow"/>
      <scheme val="minor"/>
    </font>
    <font>
      <b/>
      <sz val="11"/>
      <color theme="1"/>
      <name val="Aptos Narrow"/>
      <scheme val="minor"/>
    </font>
    <font>
      <sz val="11"/>
      <color rgb="FF000000"/>
      <name val="Aptos Narrow"/>
      <scheme val="minor"/>
    </font>
    <font>
      <sz val="11"/>
      <color theme="1"/>
      <name val="Aptos Narrow"/>
      <scheme val="minor"/>
    </font>
    <font>
      <sz val="11"/>
      <color rgb="FF000000"/>
      <name val="Calibri"/>
      <family val="2"/>
    </font>
    <font>
      <b/>
      <sz val="11"/>
      <color rgb="FF000000"/>
      <name val="Aptos Narrow"/>
    </font>
    <font>
      <sz val="11"/>
      <color rgb="FF000000"/>
      <name val="Calibri"/>
      <charset val="134"/>
    </font>
    <font>
      <sz val="11"/>
      <color rgb="FFFF0000"/>
      <name val="Aptos Narrow"/>
      <family val="2"/>
      <scheme val="minor"/>
    </font>
    <font>
      <sz val="11"/>
      <color rgb="FFFF0000"/>
      <name val="Aptos Narrow"/>
      <scheme val="minor"/>
    </font>
    <font>
      <sz val="11"/>
      <color rgb="FF00B050"/>
      <name val="Aptos Narrow"/>
      <scheme val="minor"/>
    </font>
    <font>
      <b/>
      <sz val="14"/>
      <color rgb="FF00B050"/>
      <name val="Aptos Narrow"/>
      <scheme val="minor"/>
    </font>
    <font>
      <b/>
      <sz val="11"/>
      <color rgb="FFFF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E8E8E8"/>
        <bgColor rgb="FF000000"/>
      </patternFill>
    </fill>
    <fill>
      <patternFill patternType="solid">
        <fgColor rgb="FFFCE4D6"/>
        <bgColor rgb="FF000000"/>
      </patternFill>
    </fill>
    <fill>
      <patternFill patternType="solid">
        <fgColor rgb="FFC6E0B4"/>
        <bgColor rgb="FF000000"/>
      </patternFill>
    </fill>
    <fill>
      <patternFill patternType="solid">
        <fgColor rgb="FFC6E0B4"/>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0" fillId="0" borderId="0" xfId="0" applyAlignment="1">
      <alignment wrapText="1"/>
    </xf>
    <xf numFmtId="0" fontId="0" fillId="0" borderId="1" xfId="0" applyBorder="1"/>
    <xf numFmtId="0" fontId="4" fillId="0" borderId="1" xfId="0" applyFont="1" applyBorder="1"/>
    <xf numFmtId="8" fontId="4" fillId="0" borderId="1" xfId="0" applyNumberFormat="1" applyFont="1" applyBorder="1"/>
    <xf numFmtId="0" fontId="2" fillId="0" borderId="1" xfId="0" applyFont="1" applyBorder="1"/>
    <xf numFmtId="0" fontId="3" fillId="0" borderId="1" xfId="0" applyFont="1" applyBorder="1" applyAlignment="1">
      <alignment wrapText="1"/>
    </xf>
    <xf numFmtId="15" fontId="4" fillId="0" borderId="1" xfId="0" applyNumberFormat="1" applyFont="1" applyBorder="1" applyAlignment="1">
      <alignment horizontal="left"/>
    </xf>
    <xf numFmtId="0" fontId="1" fillId="0" borderId="1" xfId="0" applyFont="1" applyBorder="1" applyAlignment="1">
      <alignment wrapText="1"/>
    </xf>
    <xf numFmtId="0" fontId="0" fillId="0" borderId="1" xfId="0" applyBorder="1" applyAlignment="1">
      <alignment wrapText="1"/>
    </xf>
    <xf numFmtId="0" fontId="0" fillId="2" borderId="0" xfId="0" applyFill="1"/>
    <xf numFmtId="0" fontId="0" fillId="2" borderId="0" xfId="0" applyFill="1" applyAlignment="1">
      <alignment wrapText="1"/>
    </xf>
    <xf numFmtId="0" fontId="1" fillId="2" borderId="1" xfId="0" applyFont="1" applyFill="1" applyBorder="1" applyAlignment="1">
      <alignment wrapText="1"/>
    </xf>
    <xf numFmtId="0" fontId="0" fillId="2" borderId="1" xfId="0" applyFill="1" applyBorder="1"/>
    <xf numFmtId="0" fontId="5" fillId="3" borderId="2" xfId="0" applyFont="1" applyFill="1" applyBorder="1" applyAlignment="1">
      <alignment wrapText="1"/>
    </xf>
    <xf numFmtId="0" fontId="7" fillId="3" borderId="0" xfId="0" applyFont="1" applyFill="1" applyAlignment="1">
      <alignment wrapText="1"/>
    </xf>
    <xf numFmtId="0" fontId="9" fillId="0" borderId="0" xfId="0" applyFont="1" applyAlignment="1">
      <alignment wrapText="1"/>
    </xf>
    <xf numFmtId="0" fontId="10" fillId="0" borderId="0" xfId="0" applyFont="1"/>
    <xf numFmtId="0" fontId="11" fillId="4" borderId="3" xfId="0" applyFont="1" applyFill="1" applyBorder="1" applyAlignment="1">
      <alignment wrapText="1"/>
    </xf>
    <xf numFmtId="0" fontId="11" fillId="4" borderId="4" xfId="0" applyFont="1" applyFill="1" applyBorder="1" applyAlignment="1">
      <alignment wrapText="1"/>
    </xf>
    <xf numFmtId="0" fontId="10" fillId="5" borderId="5" xfId="0" applyFont="1" applyFill="1" applyBorder="1"/>
    <xf numFmtId="0" fontId="10" fillId="5" borderId="6" xfId="0" applyFont="1" applyFill="1" applyBorder="1"/>
    <xf numFmtId="0" fontId="10" fillId="6" borderId="6" xfId="0" applyFont="1" applyFill="1" applyBorder="1"/>
    <xf numFmtId="0" fontId="12" fillId="7" borderId="2" xfId="0" applyFont="1" applyFill="1" applyBorder="1"/>
    <xf numFmtId="0" fontId="10" fillId="0" borderId="6" xfId="0" applyFont="1" applyBorder="1" applyAlignment="1">
      <alignment vertical="top" wrapText="1"/>
    </xf>
    <xf numFmtId="0" fontId="12" fillId="0" borderId="2" xfId="0" applyFont="1" applyBorder="1" applyAlignment="1">
      <alignment vertical="top"/>
    </xf>
    <xf numFmtId="0" fontId="10" fillId="0" borderId="5" xfId="0" applyFont="1" applyBorder="1" applyAlignment="1">
      <alignment vertical="top" wrapText="1"/>
    </xf>
    <xf numFmtId="0" fontId="5" fillId="3" borderId="2" xfId="0" applyFont="1" applyFill="1" applyBorder="1" applyAlignment="1">
      <alignment vertical="top" wrapText="1"/>
    </xf>
    <xf numFmtId="0" fontId="6" fillId="3" borderId="2" xfId="0" applyFont="1" applyFill="1" applyBorder="1" applyAlignment="1">
      <alignment vertical="top" wrapText="1"/>
    </xf>
    <xf numFmtId="0" fontId="10" fillId="0" borderId="5" xfId="0" applyFont="1" applyBorder="1" applyAlignment="1">
      <alignment horizontal="center" vertical="top" wrapText="1"/>
    </xf>
    <xf numFmtId="43" fontId="0" fillId="0" borderId="0" xfId="0" applyNumberFormat="1"/>
    <xf numFmtId="9" fontId="0" fillId="0" borderId="0" xfId="0" applyNumberFormat="1"/>
    <xf numFmtId="0" fontId="8" fillId="0" borderId="0" xfId="0" applyFont="1" applyAlignment="1">
      <alignment wrapText="1"/>
    </xf>
    <xf numFmtId="15" fontId="4" fillId="0" borderId="1" xfId="0" applyNumberFormat="1" applyFont="1" applyBorder="1"/>
    <xf numFmtId="0" fontId="0" fillId="0" borderId="1" xfId="0" applyBorder="1" applyAlignment="1">
      <alignment vertical="top" wrapText="1"/>
    </xf>
    <xf numFmtId="0" fontId="13" fillId="0" borderId="0" xfId="0" applyFont="1" applyAlignment="1">
      <alignment wrapText="1"/>
    </xf>
    <xf numFmtId="0" fontId="14" fillId="0" borderId="0" xfId="0" applyFont="1" applyAlignment="1">
      <alignment wrapText="1"/>
    </xf>
    <xf numFmtId="0" fontId="10" fillId="8" borderId="1" xfId="0" applyFont="1" applyFill="1" applyBorder="1"/>
    <xf numFmtId="0" fontId="10" fillId="8" borderId="5" xfId="0" applyFont="1" applyFill="1" applyBorder="1"/>
    <xf numFmtId="15" fontId="17" fillId="0" borderId="1" xfId="0" applyNumberFormat="1" applyFont="1" applyBorder="1" applyAlignment="1">
      <alignment horizontal="left"/>
    </xf>
    <xf numFmtId="0" fontId="0" fillId="0" borderId="2" xfId="0" applyBorder="1"/>
    <xf numFmtId="0" fontId="10" fillId="0" borderId="2" xfId="0" applyFont="1" applyBorder="1" applyAlignment="1">
      <alignment vertical="top"/>
    </xf>
    <xf numFmtId="0" fontId="10" fillId="0" borderId="2" xfId="0" applyFont="1" applyBorder="1" applyAlignment="1">
      <alignment vertical="top" wrapText="1"/>
    </xf>
    <xf numFmtId="0" fontId="5" fillId="3" borderId="7" xfId="0" applyFont="1" applyFill="1" applyBorder="1" applyAlignment="1">
      <alignment vertical="top" wrapText="1"/>
    </xf>
    <xf numFmtId="0" fontId="12" fillId="0" borderId="7" xfId="0" applyFont="1" applyBorder="1" applyAlignment="1">
      <alignment vertical="top" wrapText="1"/>
    </xf>
    <xf numFmtId="4" fontId="0" fillId="0" borderId="0" xfId="0" applyNumberFormat="1"/>
    <xf numFmtId="0" fontId="0" fillId="0" borderId="0" xfId="0" applyAlignment="1">
      <alignment vertical="top"/>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hmed Adam" id="{57D9BBD2-19CF-434F-A1D6-CDECB3702BEB}" userId="ahmed.adam@undp.org" providerId="PeoplePicker"/>
  <person displayName="Sanaa Saeed" id="{0AF08FDB-DD13-4122-931D-CDF48D6906A6}" userId="sanaa.saeed@undp.org" providerId="PeoplePicker"/>
  <person displayName="Mustafa Hassan" id="{FF106973-71D2-4195-84BD-180B54110930}" userId="mustafa.hassan@undp.org" providerId="PeoplePicker"/>
  <person displayName="Osama Tageldin" id="{BC8C45AD-9AC7-45AE-9DD2-139E193E2244}" userId="osama.tageldin@undp.org" providerId="PeoplePicker"/>
  <person displayName="Yahya Mohammed" id="{E087472F-92CB-48C5-BEE2-5F562251485B}" userId="yahya.mohammed@undp.org" providerId="PeoplePicker"/>
  <person displayName="Sanaa Saeed" id="{5D643201-7971-4F9A-BBB0-9A644A48BACE}" userId="S::sanaa.saeed@undp.org::91652a97-f98a-46c2-b8c9-ba433a3f2456" providerId="AD"/>
  <person displayName="Osama Tageldin" id="{0351C1A0-97D3-4681-9FED-0D5B3D90F7B8}" userId="S::osama.tageldin@undp.org::32d8e723-8e1b-4307-beb1-124e92a41114" providerId="AD"/>
  <person displayName="Marrian Gebreselassie" id="{0B7E4E5E-95D4-4C7B-BDFD-BA4159E7094C}" userId="S::marrian.gebreselassie@undp.org::a958bc1d-bd72-465b-aabf-d5afe6e4dcc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6-04-27T13:05:50.35" personId="{0B7E4E5E-95D4-4C7B-BDFD-BA4159E7094C}" id="{FC2AEF7C-7CD5-47A3-B89B-7A7AEBA472F9}" done="1">
    <text xml:space="preserve">@Sanaa Saeed / @Mustafa Hassan  please make sure the changed association is updated.
cc: @Yahya Mohammed </text>
    <mentions>
      <mention mentionpersonId="{0AF08FDB-DD13-4122-931D-CDF48D6906A6}" mentionId="{4019F4B9-BC97-4D58-86B1-6741B3D9D7ED}" startIndex="0" length="12"/>
      <mention mentionpersonId="{FF106973-71D2-4195-84BD-180B54110930}" mentionId="{1BBD6923-41F6-4F68-A247-88C582B706DA}" startIndex="15" length="15"/>
      <mention mentionpersonId="{E087472F-92CB-48C5-BEE2-5F562251485B}" mentionId="{CDD90B5A-ECE9-41FB-9A02-693A913E8547}" startIndex="89" length="15"/>
    </mentions>
  </threadedComment>
  <threadedComment ref="F1" dT="2026-04-27T14:30:36.90" personId="{5D643201-7971-4F9A-BBB0-9A644A48BACE}" id="{F3FDB030-70B8-411D-A7EC-4FBD6006BEF1}" parentId="{FC2AEF7C-7CD5-47A3-B89B-7A7AEBA472F9}">
    <text>Dear Marrian,Done</text>
  </threadedComment>
  <threadedComment ref="K1" dT="2026-04-13T10:10:35.62" personId="{0351C1A0-97D3-4681-9FED-0D5B3D90F7B8}" id="{CD5E1FD9-4D5C-488F-872F-E54785868904}">
    <text xml:space="preserve">I would put the two figures separately. e.g. in Diem Almashaikha the 30 feddans will only serve a limited number of poor families while the association has 1660 members. the vast majority of them are not targeted by the project. We can't inflate the number of beneficiaries based on association membership. </text>
  </threadedComment>
  <threadedComment ref="J9" dT="2026-04-13T08:22:58.18" personId="{0B7E4E5E-95D4-4C7B-BDFD-BA4159E7094C}" id="{3980E2AD-7D83-4442-9D1D-422362F14B89}">
    <text xml:space="preserve">@Sanaa Saeed  / @Mustafa Hassan  kindly advise if this number is accurate
cc: @Yahya Mohammed  / @Osama Tageldin </text>
    <mentions>
      <mention mentionpersonId="{0AF08FDB-DD13-4122-931D-CDF48D6906A6}" mentionId="{20F6EBD0-E958-4C1F-9718-FBD6DBD750DE}" startIndex="0" length="12"/>
      <mention mentionpersonId="{FF106973-71D2-4195-84BD-180B54110930}" mentionId="{79ACC90F-BDFB-44F1-A43D-25B3C17227AE}" startIndex="16" length="15"/>
      <mention mentionpersonId="{E087472F-92CB-48C5-BEE2-5F562251485B}" mentionId="{35EB1C9B-C755-4953-8488-D1AD4B93BE15}" startIndex="78" length="15"/>
      <mention mentionpersonId="{BC8C45AD-9AC7-45AE-9DD2-139E193E2244}" mentionId="{2F83B8ED-D780-405F-BFF9-92FE61088A69}" startIndex="97" length="15"/>
    </mentions>
  </threadedComment>
  <threadedComment ref="J9" dT="2026-04-13T08:39:06.42" personId="{5D643201-7971-4F9A-BBB0-9A644A48BACE}" id="{6E0248D2-FBBC-4B78-8B51-A83C7EDB322B}" parentId="{3980E2AD-7D83-4442-9D1D-422362F14B89}">
    <text>Confirmed, the number is accurate as per the MoA report</text>
  </threadedComment>
</ThreadedComments>
</file>

<file path=xl/threadedComments/threadedComment2.xml><?xml version="1.0" encoding="utf-8"?>
<ThreadedComments xmlns="http://schemas.microsoft.com/office/spreadsheetml/2018/threadedcomments" xmlns:x="http://schemas.openxmlformats.org/spreadsheetml/2006/main">
  <threadedComment ref="B14" dT="2026-03-24T09:26:44.53" personId="{0B7E4E5E-95D4-4C7B-BDFD-BA4159E7094C}" id="{C580F9F8-0E80-4DA0-A941-0586CCD9ACF5}">
    <text>@Yahya Mohammed  there has been the exact same update for New Kuwait project all of March in the weekly updates.</text>
    <mentions>
      <mention mentionpersonId="{E087472F-92CB-48C5-BEE2-5F562251485B}" mentionId="{45AC583F-2632-40A0-A1A4-688AEF8A2509}" startIndex="0" length="15"/>
    </mentions>
  </threadedComment>
  <threadedComment ref="B16" dT="2026-03-24T13:30:36.25" personId="{0B7E4E5E-95D4-4C7B-BDFD-BA4159E7094C}" id="{630F5533-9927-4D49-A36E-CFB0019034A0}">
    <text>@Ahmed Adam  11+ 16 in procurement = 27</text>
    <mentions>
      <mention mentionpersonId="{57D9BBD2-19CF-434F-A1D6-CDECB3702BEB}" mentionId="{A64C329E-9D09-41DC-AC8B-480B5AC00B65}" startIndex="0" length="1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6-04-13T10:42:20.38" personId="{0B7E4E5E-95D4-4C7B-BDFD-BA4159E7094C}" id="{B331E3CF-2B80-43C7-A61F-5F389A590BCD}">
    <text xml:space="preserve">@Yahya Mohammed  the canals being rehabilitated are in Al-Qutaynah not Guli. Please confirm.
cc @Mustafa Hassan </text>
    <mentions>
      <mention mentionpersonId="{E087472F-92CB-48C5-BEE2-5F562251485B}" mentionId="{086254C8-D135-48A4-BD35-0E7B10B804B6}" startIndex="0" length="15"/>
      <mention mentionpersonId="{FF106973-71D2-4195-84BD-180B54110930}" mentionId="{E0DD7205-B979-4A63-8FD2-0E80B35C0B36}" startIndex="96" length="15"/>
    </mentions>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2B0BA-A5ED-461C-BADD-46E068392440}">
  <dimension ref="A1:B10"/>
  <sheetViews>
    <sheetView zoomScale="120" zoomScaleNormal="120" workbookViewId="0">
      <selection activeCell="B9" sqref="B9"/>
    </sheetView>
  </sheetViews>
  <sheetFormatPr defaultRowHeight="14.45"/>
  <cols>
    <col min="1" max="1" width="34.5703125" customWidth="1"/>
    <col min="2" max="2" width="79.5703125" customWidth="1"/>
  </cols>
  <sheetData>
    <row r="1" spans="1:2" ht="45.95" customHeight="1">
      <c r="A1" s="5" t="s">
        <v>0</v>
      </c>
      <c r="B1" s="6" t="s">
        <v>1</v>
      </c>
    </row>
    <row r="2" spans="1:2">
      <c r="A2" s="5" t="s">
        <v>2</v>
      </c>
      <c r="B2" s="3" t="s">
        <v>3</v>
      </c>
    </row>
    <row r="3" spans="1:2">
      <c r="A3" s="5" t="s">
        <v>4</v>
      </c>
      <c r="B3" s="3" t="s">
        <v>5</v>
      </c>
    </row>
    <row r="4" spans="1:2">
      <c r="A4" s="5" t="s">
        <v>6</v>
      </c>
      <c r="B4" s="4">
        <v>2000000</v>
      </c>
    </row>
    <row r="5" spans="1:2">
      <c r="A5" s="5" t="s">
        <v>7</v>
      </c>
      <c r="B5" s="7">
        <v>45962</v>
      </c>
    </row>
    <row r="6" spans="1:2" ht="15">
      <c r="A6" s="5" t="s">
        <v>8</v>
      </c>
      <c r="B6" s="39">
        <v>46507</v>
      </c>
    </row>
    <row r="7" spans="1:2">
      <c r="A7" s="5" t="s">
        <v>9</v>
      </c>
      <c r="B7" s="3" t="s">
        <v>10</v>
      </c>
    </row>
    <row r="8" spans="1:2">
      <c r="A8" s="5" t="s">
        <v>11</v>
      </c>
      <c r="B8" s="3" t="s">
        <v>12</v>
      </c>
    </row>
    <row r="9" spans="1:2">
      <c r="A9" s="5" t="s">
        <v>13</v>
      </c>
      <c r="B9" s="3" t="s">
        <v>14</v>
      </c>
    </row>
    <row r="10" spans="1:2">
      <c r="A10" s="5" t="s">
        <v>15</v>
      </c>
      <c r="B10" s="33">
        <v>46099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DBC6F-10CC-46DD-92B4-4694EFFD4D01}">
  <dimension ref="A1:N6"/>
  <sheetViews>
    <sheetView topLeftCell="B1" workbookViewId="0">
      <selection activeCell="D2" sqref="D2"/>
    </sheetView>
  </sheetViews>
  <sheetFormatPr defaultRowHeight="15" customHeight="1"/>
  <cols>
    <col min="1" max="1" width="25.5703125" hidden="1" customWidth="1"/>
    <col min="2" max="2" width="27.5703125" customWidth="1"/>
    <col min="3" max="3" width="51.85546875" style="1" customWidth="1"/>
    <col min="4" max="4" width="8" customWidth="1"/>
    <col min="5" max="5" width="8.85546875" customWidth="1"/>
    <col min="6" max="6" width="7.5703125" customWidth="1"/>
    <col min="7" max="8" width="7.85546875" customWidth="1"/>
    <col min="9" max="10" width="8.140625" customWidth="1"/>
    <col min="11" max="11" width="7" customWidth="1"/>
    <col min="12" max="12" width="8.85546875" customWidth="1"/>
    <col min="13" max="13" width="16.42578125" customWidth="1"/>
    <col min="14" max="14" width="36.140625" customWidth="1"/>
  </cols>
  <sheetData>
    <row r="1" spans="1:14" s="1" customFormat="1" ht="43.5">
      <c r="A1" s="8" t="s">
        <v>16</v>
      </c>
      <c r="B1" s="8" t="s">
        <v>17</v>
      </c>
      <c r="C1" s="8" t="s">
        <v>18</v>
      </c>
      <c r="D1" s="8" t="s">
        <v>19</v>
      </c>
      <c r="E1" s="8" t="s">
        <v>20</v>
      </c>
      <c r="F1" s="12" t="s">
        <v>21</v>
      </c>
      <c r="G1" s="8" t="s">
        <v>22</v>
      </c>
      <c r="H1" s="12" t="s">
        <v>23</v>
      </c>
      <c r="I1" s="8" t="s">
        <v>24</v>
      </c>
      <c r="J1" s="12" t="s">
        <v>25</v>
      </c>
      <c r="K1" s="8" t="s">
        <v>26</v>
      </c>
      <c r="L1" s="12" t="s">
        <v>27</v>
      </c>
      <c r="M1" s="8" t="s">
        <v>28</v>
      </c>
      <c r="N1" s="8" t="s">
        <v>29</v>
      </c>
    </row>
    <row r="2" spans="1:14" ht="65.45" customHeight="1">
      <c r="A2" s="47" t="s">
        <v>30</v>
      </c>
      <c r="B2" s="47" t="s">
        <v>31</v>
      </c>
      <c r="C2" s="9" t="s">
        <v>32</v>
      </c>
      <c r="D2" s="2">
        <v>50</v>
      </c>
      <c r="E2" s="2">
        <v>14</v>
      </c>
      <c r="F2" s="13">
        <v>10</v>
      </c>
      <c r="G2" s="2">
        <v>30</v>
      </c>
      <c r="H2" s="13">
        <v>10</v>
      </c>
      <c r="I2" s="2">
        <v>3</v>
      </c>
      <c r="J2" s="13">
        <v>0</v>
      </c>
      <c r="K2" s="2">
        <v>3</v>
      </c>
      <c r="L2" s="13">
        <v>0</v>
      </c>
      <c r="M2" s="2"/>
      <c r="N2" s="9" t="s">
        <v>33</v>
      </c>
    </row>
    <row r="3" spans="1:14" ht="81" customHeight="1">
      <c r="A3" s="47"/>
      <c r="B3" s="47"/>
      <c r="C3" s="9" t="s">
        <v>34</v>
      </c>
      <c r="D3" s="2">
        <v>500</v>
      </c>
      <c r="E3" s="2">
        <v>140</v>
      </c>
      <c r="F3" s="13"/>
      <c r="G3" s="2">
        <v>300</v>
      </c>
      <c r="H3" s="13"/>
      <c r="I3" s="2">
        <v>30</v>
      </c>
      <c r="J3" s="13"/>
      <c r="K3" s="2">
        <v>30</v>
      </c>
      <c r="L3" s="13"/>
      <c r="M3" s="2"/>
      <c r="N3" s="9" t="s">
        <v>35</v>
      </c>
    </row>
    <row r="4" spans="1:14" ht="88.5" customHeight="1">
      <c r="A4" s="47"/>
      <c r="B4" s="47"/>
      <c r="C4" s="9" t="s">
        <v>36</v>
      </c>
      <c r="D4" s="2">
        <v>50</v>
      </c>
      <c r="E4" s="2">
        <v>14</v>
      </c>
      <c r="F4" s="13"/>
      <c r="G4" s="2">
        <v>30</v>
      </c>
      <c r="H4" s="13"/>
      <c r="I4" s="2">
        <v>3</v>
      </c>
      <c r="J4" s="13"/>
      <c r="K4" s="2">
        <v>3</v>
      </c>
      <c r="L4" s="13"/>
      <c r="M4" s="2"/>
      <c r="N4" s="34" t="s">
        <v>37</v>
      </c>
    </row>
    <row r="5" spans="1:14" ht="87.75" customHeight="1">
      <c r="A5" s="47"/>
      <c r="B5" s="47" t="s">
        <v>38</v>
      </c>
      <c r="C5" s="9" t="s">
        <v>39</v>
      </c>
      <c r="D5" s="2">
        <v>50</v>
      </c>
      <c r="E5" s="2">
        <v>14</v>
      </c>
      <c r="F5" s="13"/>
      <c r="G5" s="2">
        <v>30</v>
      </c>
      <c r="H5" s="13"/>
      <c r="I5" s="2">
        <v>3</v>
      </c>
      <c r="J5" s="13"/>
      <c r="K5" s="2">
        <v>3</v>
      </c>
      <c r="L5" s="13"/>
      <c r="M5" s="2"/>
      <c r="N5" s="34" t="s">
        <v>40</v>
      </c>
    </row>
    <row r="6" spans="1:14" ht="65.45" customHeight="1">
      <c r="A6" s="47"/>
      <c r="B6" s="47"/>
      <c r="C6" s="9" t="s">
        <v>41</v>
      </c>
      <c r="D6" s="2">
        <v>28</v>
      </c>
      <c r="E6" s="2">
        <v>11</v>
      </c>
      <c r="F6" s="13"/>
      <c r="G6" s="2">
        <v>14</v>
      </c>
      <c r="H6" s="13"/>
      <c r="I6" s="2">
        <v>3</v>
      </c>
      <c r="J6" s="13"/>
      <c r="K6" s="2">
        <v>3</v>
      </c>
      <c r="L6" s="13"/>
      <c r="M6" s="2"/>
      <c r="N6" s="34" t="s">
        <v>42</v>
      </c>
    </row>
  </sheetData>
  <mergeCells count="3">
    <mergeCell ref="A2:A6"/>
    <mergeCell ref="B2:B4"/>
    <mergeCell ref="B5:B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33C1C-D405-4413-817C-3C862A000684}">
  <dimension ref="A1:M24"/>
  <sheetViews>
    <sheetView workbookViewId="0">
      <selection activeCell="D22" sqref="D22"/>
    </sheetView>
  </sheetViews>
  <sheetFormatPr defaultRowHeight="15"/>
  <cols>
    <col min="1" max="1" width="6.28515625" customWidth="1"/>
    <col min="2" max="2" width="11.7109375" customWidth="1"/>
    <col min="3" max="3" width="20.28515625" customWidth="1"/>
    <col min="4" max="4" width="20.85546875" customWidth="1"/>
    <col min="5" max="5" width="18.140625" hidden="1" customWidth="1"/>
    <col min="6" max="6" width="25" customWidth="1"/>
    <col min="7" max="7" width="23.85546875" hidden="1" customWidth="1"/>
    <col min="8" max="8" width="15.85546875" hidden="1" customWidth="1"/>
    <col min="9" max="9" width="13" customWidth="1"/>
    <col min="10" max="10" width="20.28515625" customWidth="1"/>
    <col min="11" max="11" width="18.28515625" customWidth="1"/>
    <col min="13" max="13" width="26.140625" customWidth="1"/>
  </cols>
  <sheetData>
    <row r="1" spans="1:13" ht="57.75" customHeight="1">
      <c r="A1" s="18" t="s">
        <v>43</v>
      </c>
      <c r="B1" s="19" t="s">
        <v>44</v>
      </c>
      <c r="C1" s="19" t="s">
        <v>45</v>
      </c>
      <c r="D1" s="19" t="s">
        <v>46</v>
      </c>
      <c r="E1" s="19" t="s">
        <v>47</v>
      </c>
      <c r="F1" s="19" t="s">
        <v>48</v>
      </c>
      <c r="G1" s="19" t="s">
        <v>49</v>
      </c>
      <c r="H1" s="19" t="s">
        <v>50</v>
      </c>
      <c r="I1" s="19" t="s">
        <v>51</v>
      </c>
      <c r="J1" s="19" t="s">
        <v>52</v>
      </c>
      <c r="K1" s="19" t="s">
        <v>53</v>
      </c>
      <c r="L1" s="17"/>
      <c r="M1" s="17"/>
    </row>
    <row r="2" spans="1:13">
      <c r="A2" s="20">
        <v>1</v>
      </c>
      <c r="B2" s="20" t="s">
        <v>54</v>
      </c>
      <c r="C2" s="20" t="s">
        <v>55</v>
      </c>
      <c r="D2" s="20" t="s">
        <v>56</v>
      </c>
      <c r="E2" s="20" t="s">
        <v>57</v>
      </c>
      <c r="F2" s="20" t="s">
        <v>56</v>
      </c>
      <c r="G2" s="20" t="s">
        <v>58</v>
      </c>
      <c r="H2" s="20" t="s">
        <v>59</v>
      </c>
      <c r="I2" s="20" t="s">
        <v>60</v>
      </c>
      <c r="J2" s="20">
        <v>580</v>
      </c>
      <c r="K2" s="20"/>
      <c r="L2" s="17">
        <v>15</v>
      </c>
      <c r="M2" s="17"/>
    </row>
    <row r="3" spans="1:13">
      <c r="A3" s="21">
        <v>2</v>
      </c>
      <c r="B3" s="21" t="s">
        <v>54</v>
      </c>
      <c r="C3" s="21" t="s">
        <v>55</v>
      </c>
      <c r="D3" s="21" t="s">
        <v>61</v>
      </c>
      <c r="E3" s="21" t="s">
        <v>57</v>
      </c>
      <c r="F3" s="21" t="s">
        <v>61</v>
      </c>
      <c r="G3" s="21" t="s">
        <v>62</v>
      </c>
      <c r="H3" s="21">
        <v>911328242</v>
      </c>
      <c r="I3" s="21" t="s">
        <v>60</v>
      </c>
      <c r="J3" s="21">
        <v>131</v>
      </c>
      <c r="K3" s="21"/>
      <c r="L3" s="17">
        <v>15</v>
      </c>
      <c r="M3" s="17"/>
    </row>
    <row r="4" spans="1:13" ht="30.75" customHeight="1">
      <c r="A4" s="21">
        <v>3</v>
      </c>
      <c r="B4" s="21" t="s">
        <v>54</v>
      </c>
      <c r="C4" s="21" t="s">
        <v>55</v>
      </c>
      <c r="D4" s="21" t="s">
        <v>63</v>
      </c>
      <c r="E4" s="21" t="s">
        <v>57</v>
      </c>
      <c r="F4" s="21" t="s">
        <v>64</v>
      </c>
      <c r="G4" s="21" t="s">
        <v>65</v>
      </c>
      <c r="H4" s="21">
        <v>912381302</v>
      </c>
      <c r="I4" s="21" t="s">
        <v>60</v>
      </c>
      <c r="J4" s="21">
        <v>62</v>
      </c>
      <c r="K4" s="21"/>
      <c r="L4" s="17">
        <v>15</v>
      </c>
    </row>
    <row r="5" spans="1:13">
      <c r="A5" s="21">
        <v>4</v>
      </c>
      <c r="B5" s="21" t="s">
        <v>54</v>
      </c>
      <c r="C5" s="21" t="s">
        <v>66</v>
      </c>
      <c r="D5" s="21" t="s">
        <v>67</v>
      </c>
      <c r="E5" s="21" t="s">
        <v>57</v>
      </c>
      <c r="F5" s="21" t="s">
        <v>68</v>
      </c>
      <c r="G5" s="21" t="s">
        <v>69</v>
      </c>
      <c r="H5" s="21">
        <v>114225880</v>
      </c>
      <c r="I5" s="21" t="s">
        <v>60</v>
      </c>
      <c r="J5" s="21">
        <v>70</v>
      </c>
      <c r="K5" s="21"/>
      <c r="L5" s="17">
        <v>15</v>
      </c>
    </row>
    <row r="6" spans="1:13">
      <c r="A6" s="20">
        <v>5</v>
      </c>
      <c r="B6" s="20" t="s">
        <v>54</v>
      </c>
      <c r="C6" s="20" t="s">
        <v>66</v>
      </c>
      <c r="D6" s="20" t="s">
        <v>70</v>
      </c>
      <c r="E6" s="20" t="s">
        <v>57</v>
      </c>
      <c r="F6" s="20" t="s">
        <v>71</v>
      </c>
      <c r="G6" s="20" t="s">
        <v>72</v>
      </c>
      <c r="H6" s="20">
        <v>916062473</v>
      </c>
      <c r="I6" s="21" t="s">
        <v>60</v>
      </c>
      <c r="J6" s="20">
        <v>70</v>
      </c>
      <c r="K6" s="20"/>
      <c r="L6" s="17">
        <v>15</v>
      </c>
    </row>
    <row r="7" spans="1:13">
      <c r="A7" s="22">
        <v>6</v>
      </c>
      <c r="B7" s="22" t="s">
        <v>54</v>
      </c>
      <c r="C7" s="22" t="s">
        <v>73</v>
      </c>
      <c r="D7" s="22" t="s">
        <v>74</v>
      </c>
      <c r="E7" s="22" t="s">
        <v>57</v>
      </c>
      <c r="F7" s="22" t="s">
        <v>75</v>
      </c>
      <c r="G7" s="22" t="s">
        <v>76</v>
      </c>
      <c r="H7" s="22" t="s">
        <v>77</v>
      </c>
      <c r="I7" s="22" t="s">
        <v>78</v>
      </c>
      <c r="J7" s="22">
        <v>75</v>
      </c>
      <c r="K7" s="22"/>
      <c r="L7">
        <v>30</v>
      </c>
    </row>
    <row r="8" spans="1:13">
      <c r="A8" s="22">
        <v>7</v>
      </c>
      <c r="B8" s="22" t="s">
        <v>54</v>
      </c>
      <c r="C8" s="22" t="s">
        <v>73</v>
      </c>
      <c r="D8" s="37" t="s">
        <v>79</v>
      </c>
      <c r="E8" s="22" t="s">
        <v>57</v>
      </c>
      <c r="F8" s="22" t="s">
        <v>80</v>
      </c>
      <c r="G8" s="22" t="s">
        <v>81</v>
      </c>
      <c r="H8" s="22">
        <v>917322341</v>
      </c>
      <c r="I8" s="22" t="s">
        <v>78</v>
      </c>
      <c r="J8" s="22">
        <v>180</v>
      </c>
      <c r="K8" s="22"/>
      <c r="L8">
        <v>30</v>
      </c>
    </row>
    <row r="9" spans="1:13" ht="25.5" customHeight="1">
      <c r="A9" s="22">
        <v>8</v>
      </c>
      <c r="B9" s="22" t="s">
        <v>54</v>
      </c>
      <c r="C9" s="22" t="s">
        <v>73</v>
      </c>
      <c r="D9" s="22" t="s">
        <v>82</v>
      </c>
      <c r="E9" s="22" t="s">
        <v>57</v>
      </c>
      <c r="F9" s="22" t="s">
        <v>83</v>
      </c>
      <c r="G9" s="22" t="s">
        <v>84</v>
      </c>
      <c r="H9" s="22" t="s">
        <v>85</v>
      </c>
      <c r="I9" s="22" t="s">
        <v>78</v>
      </c>
      <c r="J9" s="22">
        <v>2000</v>
      </c>
      <c r="K9" s="22"/>
      <c r="L9">
        <v>30</v>
      </c>
    </row>
    <row r="10" spans="1:13" ht="27" customHeight="1">
      <c r="A10" s="22">
        <v>9</v>
      </c>
      <c r="B10" s="22" t="s">
        <v>54</v>
      </c>
      <c r="C10" s="22" t="s">
        <v>86</v>
      </c>
      <c r="D10" s="22" t="s">
        <v>87</v>
      </c>
      <c r="E10" s="22" t="s">
        <v>57</v>
      </c>
      <c r="F10" s="22" t="s">
        <v>87</v>
      </c>
      <c r="G10" s="37" t="s">
        <v>88</v>
      </c>
      <c r="H10" s="38">
        <v>969633336</v>
      </c>
      <c r="I10" s="38" t="s">
        <v>78</v>
      </c>
      <c r="J10" s="38">
        <v>224</v>
      </c>
      <c r="K10" s="22"/>
      <c r="L10">
        <v>30</v>
      </c>
    </row>
    <row r="11" spans="1:13" ht="26.25" customHeight="1">
      <c r="A11" s="22">
        <v>10</v>
      </c>
      <c r="B11" s="22" t="s">
        <v>54</v>
      </c>
      <c r="C11" s="22" t="s">
        <v>86</v>
      </c>
      <c r="D11" s="22" t="s">
        <v>89</v>
      </c>
      <c r="E11" s="22" t="s">
        <v>57</v>
      </c>
      <c r="F11" s="22" t="s">
        <v>89</v>
      </c>
      <c r="G11" s="22" t="s">
        <v>90</v>
      </c>
      <c r="H11" s="22" t="s">
        <v>91</v>
      </c>
      <c r="I11" s="22" t="s">
        <v>78</v>
      </c>
      <c r="J11" s="22">
        <v>364</v>
      </c>
      <c r="K11" s="22"/>
      <c r="L11">
        <v>30</v>
      </c>
    </row>
    <row r="12" spans="1:13">
      <c r="A12" s="20">
        <v>11</v>
      </c>
      <c r="B12" s="20" t="s">
        <v>92</v>
      </c>
      <c r="C12" s="20" t="s">
        <v>93</v>
      </c>
      <c r="D12" s="20" t="s">
        <v>94</v>
      </c>
      <c r="E12" s="20" t="s">
        <v>57</v>
      </c>
      <c r="F12" s="20" t="s">
        <v>95</v>
      </c>
      <c r="G12" s="20" t="s">
        <v>96</v>
      </c>
      <c r="H12" s="20">
        <v>912271646</v>
      </c>
      <c r="I12" s="20" t="s">
        <v>60</v>
      </c>
      <c r="J12" s="20">
        <v>36</v>
      </c>
      <c r="K12" s="20"/>
      <c r="L12">
        <v>15</v>
      </c>
    </row>
    <row r="13" spans="1:13">
      <c r="A13" s="21">
        <v>12</v>
      </c>
      <c r="B13" s="21" t="s">
        <v>92</v>
      </c>
      <c r="C13" s="21" t="s">
        <v>93</v>
      </c>
      <c r="D13" s="21" t="s">
        <v>93</v>
      </c>
      <c r="E13" s="21" t="s">
        <v>57</v>
      </c>
      <c r="F13" s="21" t="s">
        <v>97</v>
      </c>
      <c r="G13" s="21" t="s">
        <v>98</v>
      </c>
      <c r="H13" s="21">
        <v>923344409</v>
      </c>
      <c r="I13" s="21" t="s">
        <v>60</v>
      </c>
      <c r="J13" s="21">
        <v>30</v>
      </c>
      <c r="K13" s="21"/>
      <c r="L13">
        <v>15</v>
      </c>
    </row>
    <row r="14" spans="1:13">
      <c r="A14" s="21">
        <v>13</v>
      </c>
      <c r="B14" s="21" t="s">
        <v>92</v>
      </c>
      <c r="C14" s="21" t="s">
        <v>93</v>
      </c>
      <c r="D14" s="21" t="s">
        <v>99</v>
      </c>
      <c r="E14" s="21" t="s">
        <v>57</v>
      </c>
      <c r="F14" s="21" t="s">
        <v>100</v>
      </c>
      <c r="G14" s="21" t="s">
        <v>101</v>
      </c>
      <c r="H14" s="21">
        <v>966204853</v>
      </c>
      <c r="I14" s="21" t="s">
        <v>60</v>
      </c>
      <c r="J14" s="21">
        <v>49</v>
      </c>
      <c r="K14" s="21"/>
      <c r="L14">
        <v>15</v>
      </c>
    </row>
    <row r="15" spans="1:13">
      <c r="A15" s="21">
        <v>14</v>
      </c>
      <c r="B15" s="21" t="s">
        <v>92</v>
      </c>
      <c r="C15" s="21" t="s">
        <v>93</v>
      </c>
      <c r="D15" s="21" t="s">
        <v>99</v>
      </c>
      <c r="E15" s="21" t="s">
        <v>57</v>
      </c>
      <c r="F15" s="21" t="s">
        <v>102</v>
      </c>
      <c r="G15" s="21" t="s">
        <v>103</v>
      </c>
      <c r="H15" s="21">
        <v>912763627</v>
      </c>
      <c r="I15" s="21" t="s">
        <v>60</v>
      </c>
      <c r="J15" s="21">
        <v>20</v>
      </c>
      <c r="K15" s="21"/>
      <c r="L15">
        <v>15</v>
      </c>
    </row>
    <row r="16" spans="1:13">
      <c r="A16" s="20">
        <v>15</v>
      </c>
      <c r="B16" s="20" t="s">
        <v>92</v>
      </c>
      <c r="C16" s="20" t="s">
        <v>93</v>
      </c>
      <c r="D16" s="20" t="s">
        <v>104</v>
      </c>
      <c r="E16" s="20" t="s">
        <v>57</v>
      </c>
      <c r="F16" s="20" t="s">
        <v>105</v>
      </c>
      <c r="G16" s="20" t="s">
        <v>106</v>
      </c>
      <c r="H16" s="20">
        <v>999908978</v>
      </c>
      <c r="I16" s="20" t="s">
        <v>60</v>
      </c>
      <c r="J16" s="20">
        <v>35</v>
      </c>
      <c r="K16" s="20"/>
      <c r="L16">
        <v>15</v>
      </c>
    </row>
    <row r="17" spans="1:12">
      <c r="A17" s="23">
        <v>16</v>
      </c>
      <c r="B17" s="23" t="s">
        <v>92</v>
      </c>
      <c r="C17" s="23" t="s">
        <v>107</v>
      </c>
      <c r="D17" s="23" t="s">
        <v>108</v>
      </c>
      <c r="E17" s="23" t="s">
        <v>57</v>
      </c>
      <c r="F17" s="23" t="s">
        <v>109</v>
      </c>
      <c r="G17" s="23" t="s">
        <v>110</v>
      </c>
      <c r="H17" s="23">
        <v>918049906</v>
      </c>
      <c r="I17" s="23" t="s">
        <v>78</v>
      </c>
      <c r="J17" s="23">
        <v>30</v>
      </c>
      <c r="K17" s="23"/>
      <c r="L17">
        <v>30</v>
      </c>
    </row>
    <row r="18" spans="1:12">
      <c r="A18" s="23">
        <v>17</v>
      </c>
      <c r="B18" s="23" t="s">
        <v>92</v>
      </c>
      <c r="C18" s="23" t="s">
        <v>107</v>
      </c>
      <c r="D18" s="23" t="s">
        <v>111</v>
      </c>
      <c r="E18" s="23" t="s">
        <v>57</v>
      </c>
      <c r="F18" s="23" t="s">
        <v>112</v>
      </c>
      <c r="G18" s="23" t="s">
        <v>113</v>
      </c>
      <c r="H18" s="23">
        <v>912491004</v>
      </c>
      <c r="I18" s="23" t="s">
        <v>78</v>
      </c>
      <c r="J18" s="23">
        <v>30</v>
      </c>
      <c r="K18" s="23"/>
      <c r="L18">
        <v>30</v>
      </c>
    </row>
    <row r="19" spans="1:12">
      <c r="A19" s="23">
        <v>18</v>
      </c>
      <c r="B19" s="23" t="s">
        <v>92</v>
      </c>
      <c r="C19" s="23" t="s">
        <v>107</v>
      </c>
      <c r="D19" s="23" t="s">
        <v>114</v>
      </c>
      <c r="E19" s="23" t="s">
        <v>57</v>
      </c>
      <c r="F19" s="23" t="s">
        <v>115</v>
      </c>
      <c r="G19" s="23" t="s">
        <v>116</v>
      </c>
      <c r="H19" s="23">
        <v>913252529</v>
      </c>
      <c r="I19" s="23" t="s">
        <v>78</v>
      </c>
      <c r="J19" s="23">
        <v>30</v>
      </c>
      <c r="K19" s="23"/>
      <c r="L19">
        <v>30</v>
      </c>
    </row>
    <row r="20" spans="1:12">
      <c r="A20" s="23">
        <v>19</v>
      </c>
      <c r="B20" s="23" t="s">
        <v>92</v>
      </c>
      <c r="C20" s="23" t="s">
        <v>107</v>
      </c>
      <c r="D20" s="23" t="s">
        <v>117</v>
      </c>
      <c r="E20" s="23" t="s">
        <v>57</v>
      </c>
      <c r="F20" s="23" t="s">
        <v>118</v>
      </c>
      <c r="G20" s="23" t="s">
        <v>119</v>
      </c>
      <c r="H20" s="23">
        <v>963164309</v>
      </c>
      <c r="I20" s="23" t="s">
        <v>78</v>
      </c>
      <c r="J20" s="23">
        <v>30</v>
      </c>
      <c r="K20" s="23"/>
      <c r="L20">
        <v>30</v>
      </c>
    </row>
    <row r="21" spans="1:12">
      <c r="A21" s="23">
        <v>20</v>
      </c>
      <c r="B21" s="23" t="s">
        <v>92</v>
      </c>
      <c r="C21" s="23" t="s">
        <v>107</v>
      </c>
      <c r="D21" s="23" t="s">
        <v>120</v>
      </c>
      <c r="E21" s="23" t="s">
        <v>57</v>
      </c>
      <c r="F21" s="23" t="s">
        <v>121</v>
      </c>
      <c r="G21" s="23" t="s">
        <v>122</v>
      </c>
      <c r="H21" s="23">
        <v>912519401</v>
      </c>
      <c r="I21" s="23" t="s">
        <v>78</v>
      </c>
      <c r="J21" s="23">
        <v>30</v>
      </c>
      <c r="K21" s="23"/>
      <c r="L21">
        <v>30</v>
      </c>
    </row>
    <row r="22" spans="1:12">
      <c r="A22" s="17"/>
      <c r="B22" s="17"/>
      <c r="C22" s="17"/>
      <c r="J22">
        <f>SUM(J2:J21)</f>
        <v>4076</v>
      </c>
    </row>
    <row r="23" spans="1:12">
      <c r="A23" s="17"/>
      <c r="B23" s="17"/>
      <c r="C23" s="17"/>
      <c r="L23">
        <f>SUM(L2:L21)</f>
        <v>450</v>
      </c>
    </row>
    <row r="24" spans="1:12">
      <c r="A24" s="17"/>
      <c r="B24" s="17"/>
      <c r="C24" s="17"/>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98449-4C86-41FA-A16B-96810C876EAE}">
  <dimension ref="A1:B18"/>
  <sheetViews>
    <sheetView workbookViewId="0">
      <pane ySplit="1" topLeftCell="A16" activePane="bottomLeft" state="frozen"/>
      <selection pane="bottomLeft" activeCell="B16" sqref="B16"/>
    </sheetView>
  </sheetViews>
  <sheetFormatPr defaultRowHeight="15"/>
  <cols>
    <col min="1" max="1" width="23.28515625" customWidth="1"/>
    <col min="2" max="2" width="62.28515625" customWidth="1"/>
  </cols>
  <sheetData>
    <row r="1" spans="1:2">
      <c r="A1" s="8" t="s">
        <v>123</v>
      </c>
      <c r="B1" s="8" t="s">
        <v>124</v>
      </c>
    </row>
    <row r="2" spans="1:2" ht="201.75">
      <c r="A2" t="s">
        <v>125</v>
      </c>
      <c r="B2" s="1" t="s">
        <v>126</v>
      </c>
    </row>
    <row r="3" spans="1:2">
      <c r="A3" s="10"/>
      <c r="B3" s="10"/>
    </row>
    <row r="4" spans="1:2" ht="216.75">
      <c r="A4" t="s">
        <v>127</v>
      </c>
      <c r="B4" s="11" t="s">
        <v>128</v>
      </c>
    </row>
    <row r="5" spans="1:2" ht="101.25">
      <c r="A5" t="s">
        <v>129</v>
      </c>
      <c r="B5" s="11" t="s">
        <v>130</v>
      </c>
    </row>
    <row r="6" spans="1:2" ht="101.25">
      <c r="A6" t="s">
        <v>131</v>
      </c>
      <c r="B6" s="1" t="s">
        <v>132</v>
      </c>
    </row>
    <row r="7" spans="1:2" ht="87">
      <c r="A7" t="s">
        <v>133</v>
      </c>
      <c r="B7" s="1" t="s">
        <v>134</v>
      </c>
    </row>
    <row r="8" spans="1:2">
      <c r="A8" s="10"/>
      <c r="B8" s="10"/>
    </row>
    <row r="9" spans="1:2" ht="57.75">
      <c r="A9" t="s">
        <v>135</v>
      </c>
      <c r="B9" s="1" t="s">
        <v>136</v>
      </c>
    </row>
    <row r="10" spans="1:2">
      <c r="A10" t="s">
        <v>137</v>
      </c>
    </row>
    <row r="11" spans="1:2">
      <c r="A11" t="s">
        <v>138</v>
      </c>
    </row>
    <row r="12" spans="1:2" ht="185.25" customHeight="1">
      <c r="A12" t="s">
        <v>139</v>
      </c>
      <c r="B12" s="16" t="s">
        <v>140</v>
      </c>
    </row>
    <row r="13" spans="1:2">
      <c r="A13" s="10"/>
      <c r="B13" s="10"/>
    </row>
    <row r="14" spans="1:2" ht="57.75">
      <c r="A14" t="s">
        <v>141</v>
      </c>
      <c r="B14" s="35" t="s">
        <v>142</v>
      </c>
    </row>
    <row r="15" spans="1:2" ht="57.75">
      <c r="A15" t="s">
        <v>143</v>
      </c>
      <c r="B15" s="35" t="s">
        <v>142</v>
      </c>
    </row>
    <row r="16" spans="1:2" ht="201.75">
      <c r="A16" t="s">
        <v>144</v>
      </c>
      <c r="B16" s="36" t="s">
        <v>145</v>
      </c>
    </row>
    <row r="17" spans="1:2" ht="216.75">
      <c r="A17" t="s">
        <v>146</v>
      </c>
      <c r="B17" s="16" t="s">
        <v>147</v>
      </c>
    </row>
    <row r="18" spans="1:2" ht="115.5">
      <c r="A18" t="s">
        <v>148</v>
      </c>
      <c r="B18" s="16" t="s">
        <v>149</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E0489-A401-4331-8074-FD0C49E48F71}">
  <dimension ref="A1:T21"/>
  <sheetViews>
    <sheetView topLeftCell="A15" workbookViewId="0">
      <selection activeCell="D17" sqref="D17"/>
    </sheetView>
  </sheetViews>
  <sheetFormatPr defaultRowHeight="15"/>
  <cols>
    <col min="1" max="1" width="6" customWidth="1"/>
    <col min="2" max="2" width="12" customWidth="1"/>
    <col min="3" max="3" width="15.7109375" customWidth="1"/>
    <col min="4" max="4" width="12" customWidth="1"/>
    <col min="5" max="5" width="16.42578125" customWidth="1"/>
    <col min="6" max="19" width="12" customWidth="1"/>
  </cols>
  <sheetData>
    <row r="1" spans="1:20" ht="81.75" customHeight="1">
      <c r="A1" s="27" t="s">
        <v>150</v>
      </c>
      <c r="B1" s="27" t="s">
        <v>44</v>
      </c>
      <c r="C1" s="27" t="s">
        <v>45</v>
      </c>
      <c r="D1" s="43" t="s">
        <v>151</v>
      </c>
      <c r="E1" s="27" t="s">
        <v>152</v>
      </c>
      <c r="F1" s="27" t="s">
        <v>153</v>
      </c>
      <c r="G1" s="27" t="s">
        <v>154</v>
      </c>
      <c r="H1" s="27" t="s">
        <v>155</v>
      </c>
      <c r="I1" s="27" t="s">
        <v>156</v>
      </c>
      <c r="J1" s="27" t="s">
        <v>157</v>
      </c>
      <c r="K1" s="27" t="s">
        <v>158</v>
      </c>
      <c r="L1" s="28" t="s">
        <v>159</v>
      </c>
      <c r="M1" s="27" t="s">
        <v>160</v>
      </c>
      <c r="N1" s="27" t="s">
        <v>161</v>
      </c>
      <c r="O1" s="27" t="s">
        <v>162</v>
      </c>
      <c r="P1" s="27" t="s">
        <v>163</v>
      </c>
      <c r="Q1" s="27" t="s">
        <v>164</v>
      </c>
      <c r="R1" s="27" t="s">
        <v>165</v>
      </c>
      <c r="S1" s="27" t="s">
        <v>166</v>
      </c>
      <c r="T1" s="15"/>
    </row>
    <row r="2" spans="1:20" ht="30.75">
      <c r="A2" s="40">
        <v>1</v>
      </c>
      <c r="B2" s="41" t="s">
        <v>167</v>
      </c>
      <c r="C2" s="41" t="s">
        <v>55</v>
      </c>
      <c r="D2" s="26" t="s">
        <v>56</v>
      </c>
      <c r="E2" s="26" t="s">
        <v>168</v>
      </c>
      <c r="F2" s="26"/>
      <c r="G2" s="26" t="s">
        <v>60</v>
      </c>
      <c r="H2" s="26" t="s">
        <v>169</v>
      </c>
      <c r="I2" s="26" t="s">
        <v>170</v>
      </c>
      <c r="J2" s="29">
        <v>11.9</v>
      </c>
      <c r="K2" s="29">
        <v>17</v>
      </c>
      <c r="L2" s="29">
        <v>8</v>
      </c>
      <c r="M2" s="29">
        <v>100</v>
      </c>
      <c r="N2" s="29">
        <v>500</v>
      </c>
      <c r="O2" s="29">
        <f>Target_Associations!J2</f>
        <v>580</v>
      </c>
      <c r="P2" s="29" t="s">
        <v>171</v>
      </c>
      <c r="Q2" s="29"/>
      <c r="R2" s="29"/>
      <c r="S2" s="29"/>
    </row>
    <row r="3" spans="1:20" ht="30.75">
      <c r="A3" s="40">
        <f>A2+1</f>
        <v>2</v>
      </c>
      <c r="B3" s="41" t="s">
        <v>167</v>
      </c>
      <c r="C3" s="41" t="s">
        <v>55</v>
      </c>
      <c r="D3" s="24" t="s">
        <v>61</v>
      </c>
      <c r="E3" s="26" t="s">
        <v>168</v>
      </c>
      <c r="F3" s="26"/>
      <c r="G3" s="26" t="s">
        <v>60</v>
      </c>
      <c r="H3" s="26" t="s">
        <v>169</v>
      </c>
      <c r="I3" s="26" t="s">
        <v>172</v>
      </c>
      <c r="J3" s="29">
        <v>11.9</v>
      </c>
      <c r="K3" s="29">
        <v>17</v>
      </c>
      <c r="L3" s="29">
        <v>8</v>
      </c>
      <c r="M3" s="29">
        <v>100</v>
      </c>
      <c r="N3" s="29">
        <v>500</v>
      </c>
      <c r="O3" s="29">
        <f>Target_Associations!J3</f>
        <v>131</v>
      </c>
      <c r="P3" s="29" t="s">
        <v>171</v>
      </c>
      <c r="Q3" s="29"/>
      <c r="R3" s="29"/>
      <c r="S3" s="29"/>
    </row>
    <row r="4" spans="1:20" ht="30.75">
      <c r="A4" s="40">
        <f t="shared" ref="A4:A21" si="0">A3+1</f>
        <v>3</v>
      </c>
      <c r="B4" s="41" t="s">
        <v>167</v>
      </c>
      <c r="C4" s="41" t="s">
        <v>55</v>
      </c>
      <c r="D4" s="24" t="s">
        <v>63</v>
      </c>
      <c r="E4" s="26" t="s">
        <v>168</v>
      </c>
      <c r="F4" s="26"/>
      <c r="G4" s="26" t="s">
        <v>60</v>
      </c>
      <c r="H4" s="26" t="s">
        <v>169</v>
      </c>
      <c r="I4" s="26" t="s">
        <v>173</v>
      </c>
      <c r="J4" s="29">
        <v>11.9</v>
      </c>
      <c r="K4" s="29">
        <v>17</v>
      </c>
      <c r="L4" s="29">
        <v>8</v>
      </c>
      <c r="M4" s="29">
        <v>100</v>
      </c>
      <c r="N4" s="29">
        <v>500</v>
      </c>
      <c r="O4" s="29">
        <f>Target_Associations!J4</f>
        <v>62</v>
      </c>
      <c r="P4" s="29" t="s">
        <v>171</v>
      </c>
      <c r="Q4" s="29"/>
      <c r="R4" s="29"/>
      <c r="S4" s="29"/>
    </row>
    <row r="5" spans="1:20" ht="30.75">
      <c r="A5" s="40">
        <f t="shared" si="0"/>
        <v>4</v>
      </c>
      <c r="B5" s="41" t="s">
        <v>167</v>
      </c>
      <c r="C5" s="41" t="s">
        <v>66</v>
      </c>
      <c r="D5" s="24" t="s">
        <v>67</v>
      </c>
      <c r="E5" s="26" t="s">
        <v>168</v>
      </c>
      <c r="F5" s="26"/>
      <c r="G5" s="26" t="s">
        <v>60</v>
      </c>
      <c r="H5" s="26" t="s">
        <v>169</v>
      </c>
      <c r="I5" s="26" t="s">
        <v>174</v>
      </c>
      <c r="J5" s="29">
        <v>11.9</v>
      </c>
      <c r="K5" s="29">
        <v>17</v>
      </c>
      <c r="L5" s="29">
        <v>8</v>
      </c>
      <c r="M5" s="29">
        <v>100</v>
      </c>
      <c r="N5" s="29">
        <v>500</v>
      </c>
      <c r="O5" s="29">
        <f>Target_Associations!J5</f>
        <v>70</v>
      </c>
      <c r="P5" s="29" t="s">
        <v>171</v>
      </c>
      <c r="Q5" s="29"/>
      <c r="R5" s="29"/>
      <c r="S5" s="29"/>
    </row>
    <row r="6" spans="1:20" ht="30.75">
      <c r="A6" s="40">
        <f t="shared" si="0"/>
        <v>5</v>
      </c>
      <c r="B6" s="41" t="s">
        <v>167</v>
      </c>
      <c r="C6" s="41" t="s">
        <v>66</v>
      </c>
      <c r="D6" s="24" t="s">
        <v>70</v>
      </c>
      <c r="E6" s="26" t="s">
        <v>168</v>
      </c>
      <c r="F6" s="26"/>
      <c r="G6" s="26" t="s">
        <v>60</v>
      </c>
      <c r="H6" s="26" t="s">
        <v>169</v>
      </c>
      <c r="I6" s="26" t="s">
        <v>175</v>
      </c>
      <c r="J6" s="29">
        <v>11.9</v>
      </c>
      <c r="K6" s="29">
        <v>17</v>
      </c>
      <c r="L6" s="29">
        <v>8</v>
      </c>
      <c r="M6" s="29">
        <v>100</v>
      </c>
      <c r="N6" s="29">
        <v>500</v>
      </c>
      <c r="O6" s="29">
        <f>Target_Associations!J6</f>
        <v>70</v>
      </c>
      <c r="P6" s="29" t="s">
        <v>171</v>
      </c>
      <c r="Q6" s="29"/>
      <c r="R6" s="29"/>
      <c r="S6" s="29"/>
    </row>
    <row r="7" spans="1:20" ht="45.75">
      <c r="A7" s="40">
        <f t="shared" si="0"/>
        <v>6</v>
      </c>
      <c r="B7" s="41" t="s">
        <v>167</v>
      </c>
      <c r="C7" s="41" t="s">
        <v>73</v>
      </c>
      <c r="D7" s="24" t="s">
        <v>74</v>
      </c>
      <c r="E7" s="26" t="s">
        <v>168</v>
      </c>
      <c r="F7" s="26"/>
      <c r="G7" s="26" t="s">
        <v>78</v>
      </c>
      <c r="H7" s="26" t="s">
        <v>169</v>
      </c>
      <c r="I7" s="26" t="s">
        <v>176</v>
      </c>
      <c r="J7" s="29">
        <v>23.8</v>
      </c>
      <c r="K7" s="29">
        <v>34</v>
      </c>
      <c r="L7" s="29">
        <v>8</v>
      </c>
      <c r="M7" s="29">
        <v>200</v>
      </c>
      <c r="N7" s="29">
        <v>1000</v>
      </c>
      <c r="O7" s="29">
        <f>Target_Associations!J7</f>
        <v>75</v>
      </c>
      <c r="P7" s="29" t="s">
        <v>171</v>
      </c>
      <c r="Q7" s="29"/>
      <c r="R7" s="29"/>
      <c r="S7" s="29"/>
    </row>
    <row r="8" spans="1:20" ht="45.75">
      <c r="A8" s="40">
        <f t="shared" si="0"/>
        <v>7</v>
      </c>
      <c r="B8" s="41" t="s">
        <v>167</v>
      </c>
      <c r="C8" s="41" t="s">
        <v>73</v>
      </c>
      <c r="D8" s="24" t="s">
        <v>177</v>
      </c>
      <c r="E8" s="26" t="s">
        <v>168</v>
      </c>
      <c r="F8" s="26"/>
      <c r="G8" s="26" t="s">
        <v>78</v>
      </c>
      <c r="H8" s="26" t="s">
        <v>169</v>
      </c>
      <c r="I8" s="26" t="s">
        <v>176</v>
      </c>
      <c r="J8" s="29">
        <v>23.8</v>
      </c>
      <c r="K8" s="29">
        <v>34</v>
      </c>
      <c r="L8" s="29">
        <v>8</v>
      </c>
      <c r="M8" s="29">
        <v>200</v>
      </c>
      <c r="N8" s="29">
        <v>1000</v>
      </c>
      <c r="O8" s="29">
        <f>Target_Associations!J8</f>
        <v>180</v>
      </c>
      <c r="P8" s="29" t="s">
        <v>171</v>
      </c>
      <c r="Q8" s="29"/>
      <c r="R8" s="29"/>
      <c r="S8" s="29"/>
    </row>
    <row r="9" spans="1:20" ht="45.75">
      <c r="A9" s="40">
        <f t="shared" si="0"/>
        <v>8</v>
      </c>
      <c r="B9" s="42" t="s">
        <v>167</v>
      </c>
      <c r="C9" s="41" t="s">
        <v>73</v>
      </c>
      <c r="D9" s="24" t="s">
        <v>82</v>
      </c>
      <c r="E9" s="26" t="s">
        <v>168</v>
      </c>
      <c r="F9" s="26"/>
      <c r="G9" s="26" t="s">
        <v>78</v>
      </c>
      <c r="H9" s="26" t="s">
        <v>169</v>
      </c>
      <c r="I9" s="26" t="s">
        <v>176</v>
      </c>
      <c r="J9" s="29">
        <v>23.8</v>
      </c>
      <c r="K9" s="29">
        <v>34</v>
      </c>
      <c r="L9" s="29">
        <v>8</v>
      </c>
      <c r="M9" s="29">
        <v>200</v>
      </c>
      <c r="N9" s="29">
        <v>1000</v>
      </c>
      <c r="O9" s="29">
        <f>Target_Associations!J9</f>
        <v>2000</v>
      </c>
      <c r="P9" s="29" t="s">
        <v>171</v>
      </c>
      <c r="Q9" s="29"/>
      <c r="R9" s="29"/>
      <c r="S9" s="29"/>
    </row>
    <row r="10" spans="1:20" ht="45.75">
      <c r="A10" s="40">
        <f t="shared" si="0"/>
        <v>9</v>
      </c>
      <c r="B10" s="42" t="s">
        <v>167</v>
      </c>
      <c r="C10" s="42" t="s">
        <v>86</v>
      </c>
      <c r="D10" s="24" t="s">
        <v>87</v>
      </c>
      <c r="E10" s="26" t="s">
        <v>168</v>
      </c>
      <c r="F10" s="26"/>
      <c r="G10" s="26" t="s">
        <v>78</v>
      </c>
      <c r="H10" s="26" t="s">
        <v>169</v>
      </c>
      <c r="I10" s="26" t="s">
        <v>176</v>
      </c>
      <c r="J10" s="29">
        <v>23.8</v>
      </c>
      <c r="K10" s="29">
        <v>34</v>
      </c>
      <c r="L10" s="29">
        <v>8</v>
      </c>
      <c r="M10" s="29">
        <v>200</v>
      </c>
      <c r="N10" s="29">
        <v>1000</v>
      </c>
      <c r="O10" s="29">
        <f>Target_Associations!J10</f>
        <v>224</v>
      </c>
      <c r="P10" s="29" t="s">
        <v>171</v>
      </c>
      <c r="Q10" s="29"/>
      <c r="R10" s="29"/>
      <c r="S10" s="29"/>
    </row>
    <row r="11" spans="1:20" ht="45.75">
      <c r="A11" s="40">
        <f t="shared" si="0"/>
        <v>10</v>
      </c>
      <c r="B11" s="41" t="s">
        <v>167</v>
      </c>
      <c r="C11" s="42" t="s">
        <v>86</v>
      </c>
      <c r="D11" s="24" t="s">
        <v>89</v>
      </c>
      <c r="E11" s="26" t="s">
        <v>168</v>
      </c>
      <c r="F11" s="26"/>
      <c r="G11" s="26" t="s">
        <v>78</v>
      </c>
      <c r="H11" s="26" t="s">
        <v>169</v>
      </c>
      <c r="I11" s="26" t="s">
        <v>176</v>
      </c>
      <c r="J11" s="29">
        <v>23.8</v>
      </c>
      <c r="K11" s="29">
        <v>34</v>
      </c>
      <c r="L11" s="29">
        <v>8</v>
      </c>
      <c r="M11" s="29">
        <v>200</v>
      </c>
      <c r="N11" s="29">
        <v>1000</v>
      </c>
      <c r="O11" s="29">
        <f>Target_Associations!J11</f>
        <v>364</v>
      </c>
      <c r="P11" s="29" t="s">
        <v>171</v>
      </c>
      <c r="Q11" s="29"/>
      <c r="R11" s="29"/>
      <c r="S11" s="29"/>
    </row>
    <row r="12" spans="1:20" ht="30.75">
      <c r="A12" s="40">
        <f t="shared" si="0"/>
        <v>11</v>
      </c>
      <c r="B12" s="41" t="s">
        <v>92</v>
      </c>
      <c r="C12" s="25" t="s">
        <v>93</v>
      </c>
      <c r="D12" s="44" t="s">
        <v>94</v>
      </c>
      <c r="E12" s="26" t="s">
        <v>168</v>
      </c>
      <c r="F12" s="26"/>
      <c r="G12" s="26" t="s">
        <v>60</v>
      </c>
      <c r="H12" s="26" t="s">
        <v>169</v>
      </c>
      <c r="I12" s="26" t="s">
        <v>170</v>
      </c>
      <c r="J12" s="29">
        <v>11.9</v>
      </c>
      <c r="K12" s="29">
        <v>17</v>
      </c>
      <c r="L12" s="29">
        <v>8</v>
      </c>
      <c r="M12" s="29">
        <v>100</v>
      </c>
      <c r="N12" s="29">
        <v>500</v>
      </c>
      <c r="O12" s="29">
        <f>Target_Associations!J12</f>
        <v>36</v>
      </c>
      <c r="P12" s="29" t="s">
        <v>171</v>
      </c>
      <c r="Q12" s="29"/>
      <c r="R12" s="29"/>
      <c r="S12" s="29"/>
    </row>
    <row r="13" spans="1:20" ht="30.75">
      <c r="A13" s="40">
        <f t="shared" si="0"/>
        <v>12</v>
      </c>
      <c r="B13" s="41" t="s">
        <v>92</v>
      </c>
      <c r="C13" s="25" t="s">
        <v>93</v>
      </c>
      <c r="D13" s="44" t="s">
        <v>93</v>
      </c>
      <c r="E13" s="26" t="s">
        <v>168</v>
      </c>
      <c r="F13" s="26"/>
      <c r="G13" s="26" t="s">
        <v>60</v>
      </c>
      <c r="H13" s="26" t="s">
        <v>169</v>
      </c>
      <c r="I13" s="26" t="s">
        <v>172</v>
      </c>
      <c r="J13" s="29">
        <v>11.9</v>
      </c>
      <c r="K13" s="29">
        <v>17</v>
      </c>
      <c r="L13" s="29">
        <v>8</v>
      </c>
      <c r="M13" s="29">
        <v>100</v>
      </c>
      <c r="N13" s="29">
        <v>500</v>
      </c>
      <c r="O13" s="29">
        <f>Target_Associations!J13</f>
        <v>30</v>
      </c>
      <c r="P13" s="29" t="s">
        <v>171</v>
      </c>
      <c r="Q13" s="29"/>
      <c r="R13" s="29"/>
      <c r="S13" s="29"/>
    </row>
    <row r="14" spans="1:20" ht="33">
      <c r="A14" s="40">
        <f t="shared" si="0"/>
        <v>13</v>
      </c>
      <c r="B14" s="41" t="s">
        <v>92</v>
      </c>
      <c r="C14" s="25" t="s">
        <v>93</v>
      </c>
      <c r="D14" s="44" t="s">
        <v>99</v>
      </c>
      <c r="E14" s="26" t="s">
        <v>168</v>
      </c>
      <c r="F14" s="26"/>
      <c r="G14" s="26" t="s">
        <v>60</v>
      </c>
      <c r="H14" s="26" t="s">
        <v>169</v>
      </c>
      <c r="I14" s="26" t="s">
        <v>173</v>
      </c>
      <c r="J14" s="29">
        <v>11.9</v>
      </c>
      <c r="K14" s="29">
        <v>17</v>
      </c>
      <c r="L14" s="29">
        <v>8</v>
      </c>
      <c r="M14" s="29">
        <v>100</v>
      </c>
      <c r="N14" s="29">
        <v>500</v>
      </c>
      <c r="O14" s="29">
        <f>Target_Associations!J14</f>
        <v>49</v>
      </c>
      <c r="P14" s="29" t="s">
        <v>171</v>
      </c>
      <c r="Q14" s="29"/>
      <c r="R14" s="29"/>
      <c r="S14" s="29"/>
    </row>
    <row r="15" spans="1:20" ht="33">
      <c r="A15" s="40">
        <f t="shared" si="0"/>
        <v>14</v>
      </c>
      <c r="B15" s="41" t="s">
        <v>92</v>
      </c>
      <c r="C15" s="25" t="s">
        <v>93</v>
      </c>
      <c r="D15" s="44" t="s">
        <v>99</v>
      </c>
      <c r="E15" s="26" t="s">
        <v>168</v>
      </c>
      <c r="F15" s="26"/>
      <c r="G15" s="26" t="s">
        <v>60</v>
      </c>
      <c r="H15" s="26" t="s">
        <v>169</v>
      </c>
      <c r="I15" s="26" t="s">
        <v>174</v>
      </c>
      <c r="J15" s="29">
        <v>11.9</v>
      </c>
      <c r="K15" s="29">
        <v>17</v>
      </c>
      <c r="L15" s="29">
        <v>8</v>
      </c>
      <c r="M15" s="29">
        <v>100</v>
      </c>
      <c r="N15" s="29">
        <v>500</v>
      </c>
      <c r="O15" s="29">
        <f>Target_Associations!J15</f>
        <v>20</v>
      </c>
      <c r="P15" s="29" t="s">
        <v>171</v>
      </c>
      <c r="Q15" s="29"/>
      <c r="R15" s="29"/>
      <c r="S15" s="29"/>
    </row>
    <row r="16" spans="1:20" ht="33">
      <c r="A16" s="40">
        <f t="shared" si="0"/>
        <v>15</v>
      </c>
      <c r="B16" s="41" t="s">
        <v>92</v>
      </c>
      <c r="C16" s="25" t="s">
        <v>93</v>
      </c>
      <c r="D16" s="44" t="s">
        <v>104</v>
      </c>
      <c r="E16" s="26" t="s">
        <v>168</v>
      </c>
      <c r="F16" s="26"/>
      <c r="G16" s="26" t="s">
        <v>60</v>
      </c>
      <c r="H16" s="26" t="s">
        <v>169</v>
      </c>
      <c r="I16" s="26" t="s">
        <v>175</v>
      </c>
      <c r="J16" s="29">
        <v>11.9</v>
      </c>
      <c r="K16" s="29">
        <v>17</v>
      </c>
      <c r="L16" s="29">
        <v>8</v>
      </c>
      <c r="M16" s="29">
        <v>100</v>
      </c>
      <c r="N16" s="29">
        <v>500</v>
      </c>
      <c r="O16" s="29">
        <f>Target_Associations!J16</f>
        <v>35</v>
      </c>
      <c r="P16" s="29" t="s">
        <v>171</v>
      </c>
      <c r="Q16" s="29"/>
      <c r="R16" s="29"/>
      <c r="S16" s="29"/>
    </row>
    <row r="17" spans="1:19" ht="45.75">
      <c r="A17" s="40">
        <f t="shared" si="0"/>
        <v>16</v>
      </c>
      <c r="B17" s="41" t="s">
        <v>92</v>
      </c>
      <c r="C17" s="25" t="s">
        <v>107</v>
      </c>
      <c r="D17" s="44" t="s">
        <v>108</v>
      </c>
      <c r="E17" s="26" t="s">
        <v>168</v>
      </c>
      <c r="F17" s="26"/>
      <c r="G17" s="26" t="s">
        <v>78</v>
      </c>
      <c r="H17" s="26" t="s">
        <v>169</v>
      </c>
      <c r="I17" s="26" t="s">
        <v>176</v>
      </c>
      <c r="J17" s="29">
        <v>23.8</v>
      </c>
      <c r="K17" s="29">
        <v>34</v>
      </c>
      <c r="L17" s="29">
        <v>8</v>
      </c>
      <c r="M17" s="29">
        <v>200</v>
      </c>
      <c r="N17" s="29">
        <v>1000</v>
      </c>
      <c r="O17" s="29">
        <f>Target_Associations!J17</f>
        <v>30</v>
      </c>
      <c r="P17" s="29" t="s">
        <v>171</v>
      </c>
      <c r="Q17" s="29"/>
      <c r="R17" s="29"/>
      <c r="S17" s="29"/>
    </row>
    <row r="18" spans="1:19" ht="45.75">
      <c r="A18" s="40">
        <f t="shared" si="0"/>
        <v>17</v>
      </c>
      <c r="B18" s="41" t="s">
        <v>92</v>
      </c>
      <c r="C18" s="25" t="s">
        <v>107</v>
      </c>
      <c r="D18" s="44" t="s">
        <v>111</v>
      </c>
      <c r="E18" s="26" t="s">
        <v>168</v>
      </c>
      <c r="F18" s="26"/>
      <c r="G18" s="26" t="s">
        <v>78</v>
      </c>
      <c r="H18" s="26" t="s">
        <v>169</v>
      </c>
      <c r="I18" s="26" t="s">
        <v>176</v>
      </c>
      <c r="J18" s="29">
        <v>23.8</v>
      </c>
      <c r="K18" s="29">
        <v>34</v>
      </c>
      <c r="L18" s="29">
        <v>8</v>
      </c>
      <c r="M18" s="29">
        <v>200</v>
      </c>
      <c r="N18" s="29">
        <v>1000</v>
      </c>
      <c r="O18" s="29">
        <f>Target_Associations!J18</f>
        <v>30</v>
      </c>
      <c r="P18" s="29" t="s">
        <v>171</v>
      </c>
      <c r="Q18" s="29"/>
      <c r="R18" s="29"/>
      <c r="S18" s="29"/>
    </row>
    <row r="19" spans="1:19" ht="45.75">
      <c r="A19" s="40">
        <f t="shared" si="0"/>
        <v>18</v>
      </c>
      <c r="B19" s="42" t="s">
        <v>92</v>
      </c>
      <c r="C19" s="25" t="s">
        <v>107</v>
      </c>
      <c r="D19" s="44" t="s">
        <v>114</v>
      </c>
      <c r="E19" s="26" t="s">
        <v>168</v>
      </c>
      <c r="F19" s="26"/>
      <c r="G19" s="26" t="s">
        <v>78</v>
      </c>
      <c r="H19" s="26" t="s">
        <v>169</v>
      </c>
      <c r="I19" s="26" t="s">
        <v>176</v>
      </c>
      <c r="J19" s="29">
        <v>23.8</v>
      </c>
      <c r="K19" s="29">
        <v>34</v>
      </c>
      <c r="L19" s="29">
        <v>8</v>
      </c>
      <c r="M19" s="29">
        <v>200</v>
      </c>
      <c r="N19" s="29">
        <v>1000</v>
      </c>
      <c r="O19" s="29">
        <f>Target_Associations!J19</f>
        <v>30</v>
      </c>
      <c r="P19" s="29" t="s">
        <v>171</v>
      </c>
      <c r="Q19" s="29"/>
      <c r="R19" s="29"/>
      <c r="S19" s="29"/>
    </row>
    <row r="20" spans="1:19" ht="45.75">
      <c r="A20" s="40">
        <f t="shared" si="0"/>
        <v>19</v>
      </c>
      <c r="B20" s="42" t="s">
        <v>92</v>
      </c>
      <c r="C20" s="25" t="s">
        <v>107</v>
      </c>
      <c r="D20" s="44" t="s">
        <v>117</v>
      </c>
      <c r="E20" s="26" t="s">
        <v>168</v>
      </c>
      <c r="F20" s="26"/>
      <c r="G20" s="26" t="s">
        <v>78</v>
      </c>
      <c r="H20" s="26" t="s">
        <v>169</v>
      </c>
      <c r="I20" s="26" t="s">
        <v>176</v>
      </c>
      <c r="J20" s="29">
        <v>23.8</v>
      </c>
      <c r="K20" s="29">
        <v>34</v>
      </c>
      <c r="L20" s="29">
        <v>8</v>
      </c>
      <c r="M20" s="29">
        <v>200</v>
      </c>
      <c r="N20" s="29">
        <v>1000</v>
      </c>
      <c r="O20" s="29">
        <f>Target_Associations!J20</f>
        <v>30</v>
      </c>
      <c r="P20" s="29" t="s">
        <v>171</v>
      </c>
      <c r="Q20" s="29"/>
      <c r="R20" s="29"/>
      <c r="S20" s="29"/>
    </row>
    <row r="21" spans="1:19" ht="45.75">
      <c r="A21" s="40">
        <f t="shared" si="0"/>
        <v>20</v>
      </c>
      <c r="B21" s="25" t="s">
        <v>92</v>
      </c>
      <c r="C21" s="25" t="s">
        <v>107</v>
      </c>
      <c r="D21" s="44" t="s">
        <v>120</v>
      </c>
      <c r="E21" s="26" t="s">
        <v>168</v>
      </c>
      <c r="F21" s="26"/>
      <c r="G21" s="26" t="s">
        <v>78</v>
      </c>
      <c r="H21" s="26" t="s">
        <v>169</v>
      </c>
      <c r="I21" s="26" t="s">
        <v>176</v>
      </c>
      <c r="J21" s="29">
        <v>23.8</v>
      </c>
      <c r="K21" s="29">
        <v>34</v>
      </c>
      <c r="L21" s="29">
        <v>8</v>
      </c>
      <c r="M21" s="29">
        <v>200</v>
      </c>
      <c r="N21" s="29">
        <v>1000</v>
      </c>
      <c r="O21" s="29">
        <f>Target_Associations!J21</f>
        <v>30</v>
      </c>
      <c r="P21" s="29" t="s">
        <v>171</v>
      </c>
      <c r="Q21" s="29"/>
      <c r="R21" s="29"/>
      <c r="S21"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F8735-B1B4-4505-BCD9-530AA22C9A08}">
  <dimension ref="A1:N17"/>
  <sheetViews>
    <sheetView tabSelected="1" topLeftCell="A6" workbookViewId="0">
      <selection activeCell="G12" sqref="G12"/>
    </sheetView>
  </sheetViews>
  <sheetFormatPr defaultRowHeight="15"/>
  <cols>
    <col min="1" max="1" width="6.28515625" customWidth="1"/>
    <col min="2" max="2" width="12" customWidth="1"/>
    <col min="3" max="3" width="14" customWidth="1"/>
    <col min="4" max="4" width="18.140625" customWidth="1"/>
    <col min="5" max="5" width="15.85546875" customWidth="1"/>
    <col min="6" max="6" width="12" customWidth="1"/>
    <col min="7" max="7" width="25" customWidth="1"/>
    <col min="8" max="8" width="13.42578125" customWidth="1"/>
    <col min="9" max="9" width="16.140625" customWidth="1"/>
    <col min="11" max="11" width="11.5703125" customWidth="1"/>
    <col min="13" max="13" width="11.85546875" customWidth="1"/>
  </cols>
  <sheetData>
    <row r="1" spans="1:14" ht="57.75">
      <c r="A1" s="14" t="s">
        <v>150</v>
      </c>
      <c r="B1" s="14" t="s">
        <v>44</v>
      </c>
      <c r="C1" s="14" t="s">
        <v>45</v>
      </c>
      <c r="D1" s="14" t="s">
        <v>178</v>
      </c>
      <c r="E1" s="14" t="s">
        <v>153</v>
      </c>
      <c r="F1" s="14" t="s">
        <v>179</v>
      </c>
      <c r="G1" s="14" t="s">
        <v>180</v>
      </c>
      <c r="H1" s="14" t="s">
        <v>181</v>
      </c>
      <c r="I1" s="14" t="s">
        <v>162</v>
      </c>
      <c r="J1" s="14" t="s">
        <v>163</v>
      </c>
      <c r="K1" s="14" t="s">
        <v>164</v>
      </c>
      <c r="L1" s="14" t="s">
        <v>165</v>
      </c>
      <c r="M1" s="14" t="s">
        <v>166</v>
      </c>
      <c r="N1" s="15"/>
    </row>
    <row r="2" spans="1:14" ht="52.5" customHeight="1">
      <c r="A2">
        <v>1</v>
      </c>
      <c r="B2" t="s">
        <v>182</v>
      </c>
      <c r="C2" t="s">
        <v>93</v>
      </c>
      <c r="D2" s="1" t="s">
        <v>183</v>
      </c>
      <c r="E2" s="1" t="s">
        <v>184</v>
      </c>
      <c r="F2" s="30">
        <v>4190</v>
      </c>
      <c r="G2" s="1" t="s">
        <v>185</v>
      </c>
      <c r="J2" s="31">
        <v>1</v>
      </c>
    </row>
    <row r="3" spans="1:14" ht="43.5">
      <c r="A3">
        <f>A2+1</f>
        <v>2</v>
      </c>
      <c r="B3" t="s">
        <v>182</v>
      </c>
      <c r="C3" t="s">
        <v>93</v>
      </c>
      <c r="D3" s="1" t="s">
        <v>186</v>
      </c>
      <c r="E3" s="1" t="s">
        <v>187</v>
      </c>
      <c r="F3" s="30">
        <v>1300</v>
      </c>
      <c r="G3" s="1" t="s">
        <v>188</v>
      </c>
      <c r="J3" s="31">
        <v>1</v>
      </c>
    </row>
    <row r="4" spans="1:14" ht="43.5">
      <c r="A4">
        <f t="shared" ref="A4:A12" si="0">A3+1</f>
        <v>3</v>
      </c>
      <c r="B4" t="s">
        <v>182</v>
      </c>
      <c r="C4" t="s">
        <v>93</v>
      </c>
      <c r="D4" s="1" t="s">
        <v>189</v>
      </c>
      <c r="E4" s="1" t="s">
        <v>190</v>
      </c>
      <c r="F4" s="30">
        <v>3000</v>
      </c>
      <c r="G4" s="1" t="s">
        <v>191</v>
      </c>
      <c r="J4" s="31">
        <v>1</v>
      </c>
    </row>
    <row r="5" spans="1:14" ht="43.5">
      <c r="A5">
        <f t="shared" si="0"/>
        <v>4</v>
      </c>
      <c r="B5" t="s">
        <v>182</v>
      </c>
      <c r="C5" t="s">
        <v>93</v>
      </c>
      <c r="D5" s="1" t="s">
        <v>192</v>
      </c>
      <c r="E5" s="1" t="s">
        <v>193</v>
      </c>
      <c r="F5" s="30">
        <v>1280</v>
      </c>
      <c r="G5" s="1" t="s">
        <v>194</v>
      </c>
      <c r="J5" s="31">
        <v>1</v>
      </c>
    </row>
    <row r="6" spans="1:14" ht="43.5">
      <c r="A6">
        <f t="shared" si="0"/>
        <v>5</v>
      </c>
      <c r="B6" t="s">
        <v>182</v>
      </c>
      <c r="C6" t="s">
        <v>93</v>
      </c>
      <c r="D6" s="1" t="s">
        <v>195</v>
      </c>
      <c r="E6" s="1" t="s">
        <v>196</v>
      </c>
      <c r="F6" s="30">
        <v>1680</v>
      </c>
      <c r="G6" s="1" t="s">
        <v>197</v>
      </c>
      <c r="J6" s="31">
        <v>1</v>
      </c>
    </row>
    <row r="7" spans="1:14" ht="43.5">
      <c r="A7">
        <f t="shared" si="0"/>
        <v>6</v>
      </c>
      <c r="B7" t="s">
        <v>182</v>
      </c>
      <c r="C7" t="s">
        <v>93</v>
      </c>
      <c r="D7" s="1" t="s">
        <v>198</v>
      </c>
      <c r="E7" s="1" t="s">
        <v>199</v>
      </c>
      <c r="F7" s="30">
        <v>7974</v>
      </c>
      <c r="G7" s="1" t="s">
        <v>200</v>
      </c>
      <c r="J7" s="31">
        <v>1</v>
      </c>
    </row>
    <row r="8" spans="1:14" ht="43.5">
      <c r="A8">
        <f t="shared" si="0"/>
        <v>7</v>
      </c>
      <c r="B8" t="s">
        <v>182</v>
      </c>
      <c r="C8" t="s">
        <v>93</v>
      </c>
      <c r="D8" t="s">
        <v>201</v>
      </c>
      <c r="E8" s="1" t="s">
        <v>202</v>
      </c>
      <c r="F8" s="30">
        <v>2020</v>
      </c>
      <c r="G8" s="1" t="s">
        <v>203</v>
      </c>
      <c r="J8" s="31">
        <v>1</v>
      </c>
    </row>
    <row r="9" spans="1:14" ht="43.5">
      <c r="A9">
        <f t="shared" si="0"/>
        <v>8</v>
      </c>
      <c r="B9" t="s">
        <v>182</v>
      </c>
      <c r="C9" t="s">
        <v>93</v>
      </c>
      <c r="D9" t="s">
        <v>204</v>
      </c>
      <c r="E9" s="1" t="s">
        <v>205</v>
      </c>
      <c r="F9" s="30">
        <v>1800</v>
      </c>
      <c r="G9" s="1" t="s">
        <v>206</v>
      </c>
      <c r="J9" s="31">
        <v>1</v>
      </c>
    </row>
    <row r="10" spans="1:14" ht="43.5">
      <c r="A10">
        <f t="shared" si="0"/>
        <v>9</v>
      </c>
      <c r="B10" t="s">
        <v>182</v>
      </c>
      <c r="C10" t="s">
        <v>93</v>
      </c>
      <c r="D10" t="s">
        <v>207</v>
      </c>
      <c r="E10" s="1" t="s">
        <v>208</v>
      </c>
      <c r="F10" s="30">
        <v>1790</v>
      </c>
      <c r="G10" s="1" t="s">
        <v>209</v>
      </c>
      <c r="J10" s="31">
        <v>1</v>
      </c>
    </row>
    <row r="11" spans="1:14" ht="43.5">
      <c r="A11">
        <f t="shared" si="0"/>
        <v>10</v>
      </c>
      <c r="B11" t="s">
        <v>182</v>
      </c>
      <c r="C11" t="s">
        <v>93</v>
      </c>
      <c r="D11" t="s">
        <v>210</v>
      </c>
      <c r="E11" s="32" t="s">
        <v>211</v>
      </c>
      <c r="F11" s="30">
        <v>1610</v>
      </c>
      <c r="G11" s="1" t="s">
        <v>212</v>
      </c>
      <c r="J11" s="31">
        <v>1</v>
      </c>
    </row>
    <row r="12" spans="1:14" ht="43.5">
      <c r="A12">
        <f t="shared" si="0"/>
        <v>11</v>
      </c>
      <c r="B12" t="s">
        <v>182</v>
      </c>
      <c r="C12" t="s">
        <v>93</v>
      </c>
      <c r="D12" t="s">
        <v>213</v>
      </c>
      <c r="E12" s="1" t="s">
        <v>214</v>
      </c>
      <c r="F12" s="30">
        <v>700</v>
      </c>
      <c r="G12" s="1" t="s">
        <v>215</v>
      </c>
      <c r="J12" s="31">
        <v>1</v>
      </c>
    </row>
    <row r="13" spans="1:14" ht="29.25">
      <c r="A13" s="46">
        <v>12</v>
      </c>
      <c r="B13" s="46" t="s">
        <v>216</v>
      </c>
      <c r="C13" s="46" t="s">
        <v>216</v>
      </c>
      <c r="D13" s="46" t="s">
        <v>217</v>
      </c>
      <c r="E13" s="1" t="s">
        <v>218</v>
      </c>
      <c r="F13" s="30">
        <v>1100</v>
      </c>
      <c r="G13" t="s">
        <v>219</v>
      </c>
      <c r="J13" s="31">
        <v>1</v>
      </c>
    </row>
    <row r="14" spans="1:14" ht="29.25">
      <c r="A14" s="46">
        <v>13</v>
      </c>
      <c r="B14" s="46" t="s">
        <v>216</v>
      </c>
      <c r="C14" s="46" t="s">
        <v>216</v>
      </c>
      <c r="D14" s="46" t="s">
        <v>220</v>
      </c>
      <c r="E14" s="1" t="s">
        <v>221</v>
      </c>
      <c r="F14" s="45">
        <v>4100</v>
      </c>
      <c r="G14" t="s">
        <v>219</v>
      </c>
      <c r="J14" s="31">
        <v>1</v>
      </c>
    </row>
    <row r="16" spans="1:14">
      <c r="F16">
        <f>SUBTOTAL(9,F2:F14)</f>
        <v>32544</v>
      </c>
    </row>
    <row r="17" spans="7:7">
      <c r="G17">
        <f>F16/1000</f>
        <v>32.543999999999997</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c5a8ea-eaed-4de4-a4c1-bb274ab7d611">
      <Terms xmlns="http://schemas.microsoft.com/office/infopath/2007/PartnerControls"/>
    </lcf76f155ced4ddcb4097134ff3c332f>
    <TaxCatchAll xmlns="8dcc6fa3-9f4a-44be-8138-52b0a771460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1E7B6247FD234A9D5B6036ABF788CD" ma:contentTypeVersion="13" ma:contentTypeDescription="Create a new document." ma:contentTypeScope="" ma:versionID="b50dc4aa3594d91fde16775b8441a32e">
  <xsd:schema xmlns:xsd="http://www.w3.org/2001/XMLSchema" xmlns:xs="http://www.w3.org/2001/XMLSchema" xmlns:p="http://schemas.microsoft.com/office/2006/metadata/properties" xmlns:ns2="6fc5a8ea-eaed-4de4-a4c1-bb274ab7d611" xmlns:ns3="8dcc6fa3-9f4a-44be-8138-52b0a7714600" targetNamespace="http://schemas.microsoft.com/office/2006/metadata/properties" ma:root="true" ma:fieldsID="1877d62fc6685f2668d5ea3d4d9ea396" ns2:_="" ns3:_="">
    <xsd:import namespace="6fc5a8ea-eaed-4de4-a4c1-bb274ab7d611"/>
    <xsd:import namespace="8dcc6fa3-9f4a-44be-8138-52b0a77146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5a8ea-eaed-4de4-a4c1-bb274ab7d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cc6fa3-9f4a-44be-8138-52b0a77146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e6159-c170-46ef-874c-a5c14db90d07}" ma:internalName="TaxCatchAll" ma:showField="CatchAllData" ma:web="8dcc6fa3-9f4a-44be-8138-52b0a77146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A9BF68-9E69-4F50-9C08-A7F48974D00A}"/>
</file>

<file path=customXml/itemProps2.xml><?xml version="1.0" encoding="utf-8"?>
<ds:datastoreItem xmlns:ds="http://schemas.openxmlformats.org/officeDocument/2006/customXml" ds:itemID="{67D8B615-DD80-4F9A-B8D8-ECDC24875A94}"/>
</file>

<file path=customXml/itemProps3.xml><?xml version="1.0" encoding="utf-8"?>
<ds:datastoreItem xmlns:ds="http://schemas.openxmlformats.org/officeDocument/2006/customXml" ds:itemID="{CC30FEF1-9E5C-4B11-911F-2579D48527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Marrian Gebreselassie</dc:creator>
  <cp:keywords/>
  <dc:description/>
  <cp:lastModifiedBy/>
  <cp:revision/>
  <dcterms:created xsi:type="dcterms:W3CDTF">2025-12-30T10:19:26Z</dcterms:created>
  <dcterms:modified xsi:type="dcterms:W3CDTF">2026-10-18T21:48:16Z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0x0101009E1E7B6247FD234A9D5B6036ABF788CD</vt:lpwstr>
  </property>
  <property fmtid="{D5CDD505-2E9C-101B-9397-08002B2CF9AE}" pid="3" name="MediaServiceImageTags">
    <vt:lpwstr/>
  </property>
</Properties>
</file>