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3.xml" ContentType="application/vnd.openxmlformats-officedocument.spreadsheetml.table+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codeName="ThisWorkbook"/>
  <mc:AlternateContent xmlns:mc="http://schemas.openxmlformats.org/markup-compatibility/2006">
    <mc:Choice Requires="x15">
      <x15ac:absPath xmlns:x15ac="http://schemas.microsoft.com/office/spreadsheetml/2010/11/ac" url="https://undp.sharepoint.com/sites/sudanresilience/Shared Documents/Project Implmentation/RoK/"/>
    </mc:Choice>
  </mc:AlternateContent>
  <xr:revisionPtr revIDLastSave="0" documentId="8_{58332559-D272-4CDA-9576-E6EBE8CBAA5C}" xr6:coauthVersionLast="47" xr6:coauthVersionMax="47" xr10:uidLastSave="{00000000-0000-0000-0000-000000000000}"/>
  <bookViews>
    <workbookView xWindow="0" yWindow="600" windowWidth="33600" windowHeight="18660" tabRatio="766" firstSheet="10" activeTab="10" xr2:uid="{00000000-000D-0000-FFFF-FFFF00000000}"/>
  </bookViews>
  <sheets>
    <sheet name="Project List" sheetId="38" state="hidden" r:id="rId1"/>
    <sheet name="Award List" sheetId="44" state="hidden" r:id="rId2"/>
    <sheet name="PADF" sheetId="45" state="hidden" r:id="rId3"/>
    <sheet name="Norway Portfolio" sheetId="46" state="hidden" r:id="rId4"/>
    <sheet name="Account_Codes" sheetId="39" state="hidden" r:id="rId5"/>
    <sheet name="Resp. Party" sheetId="40" state="hidden" r:id="rId6"/>
    <sheet name="AWP 2026-2027" sheetId="54" r:id="rId7"/>
    <sheet name="Procurement Plan" sheetId="58" r:id="rId8"/>
    <sheet name="Communications" sheetId="56" r:id="rId9"/>
    <sheet name="HR Plan" sheetId="57" r:id="rId10"/>
    <sheet name="Monitoring Plan" sheetId="55" r:id="rId11"/>
    <sheet name="Results Framework" sheetId="59" r:id="rId12"/>
  </sheets>
  <externalReferences>
    <externalReference r:id="rId13"/>
  </externalReferences>
  <definedNames>
    <definedName name="_1.1_Human_Rights">[1]Sheet1!#REF!</definedName>
    <definedName name="_1.10">[1]Sheet1!#REF!</definedName>
    <definedName name="_1.2_Gender_equality_and_women_s_empowerment">[1]Sheet1!#REF!</definedName>
    <definedName name="_1.3_Grievances__Accountability_to_stakeholders">[1]Sheet1!#REF!</definedName>
    <definedName name="_xlnm._FilterDatabase" localSheetId="4" hidden="1">Account_Codes!$A$1:$G$424</definedName>
    <definedName name="_xlnm._FilterDatabase" localSheetId="1" hidden="1">'Award List'!$B$1:$O$224</definedName>
    <definedName name="_xlnm._FilterDatabase" localSheetId="0" hidden="1">'Project List'!$A$1:$H$49</definedName>
    <definedName name="_xlnm._FilterDatabase" localSheetId="5" hidden="1">'Resp. Party'!$A$1:$F$261</definedName>
    <definedName name="Category_Name_as_per_Agreement">#REF!</definedName>
    <definedName name="COA_Activity_Task">#REF!</definedName>
    <definedName name="COA_Budgetary_Account">Account_Codes!$G$2:$G$426</definedName>
    <definedName name="COA_Cost_Center">Account_Codes!$J$2</definedName>
    <definedName name="COA_RES_PARTY_CODE">'Resp. Party'!$G$2:$G$283</definedName>
    <definedName name="Contingency">#REF!</definedName>
    <definedName name="DPC">#REF!</definedName>
    <definedName name="GMS">#REF!</definedName>
    <definedName name="GMS_">#REF!</definedName>
    <definedName name="List_Award_No">'Award List'!$B$2:$B$388</definedName>
    <definedName name="List_Donor_Code">PADF!$C$2:$C$247</definedName>
    <definedName name="List_Project_No">'Project List'!$A$2:$A$61</definedName>
    <definedName name="Main_Activity1">#REF!:#REF!</definedName>
    <definedName name="Operations">#REF!</definedName>
    <definedName name="PIU">#REF!</definedName>
    <definedName name="Programme_Output">#REF!</definedName>
    <definedName name="Static_Award">#REF!</definedName>
    <definedName name="Static_Donor">#REF!</definedName>
    <definedName name="Static_Fund">#REF!</definedName>
    <definedName name="Static_Project_No.">#REF!</definedName>
    <definedName name="Visibilit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9" i="55" l="1"/>
  <c r="F19" i="55"/>
  <c r="K18" i="55"/>
  <c r="K17" i="55"/>
  <c r="K15" i="55"/>
  <c r="K12" i="55"/>
  <c r="K11" i="55"/>
  <c r="F24" i="58"/>
  <c r="F45" i="58" s="1"/>
  <c r="N19" i="54"/>
  <c r="N41" i="54"/>
  <c r="N34" i="54"/>
  <c r="N14" i="54"/>
  <c r="H18" i="56"/>
  <c r="L72" i="54" l="1"/>
  <c r="M64" i="54" l="1"/>
  <c r="M65" i="54" s="1"/>
  <c r="L64" i="54"/>
  <c r="M56" i="54"/>
  <c r="M57" i="54" s="1"/>
  <c r="L56" i="54"/>
  <c r="N56" i="54" s="1"/>
  <c r="N43" i="54"/>
  <c r="N36" i="54"/>
  <c r="N18" i="54"/>
  <c r="M45" i="54"/>
  <c r="L45" i="54"/>
  <c r="N21" i="54"/>
  <c r="N20" i="54"/>
  <c r="N17" i="54"/>
  <c r="N16" i="54"/>
  <c r="N26" i="54"/>
  <c r="N64" i="54" l="1"/>
  <c r="L57" i="54"/>
  <c r="L65" i="54"/>
  <c r="N45" i="54"/>
  <c r="L14" i="57"/>
  <c r="L13" i="57"/>
  <c r="K14" i="55"/>
  <c r="I4" i="57"/>
  <c r="I5" i="57" l="1"/>
  <c r="L5" i="57" s="1"/>
  <c r="L10" i="57" l="1"/>
  <c r="L9" i="57"/>
  <c r="L8" i="57"/>
  <c r="L7" i="57"/>
  <c r="I6" i="57"/>
  <c r="L6" i="57" s="1"/>
  <c r="L12" i="57"/>
  <c r="L11" i="57"/>
  <c r="L4" i="57"/>
  <c r="L20" i="57" l="1"/>
  <c r="M72" i="54"/>
  <c r="N71" i="54"/>
  <c r="N63" i="54" l="1"/>
  <c r="M58" i="54" l="1"/>
  <c r="M66" i="54"/>
  <c r="L66" i="54"/>
  <c r="N54" i="54"/>
  <c r="N53" i="54"/>
  <c r="N55" i="54"/>
  <c r="N59" i="54"/>
  <c r="N60" i="54"/>
  <c r="N61" i="54"/>
  <c r="N62" i="54"/>
  <c r="N52" i="54"/>
  <c r="M38" i="54"/>
  <c r="M39" i="54" s="1"/>
  <c r="L38" i="54"/>
  <c r="L39" i="54" s="1"/>
  <c r="N46" i="54"/>
  <c r="N42" i="54"/>
  <c r="N37" i="54"/>
  <c r="N35" i="54"/>
  <c r="L22" i="54"/>
  <c r="L23" i="54" s="1"/>
  <c r="M22" i="54"/>
  <c r="M23" i="54" s="1"/>
  <c r="N57" i="54" l="1"/>
  <c r="L58" i="54"/>
  <c r="L67" i="54" s="1"/>
  <c r="N65" i="54"/>
  <c r="N66" i="54" s="1"/>
  <c r="M67" i="54"/>
  <c r="N15" i="54"/>
  <c r="N40" i="54"/>
  <c r="N33" i="54"/>
  <c r="M47" i="54"/>
  <c r="M48" i="54" s="1"/>
  <c r="M49" i="54" s="1"/>
  <c r="L47" i="54"/>
  <c r="L48" i="54" s="1"/>
  <c r="L49" i="54" s="1"/>
  <c r="M28" i="54"/>
  <c r="L28" i="54"/>
  <c r="N74" i="54"/>
  <c r="M75" i="54"/>
  <c r="M76" i="54" s="1"/>
  <c r="L75" i="54"/>
  <c r="M73" i="54"/>
  <c r="N70" i="54"/>
  <c r="N27" i="54"/>
  <c r="N25" i="54"/>
  <c r="N24" i="54"/>
  <c r="N13" i="54"/>
  <c r="N67" i="54" l="1"/>
  <c r="N68" i="54" s="1"/>
  <c r="M77" i="54"/>
  <c r="N72" i="54"/>
  <c r="N73" i="54" s="1"/>
  <c r="N58" i="54"/>
  <c r="N75" i="54"/>
  <c r="N76" i="54" s="1"/>
  <c r="L76" i="54"/>
  <c r="L78" i="54"/>
  <c r="L73" i="54"/>
  <c r="M29" i="54"/>
  <c r="M30" i="54" s="1"/>
  <c r="M78" i="54"/>
  <c r="N47" i="54"/>
  <c r="N48" i="54" s="1"/>
  <c r="N28" i="54"/>
  <c r="N29" i="54" s="1"/>
  <c r="L29" i="54"/>
  <c r="L30" i="54" s="1"/>
  <c r="N22" i="54"/>
  <c r="N38" i="54"/>
  <c r="N39" i="54" s="1"/>
  <c r="N77" i="54" l="1"/>
  <c r="L77" i="54"/>
  <c r="L79" i="54" s="1"/>
  <c r="M79" i="54"/>
  <c r="N78" i="54"/>
  <c r="N23" i="54"/>
  <c r="N30" i="54" s="1"/>
  <c r="N49" i="54"/>
  <c r="N50" i="54" s="1"/>
  <c r="N79" i="54" l="1"/>
  <c r="F44" i="58" l="1"/>
  <c r="F37" i="58"/>
  <c r="F15" i="58"/>
  <c r="F10" i="58"/>
  <c r="L4" i="46" l="1"/>
  <c r="L5" i="46"/>
  <c r="L6" i="46"/>
  <c r="L7" i="46"/>
  <c r="L8" i="46"/>
  <c r="L9" i="46"/>
  <c r="L10" i="46"/>
  <c r="L11" i="46"/>
  <c r="L12" i="46"/>
  <c r="L13" i="46"/>
  <c r="L14" i="46"/>
  <c r="L15" i="46"/>
  <c r="G424" i="39"/>
  <c r="G423" i="39"/>
  <c r="G422" i="39"/>
  <c r="G421" i="39"/>
  <c r="G420" i="39"/>
  <c r="G419" i="39"/>
  <c r="G418" i="39"/>
  <c r="G417" i="39"/>
  <c r="G416" i="39"/>
  <c r="G415" i="39"/>
  <c r="G414" i="39"/>
  <c r="G413" i="39"/>
  <c r="G412" i="39"/>
  <c r="G411" i="39"/>
  <c r="G410" i="39"/>
  <c r="G409" i="39"/>
  <c r="G408" i="39"/>
  <c r="G407" i="39"/>
  <c r="G406" i="39"/>
  <c r="G405" i="39"/>
  <c r="G404" i="39"/>
  <c r="G403" i="39"/>
  <c r="G402" i="39"/>
  <c r="G401" i="39"/>
  <c r="G400" i="39"/>
  <c r="G399" i="39"/>
  <c r="G398" i="39"/>
  <c r="G397" i="39"/>
  <c r="G396" i="39"/>
  <c r="G395" i="39"/>
  <c r="G394" i="39"/>
  <c r="G393" i="39"/>
  <c r="G392" i="39"/>
  <c r="G391" i="39"/>
  <c r="G390" i="39"/>
  <c r="G389" i="39"/>
  <c r="G388" i="39"/>
  <c r="G387" i="39"/>
  <c r="G386" i="39"/>
  <c r="G385" i="39"/>
  <c r="G384" i="39"/>
  <c r="G383" i="39"/>
  <c r="G382" i="39"/>
  <c r="G381" i="39"/>
  <c r="G380" i="39"/>
  <c r="G379" i="39"/>
  <c r="G378" i="39"/>
  <c r="G377" i="39"/>
  <c r="G376" i="39"/>
  <c r="G375" i="39"/>
  <c r="G374" i="39"/>
  <c r="G373" i="39"/>
  <c r="G372" i="39"/>
  <c r="G371" i="39"/>
  <c r="G370" i="39"/>
  <c r="G369" i="39"/>
  <c r="G368" i="39"/>
  <c r="G367" i="39"/>
  <c r="G366" i="39"/>
  <c r="G365" i="39"/>
  <c r="G364" i="39"/>
  <c r="G363" i="39"/>
  <c r="G362" i="39"/>
  <c r="G361" i="39"/>
  <c r="G360" i="39"/>
  <c r="G359" i="39"/>
  <c r="G358" i="39"/>
  <c r="G357" i="39"/>
  <c r="G356" i="39"/>
  <c r="G355" i="39"/>
  <c r="G354" i="39"/>
  <c r="G353" i="39"/>
  <c r="G352" i="39"/>
  <c r="G351" i="39"/>
  <c r="G350" i="39"/>
  <c r="G349" i="39"/>
  <c r="G348" i="39"/>
  <c r="G347" i="39"/>
  <c r="G346" i="39"/>
  <c r="G345" i="39"/>
  <c r="G344" i="39"/>
  <c r="G343" i="39"/>
  <c r="G342" i="39"/>
  <c r="G341" i="39"/>
  <c r="G340" i="39"/>
  <c r="G339" i="39"/>
  <c r="G338" i="39"/>
  <c r="G337" i="39"/>
  <c r="G336" i="39"/>
  <c r="G335" i="39"/>
  <c r="G334" i="39"/>
  <c r="G333" i="39"/>
  <c r="G332" i="39"/>
  <c r="G331" i="39"/>
  <c r="G330" i="39"/>
  <c r="G329" i="39"/>
  <c r="G328" i="39"/>
  <c r="G327" i="39"/>
  <c r="G326" i="39"/>
  <c r="G325" i="39"/>
  <c r="G324" i="39"/>
  <c r="G323" i="39"/>
  <c r="G322" i="39"/>
  <c r="G321" i="39"/>
  <c r="G320" i="39"/>
  <c r="G319" i="39"/>
  <c r="G318" i="39"/>
  <c r="G317" i="39"/>
  <c r="G316" i="39"/>
  <c r="G315" i="39"/>
  <c r="G314" i="39"/>
  <c r="G313" i="39"/>
  <c r="G312" i="39"/>
  <c r="G311" i="39"/>
  <c r="G310" i="39"/>
  <c r="G309" i="39"/>
  <c r="G308" i="39"/>
  <c r="G307" i="39"/>
  <c r="G306" i="39"/>
  <c r="G305" i="39"/>
  <c r="G304" i="39"/>
  <c r="G303" i="39"/>
  <c r="G302" i="39"/>
  <c r="G301" i="39"/>
  <c r="G300" i="39"/>
  <c r="G299" i="39"/>
  <c r="G298" i="39"/>
  <c r="G297" i="39"/>
  <c r="G296" i="39"/>
  <c r="G295" i="39"/>
  <c r="G294" i="39"/>
  <c r="G293" i="39"/>
  <c r="G292" i="39"/>
  <c r="G291" i="39"/>
  <c r="G290" i="39"/>
  <c r="G289" i="39"/>
  <c r="G288" i="39"/>
  <c r="G287" i="39"/>
  <c r="G286" i="39"/>
  <c r="G285" i="39"/>
  <c r="G284" i="39"/>
  <c r="G283" i="39"/>
  <c r="G282" i="39"/>
  <c r="G281" i="39"/>
  <c r="G280" i="39"/>
  <c r="G279" i="39"/>
  <c r="G278" i="39"/>
  <c r="G277" i="39"/>
  <c r="G276" i="39"/>
  <c r="G275" i="39"/>
  <c r="G274" i="39"/>
  <c r="G273" i="39"/>
  <c r="G272" i="39"/>
  <c r="G271" i="39"/>
  <c r="G270" i="39"/>
  <c r="G269" i="39"/>
  <c r="G268" i="39"/>
  <c r="G267" i="39"/>
  <c r="G266" i="39"/>
  <c r="G265" i="39"/>
  <c r="G264" i="39"/>
  <c r="G263" i="39"/>
  <c r="G262" i="39"/>
  <c r="G261" i="39"/>
  <c r="G260" i="39"/>
  <c r="G259" i="39"/>
  <c r="G258" i="39"/>
  <c r="G257" i="39"/>
  <c r="G256" i="39"/>
  <c r="G255" i="39"/>
  <c r="G254" i="39"/>
  <c r="G253" i="39"/>
  <c r="G252" i="39"/>
  <c r="G251" i="39"/>
  <c r="G250" i="39"/>
  <c r="G249" i="39"/>
  <c r="G248" i="39"/>
  <c r="G247" i="39"/>
  <c r="G246" i="39"/>
  <c r="G245" i="39"/>
  <c r="G244" i="39"/>
  <c r="G243" i="39"/>
  <c r="G242" i="39"/>
  <c r="G241" i="39"/>
  <c r="G240" i="39"/>
  <c r="G239" i="39"/>
  <c r="G238" i="39"/>
  <c r="G237" i="39"/>
  <c r="G236" i="39"/>
  <c r="G235" i="39"/>
  <c r="G234" i="39"/>
  <c r="G233" i="39"/>
  <c r="G232" i="39"/>
  <c r="G231" i="39"/>
  <c r="G230" i="39"/>
  <c r="G229" i="39"/>
  <c r="G228" i="39"/>
  <c r="G227" i="39"/>
  <c r="G226" i="39"/>
  <c r="G225" i="39"/>
  <c r="G224" i="39"/>
  <c r="G223" i="39"/>
  <c r="G222" i="39"/>
  <c r="G221" i="39"/>
  <c r="G220" i="39"/>
  <c r="G219" i="39"/>
  <c r="G218" i="39"/>
  <c r="G217" i="39"/>
  <c r="G216" i="39"/>
  <c r="G215" i="39"/>
  <c r="G214" i="39"/>
  <c r="G213" i="39"/>
  <c r="G212" i="39"/>
  <c r="G211" i="39"/>
  <c r="G210" i="39"/>
  <c r="G209" i="39"/>
  <c r="G208" i="39"/>
  <c r="G207" i="39"/>
  <c r="G206" i="39"/>
  <c r="G205" i="39"/>
  <c r="G204" i="39"/>
  <c r="G203" i="39"/>
  <c r="G202" i="39"/>
  <c r="G201" i="39"/>
  <c r="G200" i="39"/>
  <c r="G199" i="39"/>
  <c r="G198" i="39"/>
  <c r="G197" i="39"/>
  <c r="G196" i="39"/>
  <c r="G195" i="39"/>
  <c r="G194" i="39"/>
  <c r="G193" i="39"/>
  <c r="G192" i="39"/>
  <c r="G191" i="39"/>
  <c r="G190" i="39"/>
  <c r="G189" i="39"/>
  <c r="G188" i="39"/>
  <c r="G187" i="39"/>
  <c r="G186" i="39"/>
  <c r="G185" i="39"/>
  <c r="G184" i="39"/>
  <c r="G183" i="39"/>
  <c r="G182" i="39"/>
  <c r="G181" i="39"/>
  <c r="G180" i="39"/>
  <c r="G179" i="39"/>
  <c r="G178" i="39"/>
  <c r="G177" i="39"/>
  <c r="G176" i="39"/>
  <c r="G175" i="39"/>
  <c r="G174" i="39"/>
  <c r="G173" i="39"/>
  <c r="G172" i="39"/>
  <c r="G171" i="39"/>
  <c r="G170" i="39"/>
  <c r="G169" i="39"/>
  <c r="G168" i="39"/>
  <c r="G167" i="39"/>
  <c r="G166" i="39"/>
  <c r="G165" i="39"/>
  <c r="G164" i="39"/>
  <c r="G163" i="39"/>
  <c r="G162" i="39"/>
  <c r="G161" i="39"/>
  <c r="G160" i="39"/>
  <c r="G159" i="39"/>
  <c r="G158" i="39"/>
  <c r="G157" i="39"/>
  <c r="G156" i="39"/>
  <c r="G155" i="39"/>
  <c r="G154" i="39"/>
  <c r="G153" i="39"/>
  <c r="G152" i="39"/>
  <c r="G151" i="39"/>
  <c r="G150" i="39"/>
  <c r="G149" i="39"/>
  <c r="G148" i="39"/>
  <c r="G147" i="39"/>
  <c r="G146" i="39"/>
  <c r="G145" i="39"/>
  <c r="G144" i="39"/>
  <c r="G143" i="39"/>
  <c r="G142" i="39"/>
  <c r="G141" i="39"/>
  <c r="G140" i="39"/>
  <c r="G139" i="39"/>
  <c r="G138" i="39"/>
  <c r="G137" i="39"/>
  <c r="G136" i="39"/>
  <c r="G135" i="39"/>
  <c r="G134" i="39"/>
  <c r="G133" i="39"/>
  <c r="G132" i="39"/>
  <c r="G131" i="39"/>
  <c r="G130" i="39"/>
  <c r="G129" i="39"/>
  <c r="G128" i="39"/>
  <c r="G127" i="39"/>
  <c r="G126" i="39"/>
  <c r="G125" i="39"/>
  <c r="G124" i="39"/>
  <c r="G123" i="39"/>
  <c r="G122" i="39"/>
  <c r="G121" i="39"/>
  <c r="G120" i="39"/>
  <c r="G119" i="39"/>
  <c r="G118" i="39"/>
  <c r="G117" i="39"/>
  <c r="G116" i="39"/>
  <c r="G115" i="39"/>
  <c r="G114" i="39"/>
  <c r="G113" i="39"/>
  <c r="G112" i="39"/>
  <c r="G111" i="39"/>
  <c r="G110" i="39"/>
  <c r="G109" i="39"/>
  <c r="G108" i="39"/>
  <c r="G107" i="39"/>
  <c r="G106" i="39"/>
  <c r="G105" i="39"/>
  <c r="G104" i="39"/>
  <c r="G103" i="39"/>
  <c r="G102" i="39"/>
  <c r="G101" i="39"/>
  <c r="G100" i="39"/>
  <c r="G99" i="39"/>
  <c r="G98" i="39"/>
  <c r="G97" i="39"/>
  <c r="G96" i="39"/>
  <c r="G95" i="39"/>
  <c r="G94" i="39"/>
  <c r="G93" i="39"/>
  <c r="G92" i="39"/>
  <c r="G91" i="39"/>
  <c r="G90" i="39"/>
  <c r="G89" i="39"/>
  <c r="G88" i="39"/>
  <c r="G87" i="39"/>
  <c r="G86" i="39"/>
  <c r="G85" i="39"/>
  <c r="G84" i="39"/>
  <c r="G83" i="39"/>
  <c r="G82" i="39"/>
  <c r="G81" i="39"/>
  <c r="G80" i="39"/>
  <c r="G79" i="39"/>
  <c r="G78" i="39"/>
  <c r="G77" i="39"/>
  <c r="G76" i="39"/>
  <c r="G75" i="39"/>
  <c r="G74" i="39"/>
  <c r="G73" i="39"/>
  <c r="G72" i="39"/>
  <c r="G71" i="39"/>
  <c r="G70" i="39"/>
  <c r="G69" i="39"/>
  <c r="G68" i="39"/>
  <c r="G67" i="39"/>
  <c r="G66" i="39"/>
  <c r="G65" i="39"/>
  <c r="G64" i="39"/>
  <c r="G63" i="39"/>
  <c r="G62" i="39"/>
  <c r="G61" i="39"/>
  <c r="G60" i="39"/>
  <c r="G59" i="39"/>
  <c r="G58" i="39"/>
  <c r="G57" i="39"/>
  <c r="G56" i="39"/>
  <c r="G55" i="39"/>
  <c r="G54" i="39"/>
  <c r="G53" i="39"/>
  <c r="G52" i="39"/>
  <c r="G51" i="39"/>
  <c r="G50" i="39"/>
  <c r="G49" i="39"/>
  <c r="G48" i="39"/>
  <c r="G47" i="39"/>
  <c r="G46" i="39"/>
  <c r="G45" i="39"/>
  <c r="G44" i="39"/>
  <c r="G43" i="39"/>
  <c r="G42" i="39"/>
  <c r="G41" i="39"/>
  <c r="G40" i="39"/>
  <c r="G39" i="39"/>
  <c r="G38" i="39"/>
  <c r="G37" i="39"/>
  <c r="G36" i="39"/>
  <c r="G35" i="39"/>
  <c r="G34" i="39"/>
  <c r="G33" i="39"/>
  <c r="G32" i="39"/>
  <c r="G31" i="39"/>
  <c r="G30" i="39"/>
  <c r="G29" i="39"/>
  <c r="G28" i="39"/>
  <c r="G27" i="39"/>
  <c r="G26" i="39"/>
  <c r="G25" i="39"/>
  <c r="G24" i="39"/>
  <c r="G23" i="39"/>
  <c r="G22" i="39"/>
  <c r="G21" i="39"/>
  <c r="G20" i="39"/>
  <c r="G19" i="39"/>
  <c r="G18" i="39"/>
  <c r="G17" i="39"/>
  <c r="G16" i="39"/>
  <c r="G15" i="39"/>
  <c r="G14" i="39"/>
  <c r="G13" i="39"/>
  <c r="G12" i="39"/>
  <c r="G11" i="39"/>
  <c r="G10" i="39"/>
  <c r="G9" i="39"/>
  <c r="G8" i="39"/>
  <c r="G7" i="39"/>
  <c r="G6" i="39"/>
  <c r="G5" i="39"/>
  <c r="G4" i="39"/>
  <c r="G3" i="39"/>
  <c r="G2" i="39"/>
  <c r="H246" i="45" l="1"/>
  <c r="H245" i="45"/>
  <c r="H244" i="45"/>
  <c r="H243" i="45"/>
  <c r="H242" i="45"/>
  <c r="H241" i="45"/>
  <c r="H240" i="45"/>
  <c r="H239" i="45"/>
  <c r="H238" i="45"/>
  <c r="H237" i="45"/>
  <c r="H236" i="45"/>
  <c r="H235" i="45"/>
  <c r="H234" i="45"/>
  <c r="H233" i="45"/>
  <c r="H232" i="45"/>
  <c r="H231" i="45"/>
  <c r="H230" i="45"/>
  <c r="H229" i="45"/>
  <c r="H228" i="45"/>
  <c r="H227" i="45"/>
  <c r="H226" i="45"/>
  <c r="H225" i="45"/>
  <c r="H224" i="45"/>
  <c r="H223" i="45"/>
  <c r="H222" i="45"/>
  <c r="H221" i="45"/>
  <c r="H220" i="45"/>
  <c r="H219" i="45"/>
  <c r="H218" i="45"/>
  <c r="H217" i="45"/>
  <c r="H216" i="45"/>
  <c r="H215" i="45"/>
  <c r="H214" i="45"/>
  <c r="H213" i="45"/>
  <c r="H212" i="45"/>
  <c r="H211" i="45"/>
  <c r="H210" i="45"/>
  <c r="H209" i="45"/>
  <c r="H208" i="45"/>
  <c r="H207" i="45"/>
  <c r="H206" i="45"/>
  <c r="H205" i="45"/>
  <c r="H204" i="45"/>
  <c r="H203" i="45"/>
  <c r="H202" i="45"/>
  <c r="H201" i="45"/>
  <c r="H200" i="45"/>
  <c r="H199" i="45"/>
  <c r="H198" i="45"/>
  <c r="H197" i="45"/>
  <c r="H196" i="45"/>
  <c r="H195" i="45"/>
  <c r="H194" i="45"/>
  <c r="H193" i="45"/>
  <c r="H192" i="45"/>
  <c r="H191" i="45"/>
  <c r="H190" i="45"/>
  <c r="H189" i="45"/>
  <c r="H188" i="45"/>
  <c r="H187" i="45"/>
  <c r="H186" i="45"/>
  <c r="H185" i="45"/>
  <c r="H184" i="45"/>
  <c r="H183" i="45"/>
  <c r="H182" i="45"/>
  <c r="H181" i="45"/>
  <c r="H180" i="45"/>
  <c r="H179" i="45"/>
  <c r="H178" i="45"/>
  <c r="H177" i="45"/>
  <c r="H176" i="45"/>
  <c r="H175" i="45"/>
  <c r="H174" i="45"/>
  <c r="H173" i="45"/>
  <c r="H172" i="45"/>
  <c r="H171" i="45"/>
  <c r="H170" i="45"/>
  <c r="H169" i="45"/>
  <c r="H168" i="45"/>
  <c r="H167" i="45"/>
  <c r="H166" i="45"/>
  <c r="H165" i="45"/>
  <c r="H164" i="45"/>
  <c r="H163" i="45"/>
  <c r="H162" i="45"/>
  <c r="H161" i="45"/>
  <c r="H160" i="45"/>
  <c r="H159" i="45"/>
  <c r="H158" i="45"/>
  <c r="H157" i="45"/>
  <c r="H156" i="45"/>
  <c r="H155" i="45"/>
  <c r="H154" i="45"/>
  <c r="H153" i="45"/>
  <c r="H152" i="45"/>
  <c r="H151" i="45"/>
  <c r="H150" i="45"/>
  <c r="H149" i="45"/>
  <c r="H148" i="45"/>
  <c r="H147" i="45"/>
  <c r="H146" i="45"/>
  <c r="H145" i="45"/>
  <c r="H144" i="45"/>
  <c r="H143" i="45"/>
  <c r="H142" i="45"/>
  <c r="H141" i="45"/>
  <c r="H140" i="45"/>
  <c r="H139" i="45"/>
  <c r="H138" i="45"/>
  <c r="H137" i="45"/>
  <c r="H136" i="45"/>
  <c r="H135" i="45"/>
  <c r="H134" i="45"/>
  <c r="H133" i="45"/>
  <c r="H132" i="45"/>
  <c r="H131" i="45"/>
  <c r="H130" i="45"/>
  <c r="H129" i="45"/>
  <c r="H128" i="45"/>
  <c r="H127" i="45"/>
  <c r="H126" i="45"/>
  <c r="H125" i="45"/>
  <c r="H124" i="45"/>
  <c r="H123" i="45"/>
  <c r="H122" i="45"/>
  <c r="H121" i="45"/>
  <c r="H120" i="45"/>
  <c r="H119" i="45"/>
  <c r="H118" i="45"/>
  <c r="H117" i="45"/>
  <c r="H116" i="45"/>
  <c r="H115" i="45"/>
  <c r="H114" i="45"/>
  <c r="H113" i="45"/>
  <c r="H112" i="45"/>
  <c r="H111" i="45"/>
  <c r="H110" i="45"/>
  <c r="H109" i="45"/>
  <c r="H108" i="45"/>
  <c r="H107" i="45"/>
  <c r="H106" i="45"/>
  <c r="H105" i="45"/>
  <c r="H104" i="45"/>
  <c r="H103" i="45"/>
  <c r="H102" i="45"/>
  <c r="H101" i="45"/>
  <c r="H100" i="45"/>
  <c r="H99" i="45"/>
  <c r="H98" i="45"/>
  <c r="H97" i="45"/>
  <c r="H96" i="45"/>
  <c r="H95" i="45"/>
  <c r="H94" i="45"/>
  <c r="H93" i="45"/>
  <c r="H92" i="45"/>
  <c r="H91" i="45"/>
  <c r="H90" i="45"/>
  <c r="H89" i="45"/>
  <c r="H88" i="45"/>
  <c r="H87" i="45"/>
  <c r="H86" i="45"/>
  <c r="H85" i="45"/>
  <c r="H84" i="45"/>
  <c r="H83" i="45"/>
  <c r="H82" i="45"/>
  <c r="H81" i="45"/>
  <c r="H80" i="45"/>
  <c r="H79" i="45"/>
  <c r="H78" i="45"/>
  <c r="H77" i="45"/>
  <c r="H76" i="45"/>
  <c r="H75" i="45"/>
  <c r="H74" i="45"/>
  <c r="H73" i="45"/>
  <c r="H72" i="45"/>
  <c r="H71" i="45"/>
  <c r="H70" i="45"/>
  <c r="H69" i="45"/>
  <c r="H68" i="45"/>
  <c r="H67" i="45"/>
  <c r="H66" i="45"/>
  <c r="H65" i="45"/>
  <c r="H64" i="45"/>
  <c r="H63" i="45"/>
  <c r="H62" i="45"/>
  <c r="H61" i="45"/>
  <c r="H60" i="45"/>
  <c r="H59" i="45"/>
  <c r="H58" i="45"/>
  <c r="H57" i="45"/>
  <c r="H56" i="45"/>
  <c r="H55" i="45"/>
  <c r="H54" i="45"/>
  <c r="H53" i="45"/>
  <c r="H52" i="45"/>
  <c r="H51" i="45"/>
  <c r="H50" i="45"/>
  <c r="H49" i="45"/>
  <c r="H48" i="45"/>
  <c r="H47" i="45"/>
  <c r="H46" i="45"/>
  <c r="H45" i="45"/>
  <c r="H44" i="45"/>
  <c r="H43" i="45"/>
  <c r="H42" i="45"/>
  <c r="H41" i="45"/>
  <c r="H40" i="45"/>
  <c r="H39" i="45"/>
  <c r="H38" i="45"/>
  <c r="H37" i="45"/>
  <c r="H36" i="45"/>
  <c r="H35" i="45"/>
  <c r="H34" i="45"/>
  <c r="H33" i="45"/>
  <c r="H32" i="45"/>
  <c r="H31" i="45"/>
  <c r="H30" i="45"/>
  <c r="H29" i="45"/>
  <c r="H28" i="45"/>
  <c r="H27" i="45"/>
  <c r="H26" i="45"/>
  <c r="H25" i="45"/>
  <c r="H24" i="45"/>
  <c r="H23" i="45"/>
  <c r="H22" i="45"/>
  <c r="H21" i="45"/>
  <c r="H20" i="45"/>
  <c r="H19" i="45"/>
  <c r="H18" i="45"/>
  <c r="H17" i="45"/>
  <c r="H16" i="45"/>
  <c r="H15" i="45"/>
  <c r="H14" i="45"/>
  <c r="H13" i="45"/>
  <c r="H12" i="45"/>
  <c r="H11" i="45"/>
  <c r="H10" i="45"/>
  <c r="H9" i="45"/>
  <c r="H8" i="45"/>
  <c r="H7" i="45"/>
  <c r="H6" i="45"/>
  <c r="H5" i="45"/>
  <c r="H4" i="45"/>
  <c r="H3" i="45"/>
  <c r="H2" i="45"/>
  <c r="U351" i="44" l="1"/>
  <c r="U350" i="44"/>
  <c r="U349" i="44"/>
  <c r="U348" i="44"/>
  <c r="U347" i="44"/>
  <c r="U346" i="44"/>
  <c r="U345" i="44"/>
  <c r="U344" i="44"/>
  <c r="U343" i="44"/>
  <c r="U342" i="44"/>
  <c r="U341" i="44"/>
  <c r="U340" i="44"/>
  <c r="U339" i="44"/>
  <c r="U338" i="44"/>
  <c r="U337" i="44"/>
  <c r="U336" i="44"/>
  <c r="U335" i="44"/>
  <c r="U334" i="44"/>
  <c r="U333" i="44"/>
  <c r="U332" i="44"/>
  <c r="U331" i="44"/>
  <c r="U330" i="44"/>
  <c r="U329" i="44"/>
  <c r="U328" i="44"/>
  <c r="U327" i="44"/>
  <c r="U326" i="44"/>
  <c r="U325" i="44"/>
  <c r="U324" i="44"/>
  <c r="U323" i="44"/>
  <c r="U322" i="44"/>
  <c r="U321" i="44"/>
  <c r="U320" i="44"/>
  <c r="U319" i="44"/>
  <c r="U318" i="44"/>
  <c r="U317" i="44"/>
  <c r="U316" i="44"/>
  <c r="U315" i="44"/>
  <c r="U314" i="44"/>
  <c r="U313" i="44"/>
  <c r="U312" i="44"/>
  <c r="U311" i="44"/>
  <c r="U310" i="44"/>
  <c r="U309" i="44"/>
  <c r="U308" i="44"/>
  <c r="U307" i="44"/>
  <c r="U306" i="44"/>
  <c r="U305" i="44"/>
  <c r="U304" i="44"/>
  <c r="U303" i="44"/>
  <c r="U302" i="44"/>
  <c r="U301" i="44"/>
  <c r="U300" i="44"/>
  <c r="U299" i="44"/>
  <c r="U298" i="44"/>
  <c r="U297" i="44"/>
  <c r="U296" i="44"/>
  <c r="U295" i="44"/>
  <c r="U294" i="44"/>
  <c r="U293" i="44"/>
  <c r="U292" i="44"/>
  <c r="U291" i="44"/>
  <c r="U290" i="44"/>
  <c r="U289" i="44"/>
  <c r="U288" i="44"/>
  <c r="U287" i="44"/>
  <c r="U286" i="44"/>
  <c r="U285" i="44"/>
  <c r="U284" i="44"/>
  <c r="U283" i="44"/>
  <c r="U282" i="44"/>
  <c r="U281" i="44"/>
  <c r="U280" i="44"/>
  <c r="U279" i="44"/>
  <c r="U278" i="44"/>
  <c r="U277" i="44"/>
  <c r="U276" i="44"/>
  <c r="U275" i="44"/>
  <c r="U274" i="44"/>
  <c r="U273" i="44"/>
  <c r="U272" i="44"/>
  <c r="U271" i="44"/>
  <c r="U270" i="44"/>
  <c r="U269" i="44"/>
  <c r="U268" i="44"/>
  <c r="U267" i="44"/>
  <c r="U266" i="44"/>
  <c r="U265" i="44"/>
  <c r="U264" i="44"/>
  <c r="U263" i="44"/>
  <c r="U262" i="44"/>
  <c r="U261" i="44"/>
  <c r="U260" i="44"/>
  <c r="U259" i="44"/>
  <c r="U258" i="44"/>
  <c r="U257" i="44"/>
  <c r="U256" i="44"/>
  <c r="U255" i="44"/>
  <c r="U254" i="44"/>
  <c r="U253" i="44"/>
  <c r="U252" i="44"/>
  <c r="U251" i="44"/>
  <c r="U250" i="44"/>
  <c r="U249" i="44"/>
  <c r="U248" i="44"/>
  <c r="U247" i="44"/>
  <c r="U246" i="44"/>
  <c r="U245" i="44"/>
  <c r="U244" i="44"/>
  <c r="U243" i="44"/>
  <c r="U242" i="44"/>
  <c r="U241" i="44"/>
  <c r="U240" i="44"/>
  <c r="U239" i="44"/>
  <c r="U238" i="44"/>
  <c r="U237" i="44"/>
  <c r="U236" i="44"/>
  <c r="U235" i="44"/>
  <c r="U234" i="44"/>
  <c r="U233" i="44"/>
  <c r="U232" i="44"/>
  <c r="U231" i="44"/>
  <c r="U230" i="44"/>
  <c r="U229" i="44"/>
  <c r="U228" i="44"/>
  <c r="U227" i="44"/>
  <c r="U226" i="44"/>
  <c r="U225" i="44"/>
  <c r="U224" i="44"/>
  <c r="U223" i="44"/>
  <c r="U222" i="44"/>
  <c r="U221" i="44"/>
  <c r="U220" i="44"/>
  <c r="U219" i="44"/>
  <c r="U218" i="44"/>
  <c r="U217" i="44"/>
  <c r="U216" i="44"/>
  <c r="U215" i="44"/>
  <c r="U214" i="44"/>
  <c r="U213" i="44"/>
  <c r="U212" i="44"/>
  <c r="U211" i="44"/>
  <c r="U210" i="44"/>
  <c r="U209" i="44"/>
  <c r="U208" i="44"/>
  <c r="U207" i="44"/>
  <c r="U206" i="44"/>
  <c r="U205" i="44"/>
  <c r="U204" i="44"/>
  <c r="U203" i="44"/>
  <c r="U202" i="44"/>
  <c r="U201" i="44"/>
  <c r="U200" i="44"/>
  <c r="U199" i="44"/>
  <c r="U198" i="44"/>
  <c r="U197" i="44"/>
  <c r="U196" i="44"/>
  <c r="U195" i="44"/>
  <c r="U194" i="44"/>
  <c r="U193" i="44"/>
  <c r="U192" i="44"/>
  <c r="U191" i="44"/>
  <c r="U190" i="44"/>
  <c r="U189" i="44"/>
  <c r="U188" i="44"/>
  <c r="U187" i="44"/>
  <c r="U186" i="44"/>
  <c r="U185" i="44"/>
  <c r="U184" i="44"/>
  <c r="U183" i="44"/>
  <c r="U182" i="44"/>
  <c r="U181" i="44"/>
  <c r="U180" i="44"/>
  <c r="U179" i="44"/>
  <c r="U178" i="44"/>
  <c r="U177" i="44"/>
  <c r="U176" i="44"/>
  <c r="U175" i="44"/>
  <c r="U174" i="44"/>
  <c r="U173" i="44"/>
  <c r="U172" i="44"/>
  <c r="U171" i="44"/>
  <c r="U170" i="44"/>
  <c r="U169" i="44"/>
  <c r="U168" i="44"/>
  <c r="U167" i="44"/>
  <c r="U166" i="44"/>
  <c r="U165" i="44"/>
  <c r="U164" i="44"/>
  <c r="U163" i="44"/>
  <c r="U162" i="44"/>
  <c r="U161" i="44"/>
  <c r="U160" i="44"/>
  <c r="U159" i="44"/>
  <c r="U158" i="44"/>
  <c r="U157" i="44"/>
  <c r="U156" i="44"/>
  <c r="U155" i="44"/>
  <c r="U154" i="44"/>
  <c r="U153" i="44"/>
  <c r="U152" i="44"/>
  <c r="U151" i="44"/>
  <c r="U150" i="44"/>
  <c r="U149" i="44"/>
  <c r="U148" i="44"/>
  <c r="U147" i="44"/>
  <c r="U146" i="44"/>
  <c r="U145" i="44"/>
  <c r="U144" i="44"/>
  <c r="U143" i="44"/>
  <c r="U142" i="44"/>
  <c r="U141" i="44"/>
  <c r="U140" i="44"/>
  <c r="U139" i="44"/>
  <c r="U138" i="44"/>
  <c r="U137" i="44"/>
  <c r="U136" i="44"/>
  <c r="U135" i="44"/>
  <c r="U134" i="44"/>
  <c r="U133" i="44"/>
  <c r="U132" i="44"/>
  <c r="U131" i="44"/>
  <c r="U130" i="44"/>
  <c r="U129" i="44"/>
  <c r="U128" i="44"/>
  <c r="U127" i="44"/>
  <c r="U126" i="44"/>
  <c r="U125" i="44"/>
  <c r="U124" i="44"/>
  <c r="U123" i="44"/>
  <c r="U122" i="44"/>
  <c r="U121" i="44"/>
  <c r="U120" i="44"/>
  <c r="U119" i="44"/>
  <c r="U118" i="44"/>
  <c r="U117" i="44"/>
  <c r="U116" i="44"/>
  <c r="U115" i="44"/>
  <c r="U114" i="44"/>
  <c r="U113" i="44"/>
  <c r="U112" i="44"/>
  <c r="U111" i="44"/>
  <c r="U110" i="44"/>
  <c r="U109" i="44"/>
  <c r="U108" i="44"/>
  <c r="U107" i="44"/>
  <c r="U106" i="44"/>
  <c r="U105" i="44"/>
  <c r="U104" i="44"/>
  <c r="U103" i="44"/>
  <c r="U102" i="44"/>
  <c r="U101" i="44"/>
  <c r="U100" i="44"/>
  <c r="U99" i="44"/>
  <c r="U98" i="44"/>
  <c r="U97" i="44"/>
  <c r="U96" i="44"/>
  <c r="U95" i="44"/>
  <c r="U94" i="44"/>
  <c r="U93" i="44"/>
  <c r="U92" i="44"/>
  <c r="U91" i="44"/>
  <c r="U90" i="44"/>
  <c r="U89" i="44"/>
  <c r="U88" i="44"/>
  <c r="U87" i="44"/>
  <c r="U86" i="44"/>
  <c r="U85" i="44"/>
  <c r="U84" i="44"/>
  <c r="U83" i="44"/>
  <c r="U82" i="44"/>
  <c r="U81" i="44"/>
  <c r="U80" i="44"/>
  <c r="U79" i="44"/>
  <c r="U78" i="44"/>
  <c r="U77" i="44"/>
  <c r="U76" i="44"/>
  <c r="U75" i="44"/>
  <c r="U74" i="44"/>
  <c r="U73" i="44"/>
  <c r="U72" i="44"/>
  <c r="U71" i="44"/>
  <c r="U70" i="44"/>
  <c r="U69" i="44"/>
  <c r="U68" i="44"/>
  <c r="U67" i="44"/>
  <c r="U66" i="44"/>
  <c r="U65" i="44"/>
  <c r="U64" i="44"/>
  <c r="U63" i="44"/>
  <c r="U62" i="44"/>
  <c r="U61" i="44"/>
  <c r="U60" i="44"/>
  <c r="U59" i="44"/>
  <c r="U58" i="44"/>
  <c r="U57" i="44"/>
  <c r="U56" i="44"/>
  <c r="U55" i="44"/>
  <c r="U54" i="44"/>
  <c r="U53" i="44"/>
  <c r="U52" i="44"/>
  <c r="U51" i="44"/>
  <c r="U50" i="44"/>
  <c r="U49" i="44"/>
  <c r="U48" i="44"/>
  <c r="U47" i="44"/>
  <c r="U46" i="44"/>
  <c r="U45" i="44"/>
  <c r="U44" i="44"/>
  <c r="U43" i="44"/>
  <c r="U42" i="44"/>
  <c r="U41" i="44"/>
  <c r="U40" i="44"/>
  <c r="U39" i="44"/>
  <c r="U38" i="44"/>
  <c r="U37" i="44"/>
  <c r="U36" i="44"/>
  <c r="U35" i="44"/>
  <c r="U34" i="44"/>
  <c r="U33" i="44"/>
  <c r="U32" i="44"/>
  <c r="U31" i="44"/>
  <c r="U30" i="44"/>
  <c r="U29" i="44"/>
  <c r="U28" i="44"/>
  <c r="U27" i="44"/>
  <c r="U26" i="44"/>
  <c r="U25" i="44"/>
  <c r="U24" i="44"/>
  <c r="U23" i="44"/>
  <c r="U22" i="44"/>
  <c r="U21" i="44"/>
  <c r="U20" i="44"/>
  <c r="U19" i="44"/>
  <c r="U18" i="44"/>
  <c r="U17" i="44"/>
  <c r="U16" i="44"/>
  <c r="U15" i="44"/>
  <c r="U14" i="44"/>
  <c r="U13" i="44"/>
  <c r="U12" i="44"/>
  <c r="U11" i="44"/>
  <c r="U10" i="44"/>
  <c r="U9" i="44"/>
  <c r="U8" i="44"/>
  <c r="U7" i="44"/>
  <c r="U6" i="44"/>
  <c r="U5" i="44"/>
  <c r="U4" i="44"/>
  <c r="U3" i="44"/>
  <c r="U2" i="44"/>
  <c r="G282" i="40" l="1"/>
  <c r="G281" i="40"/>
  <c r="G280" i="40"/>
  <c r="G279" i="40"/>
  <c r="G278" i="40"/>
  <c r="G277" i="40"/>
  <c r="G276" i="40"/>
  <c r="G275" i="40"/>
  <c r="G274" i="40"/>
  <c r="G273" i="40"/>
  <c r="G272" i="40"/>
  <c r="G271" i="40"/>
  <c r="G270" i="40"/>
  <c r="G269" i="40"/>
  <c r="G268" i="40"/>
  <c r="G267" i="40"/>
  <c r="G266" i="40"/>
  <c r="G265" i="40"/>
  <c r="G264" i="40"/>
  <c r="G263" i="40"/>
  <c r="G262" i="40"/>
  <c r="G261" i="40"/>
  <c r="G260" i="40"/>
  <c r="G259" i="40"/>
  <c r="G258" i="40"/>
  <c r="G257" i="40"/>
  <c r="G256" i="40"/>
  <c r="G255" i="40"/>
  <c r="G254" i="40"/>
  <c r="G253" i="40"/>
  <c r="G252" i="40"/>
  <c r="G251" i="40"/>
  <c r="G250" i="40"/>
  <c r="G249" i="40"/>
  <c r="G248" i="40"/>
  <c r="G247" i="40"/>
  <c r="G246" i="40"/>
  <c r="G245" i="40"/>
  <c r="G244" i="40"/>
  <c r="G243" i="40"/>
  <c r="G242" i="40"/>
  <c r="G241" i="40"/>
  <c r="G240" i="40"/>
  <c r="G239" i="40"/>
  <c r="G238" i="40"/>
  <c r="G237" i="40"/>
  <c r="G236" i="40"/>
  <c r="G235" i="40"/>
  <c r="G234" i="40"/>
  <c r="G233" i="40"/>
  <c r="G232" i="40"/>
  <c r="G231" i="40"/>
  <c r="G230" i="40"/>
  <c r="G229" i="40"/>
  <c r="G228" i="40"/>
  <c r="G227" i="40"/>
  <c r="G226" i="40"/>
  <c r="G225" i="40"/>
  <c r="G224" i="40"/>
  <c r="G223" i="40"/>
  <c r="G222" i="40"/>
  <c r="G221" i="40"/>
  <c r="G220" i="40"/>
  <c r="G219" i="40"/>
  <c r="G218" i="40"/>
  <c r="G217" i="40"/>
  <c r="G216" i="40"/>
  <c r="G215" i="40"/>
  <c r="G214" i="40"/>
  <c r="G213" i="40"/>
  <c r="G212" i="40"/>
  <c r="G211" i="40"/>
  <c r="G210" i="40"/>
  <c r="G209" i="40"/>
  <c r="G208" i="40"/>
  <c r="G207" i="40"/>
  <c r="G206" i="40"/>
  <c r="G205" i="40"/>
  <c r="G204" i="40"/>
  <c r="G203" i="40"/>
  <c r="G202" i="40"/>
  <c r="G201" i="40"/>
  <c r="G200" i="40"/>
  <c r="G199" i="40"/>
  <c r="G198" i="40"/>
  <c r="G197" i="40"/>
  <c r="G196" i="40"/>
  <c r="G195" i="40"/>
  <c r="G194" i="40"/>
  <c r="G193" i="40"/>
  <c r="G192" i="40"/>
  <c r="G191" i="40"/>
  <c r="G190" i="40"/>
  <c r="G189" i="40"/>
  <c r="G188" i="40"/>
  <c r="G187" i="40"/>
  <c r="G186" i="40"/>
  <c r="G185" i="40"/>
  <c r="G184" i="40"/>
  <c r="G183" i="40"/>
  <c r="G182" i="40"/>
  <c r="G181" i="40"/>
  <c r="G180" i="40"/>
  <c r="G179" i="40"/>
  <c r="G178" i="40"/>
  <c r="G177" i="40"/>
  <c r="G176" i="40"/>
  <c r="G175" i="40"/>
  <c r="G174" i="40"/>
  <c r="G173" i="40"/>
  <c r="G172" i="40"/>
  <c r="G171" i="40"/>
  <c r="G170" i="40"/>
  <c r="G169" i="40"/>
  <c r="G168" i="40"/>
  <c r="G167" i="40"/>
  <c r="G166" i="40"/>
  <c r="G165" i="40"/>
  <c r="G164" i="40"/>
  <c r="G163" i="40"/>
  <c r="G162" i="40"/>
  <c r="G161" i="40"/>
  <c r="G160" i="40"/>
  <c r="G159" i="40"/>
  <c r="G158" i="40"/>
  <c r="G157" i="40"/>
  <c r="G156" i="40"/>
  <c r="G155" i="40"/>
  <c r="G154" i="40"/>
  <c r="G153" i="40"/>
  <c r="G152" i="40"/>
  <c r="G151" i="40"/>
  <c r="G150" i="40"/>
  <c r="G149" i="40"/>
  <c r="G148" i="40"/>
  <c r="G147" i="40"/>
  <c r="G146" i="40"/>
  <c r="G145" i="40"/>
  <c r="G144" i="40"/>
  <c r="G143" i="40"/>
  <c r="G142" i="40"/>
  <c r="G141" i="40"/>
  <c r="G140" i="40"/>
  <c r="G139" i="40"/>
  <c r="G138" i="40"/>
  <c r="G137" i="40"/>
  <c r="G136" i="40"/>
  <c r="G135" i="40"/>
  <c r="G134" i="40"/>
  <c r="G133" i="40"/>
  <c r="G132" i="40"/>
  <c r="G131" i="40"/>
  <c r="G130" i="40"/>
  <c r="G129" i="40"/>
  <c r="G128" i="40"/>
  <c r="G127" i="40"/>
  <c r="G126" i="40"/>
  <c r="G125" i="40"/>
  <c r="G124" i="40"/>
  <c r="G123" i="40"/>
  <c r="G122" i="40"/>
  <c r="G121" i="40"/>
  <c r="G120" i="40"/>
  <c r="G119" i="40"/>
  <c r="G118" i="40"/>
  <c r="G117" i="40"/>
  <c r="G116" i="40"/>
  <c r="G115" i="40"/>
  <c r="G114" i="40"/>
  <c r="G113" i="40"/>
  <c r="G112" i="40"/>
  <c r="G111" i="40"/>
  <c r="G110" i="40"/>
  <c r="G109" i="40"/>
  <c r="G108" i="40"/>
  <c r="G107" i="40"/>
  <c r="G106" i="40"/>
  <c r="G105" i="40"/>
  <c r="G104" i="40"/>
  <c r="G103" i="40"/>
  <c r="G102" i="40"/>
  <c r="G101" i="40"/>
  <c r="G100" i="40"/>
  <c r="G99" i="40"/>
  <c r="G98" i="40"/>
  <c r="G97" i="40"/>
  <c r="G96" i="40"/>
  <c r="G95" i="40"/>
  <c r="G94" i="40"/>
  <c r="G93" i="40"/>
  <c r="G92" i="40"/>
  <c r="G91" i="40"/>
  <c r="G90" i="40"/>
  <c r="G89" i="40"/>
  <c r="G88" i="40"/>
  <c r="G87" i="40"/>
  <c r="G86" i="40"/>
  <c r="G85" i="40"/>
  <c r="G84" i="40"/>
  <c r="G83" i="40"/>
  <c r="G82" i="40"/>
  <c r="G81" i="40"/>
  <c r="G80" i="40"/>
  <c r="G79" i="40"/>
  <c r="G78" i="40"/>
  <c r="G77" i="40"/>
  <c r="G76" i="40"/>
  <c r="G75" i="40"/>
  <c r="G74" i="40"/>
  <c r="G73" i="40"/>
  <c r="G72" i="40"/>
  <c r="G71" i="40"/>
  <c r="G70" i="40"/>
  <c r="G69" i="40"/>
  <c r="G68" i="40"/>
  <c r="G67" i="40"/>
  <c r="G66" i="40"/>
  <c r="G65" i="40"/>
  <c r="G64" i="40"/>
  <c r="G63" i="40"/>
  <c r="G62" i="40"/>
  <c r="G61" i="40"/>
  <c r="G60" i="40"/>
  <c r="G59" i="40"/>
  <c r="G58" i="40"/>
  <c r="G57" i="40"/>
  <c r="G56" i="40"/>
  <c r="G55" i="40"/>
  <c r="G54" i="40"/>
  <c r="G53" i="40"/>
  <c r="G52" i="40"/>
  <c r="G51" i="40"/>
  <c r="G50" i="40"/>
  <c r="G49" i="40"/>
  <c r="G48" i="40"/>
  <c r="G47" i="40"/>
  <c r="G46" i="40"/>
  <c r="G45" i="40"/>
  <c r="G44" i="40"/>
  <c r="G43" i="40"/>
  <c r="G42" i="40"/>
  <c r="G41" i="40"/>
  <c r="G40" i="40"/>
  <c r="G39" i="40"/>
  <c r="G38" i="40"/>
  <c r="G37" i="40"/>
  <c r="G36" i="40"/>
  <c r="G35" i="40"/>
  <c r="G34" i="40"/>
  <c r="G33" i="40"/>
  <c r="G32" i="40"/>
  <c r="G31" i="40"/>
  <c r="G30" i="40"/>
  <c r="G29" i="40"/>
  <c r="G28" i="40"/>
  <c r="G27" i="40"/>
  <c r="G26" i="40"/>
  <c r="G25" i="40"/>
  <c r="G24" i="40"/>
  <c r="G23" i="40"/>
  <c r="G22" i="40"/>
  <c r="G21" i="40"/>
  <c r="G20" i="40"/>
  <c r="G19" i="40"/>
  <c r="G18" i="40"/>
  <c r="G17" i="40"/>
  <c r="G16" i="40"/>
  <c r="G15" i="40"/>
  <c r="G14" i="40"/>
  <c r="G13" i="40"/>
  <c r="G12" i="40"/>
  <c r="G11" i="40"/>
  <c r="G10" i="40"/>
  <c r="G9" i="40"/>
  <c r="G8" i="40"/>
  <c r="G7" i="40"/>
  <c r="G6" i="40"/>
  <c r="G5" i="40"/>
  <c r="G4" i="40"/>
  <c r="G3" i="40"/>
  <c r="G2" i="4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tc={204A68A3-3668-41F0-920C-4D0B6331C678}</author>
    <author>tc={DEA63C76-E5E0-42A1-98FA-8030A2583476}</author>
  </authors>
  <commentList>
    <comment ref="E5" authorId="0" shapeId="0" xr:uid="{204A68A3-3668-41F0-920C-4D0B6331C678}">
      <text>
        <t xml:space="preserve">[Threaded comment]
Your version of Excel allows you to read this threaded comment; however, any edits to it will get removed if the file is opened in a newer version of Excel. Learn more: https://go.microsoft.com/fwlink/?linkid=870924
Comment:
    For Sudan and South Sudan, the baseline is 0.
For Afghanistan, Myanmar, PAPP (Gaza) and Syria, please use the final results of REVIVE 1 as baseline, where applicable. </t>
      </text>
    </comment>
    <comment ref="D17" authorId="1" shapeId="0" xr:uid="{DEA63C76-E5E0-42A1-98FA-8030A2583476}">
      <text>
        <t>[Threaded comment]
Your version of Excel allows you to read this threaded comment; however, any edits to it will get removed if the file is opened in a newer version of Excel. Learn more: https://go.microsoft.com/fwlink/?linkid=870924
Comment:
    @Khattab Badr / @Ali Muntasir please provide dis-aggregation of beneficiaries under output 3</t>
      </text>
    </comment>
  </commentList>
</comments>
</file>

<file path=xl/sharedStrings.xml><?xml version="1.0" encoding="utf-8"?>
<sst xmlns="http://schemas.openxmlformats.org/spreadsheetml/2006/main" count="7516" uniqueCount="3396">
  <si>
    <t>Project Number</t>
  </si>
  <si>
    <t>Project Name</t>
  </si>
  <si>
    <t>Project Number_Qauntum</t>
  </si>
  <si>
    <t>Project Status</t>
  </si>
  <si>
    <t>Project Manager</t>
  </si>
  <si>
    <t>Start Date</t>
  </si>
  <si>
    <t>Finish Date</t>
  </si>
  <si>
    <t>Analyst</t>
  </si>
  <si>
    <t>JAPANESE ENDOWMENT FUND-UNDP-PAL-00014145</t>
  </si>
  <si>
    <t>00014145</t>
  </si>
  <si>
    <t>On Going</t>
  </si>
  <si>
    <t>MUKHEMAR, Razan</t>
  </si>
  <si>
    <t/>
  </si>
  <si>
    <t>UNDSS Security-UNDP-PAL-00020377</t>
  </si>
  <si>
    <t>00020377</t>
  </si>
  <si>
    <t>ABASI, Heidar</t>
  </si>
  <si>
    <t>DPCA - SECURITY-UNDP-PAL-00037867</t>
  </si>
  <si>
    <t>00037867</t>
  </si>
  <si>
    <t>Support to Communication-UNDP-PAL-00040513</t>
  </si>
  <si>
    <t>00040513</t>
  </si>
  <si>
    <t>AJJUR, Shahd Naeem Yunis</t>
  </si>
  <si>
    <t>PAPP UNMSM Project-UNDP-PAL-00040830</t>
  </si>
  <si>
    <t>00040830</t>
  </si>
  <si>
    <t>Programme Effectiveness - Know-UNDP-PAL-00049333</t>
  </si>
  <si>
    <t>00049333</t>
  </si>
  <si>
    <t>Organizational Effectiveness-UNDP-PAL-00049334</t>
  </si>
  <si>
    <t>00049334</t>
  </si>
  <si>
    <t>PAL/ Seeds for Development Str-UNDP-PAL-00052919</t>
  </si>
  <si>
    <t>00052919</t>
  </si>
  <si>
    <t>Development Cultural Tourism-UNDP-PAL-00088974</t>
  </si>
  <si>
    <t>00088974</t>
  </si>
  <si>
    <t>SHAHEEN, Talin</t>
  </si>
  <si>
    <t>Supprt New Schools E Jerusalem-UNDP-PAL-00103834</t>
  </si>
  <si>
    <t>00103834</t>
  </si>
  <si>
    <t>NUBANI, Rania</t>
  </si>
  <si>
    <t>Motaz</t>
  </si>
  <si>
    <t>Handcraft service company-UNDP-PAL-00108580</t>
  </si>
  <si>
    <t>00108580</t>
  </si>
  <si>
    <t>ABU ARAFEH, Ismail Abdul Rahman</t>
  </si>
  <si>
    <t>Ismail</t>
  </si>
  <si>
    <t>Climate Smart Agriculture-CSA-UNDP-PAL-00108676</t>
  </si>
  <si>
    <t>00108676</t>
  </si>
  <si>
    <t>ATYANI, Taghreed</t>
  </si>
  <si>
    <t>Gaza Economic Resilience</t>
  </si>
  <si>
    <t>00108769</t>
  </si>
  <si>
    <t>CHATAT, Tarik</t>
  </si>
  <si>
    <t>Gaza</t>
  </si>
  <si>
    <t>Online WATER SUPPLY MonitorSys-UNDP-PAL-00110308</t>
  </si>
  <si>
    <t>00110308</t>
  </si>
  <si>
    <t>Husam</t>
  </si>
  <si>
    <t>Capacity of EJ health inst.-UNDP-PAL-00110314</t>
  </si>
  <si>
    <t>00110314</t>
  </si>
  <si>
    <t>NASER, Hadil</t>
  </si>
  <si>
    <t>Const. of Gov. Facilities - WB-UNDP-PAL-00111468</t>
  </si>
  <si>
    <t>00111468</t>
  </si>
  <si>
    <t>Tarabot Palestine-UNDP-PAL-00113429</t>
  </si>
  <si>
    <t>00113429</t>
  </si>
  <si>
    <t>BADER, Samiha</t>
  </si>
  <si>
    <t>Accelerator lab - Palestine-UNDP-PAL-00115973</t>
  </si>
  <si>
    <t>00115973</t>
  </si>
  <si>
    <t>Support to Inclusive Electoral-UNDP-PAL-00116663</t>
  </si>
  <si>
    <t>00116617</t>
  </si>
  <si>
    <t>Nader</t>
  </si>
  <si>
    <t>Innovative Eco Emp Opportunity-UNDP-PAL-00128026</t>
  </si>
  <si>
    <t>00116663</t>
  </si>
  <si>
    <t>ALHASAN, Alaa</t>
  </si>
  <si>
    <t>Towards Green Gaza-UNDP-PAL-00129324</t>
  </si>
  <si>
    <t>00128026</t>
  </si>
  <si>
    <t>AL-NAJJAR, Jomah</t>
  </si>
  <si>
    <t>FACILITATE DEV JAIP PHASE II-PALPRO 2-PAL-00131755</t>
  </si>
  <si>
    <t>00129324</t>
  </si>
  <si>
    <t>Support to AHLC Ph.2-UNDP-PAL-00132260</t>
  </si>
  <si>
    <t>00131755</t>
  </si>
  <si>
    <t>Solar energy for EJ schools-UNDP-PAL-00132972</t>
  </si>
  <si>
    <t>00132260</t>
  </si>
  <si>
    <t>Improved quality education EJ-UNDP-PAL-00132973</t>
  </si>
  <si>
    <t>00132972</t>
  </si>
  <si>
    <t>Civil SocietyOrgEmpower2-DUTCH-UNDP-PAL-00133751</t>
  </si>
  <si>
    <t>00132973</t>
  </si>
  <si>
    <t>SOLAR ENERGY in WB COMMUNITIES-UNDP-PAL-00133802</t>
  </si>
  <si>
    <t>00133751</t>
  </si>
  <si>
    <t>Anti-Corruption(TEA3) phase II-UNDP-PAL-00134428</t>
  </si>
  <si>
    <t>00133802</t>
  </si>
  <si>
    <t>ALKHATEEB, Rana</t>
  </si>
  <si>
    <t>Investment Programme for Resilience - phase III</t>
  </si>
  <si>
    <t>00134428</t>
  </si>
  <si>
    <t>KHALAF, Luai</t>
  </si>
  <si>
    <t>Alice</t>
  </si>
  <si>
    <t>Promoting Biodiversity and Ecosystem-Bases Adaptation to Climate Change in Wadi Gaza</t>
  </si>
  <si>
    <t>01000457</t>
  </si>
  <si>
    <t>Abdelal, Mohammed</t>
  </si>
  <si>
    <t>Civil Society for Inclusiveness, Democratic Governance and Human Rights, Phase II</t>
  </si>
  <si>
    <t>01000480</t>
  </si>
  <si>
    <t>MAJDOUBEH, Saja</t>
  </si>
  <si>
    <t>Sawasya- III . Reinforcing Equal Access to Justicefor All Palestinians</t>
  </si>
  <si>
    <t>01001278</t>
  </si>
  <si>
    <t>ALASSOULI, Omar Ahmed Ali</t>
  </si>
  <si>
    <t>Investment Programme for Resilience - phase IV</t>
  </si>
  <si>
    <t>01001486</t>
  </si>
  <si>
    <t>Early Recovery and Reconstruction 2024</t>
  </si>
  <si>
    <t>01001808</t>
  </si>
  <si>
    <t>ABUMIZYED, Mohammed</t>
  </si>
  <si>
    <t>UN Security Support to Humanitarian Operations in Gaza</t>
  </si>
  <si>
    <t>01001856</t>
  </si>
  <si>
    <t>Responding to the Solid Waste Management Crisis in the Gaza strip</t>
  </si>
  <si>
    <t>01002381</t>
  </si>
  <si>
    <t>Investment Programme for Resilience – Phase V</t>
  </si>
  <si>
    <t>01003178</t>
  </si>
  <si>
    <t>Gaza Emergency Health Response</t>
  </si>
  <si>
    <t>01003479</t>
  </si>
  <si>
    <t>Emergency Debris Management</t>
  </si>
  <si>
    <t>01003501</t>
  </si>
  <si>
    <t>Water-Energy-Food (WEF) Nexus in the West Bank</t>
  </si>
  <si>
    <t>01003536</t>
  </si>
  <si>
    <t>AQEL, Ziad</t>
  </si>
  <si>
    <t>Gaza Emergency Water and Wastewater Response</t>
  </si>
  <si>
    <t>01003568</t>
  </si>
  <si>
    <t>EL-KAIRY, Hekmat</t>
  </si>
  <si>
    <t>Gaza Recovery, Reconstruction and Development (GRRD) Planning</t>
  </si>
  <si>
    <t>01003571</t>
  </si>
  <si>
    <t>Inclusive Transitional Community Neighborhoods in the Gaza Strip</t>
  </si>
  <si>
    <t>01003623</t>
  </si>
  <si>
    <t>AJJOUR, Ahmed</t>
  </si>
  <si>
    <t>PIMS-10239 GEF SGP 8th Operational Phase (Part 1) PALESTINIAN AUTHORITY</t>
  </si>
  <si>
    <t>01003673</t>
  </si>
  <si>
    <t>Rebuilding Hope for Gaza</t>
  </si>
  <si>
    <t>01004308</t>
  </si>
  <si>
    <t>ALSOURANI, Ibrahim</t>
  </si>
  <si>
    <t>Norway–UNDP Strategic Partnership TripleR I /  Response - Recovery – Resilience and Institution Building 2025–2027</t>
  </si>
  <si>
    <t>01004452</t>
  </si>
  <si>
    <t>ALSHAIKH, Margunn Indreboe</t>
  </si>
  <si>
    <t>Norway</t>
  </si>
  <si>
    <t>Investment Program for Resilience, Phase VI (IPR VI)</t>
  </si>
  <si>
    <t>01004815</t>
  </si>
  <si>
    <t>#</t>
  </si>
  <si>
    <t>Award#</t>
  </si>
  <si>
    <t>Name</t>
  </si>
  <si>
    <t>Number</t>
  </si>
  <si>
    <t>Primary Sponsor</t>
  </si>
  <si>
    <t>Status</t>
  </si>
  <si>
    <t>End Date</t>
  </si>
  <si>
    <t>Principal Investigator</t>
  </si>
  <si>
    <t>Total Funding Amount in Award Currency</t>
  </si>
  <si>
    <t>Sponsor Award Number</t>
  </si>
  <si>
    <t>Type</t>
  </si>
  <si>
    <t>Business Unit</t>
  </si>
  <si>
    <t>Organization</t>
  </si>
  <si>
    <t>Internal Funding Source</t>
  </si>
  <si>
    <t>PAL_ASL_20377</t>
  </si>
  <si>
    <t>00020377.7</t>
  </si>
  <si>
    <t>MEDICAL RESEARCH COUNCIL</t>
  </si>
  <si>
    <t>Active</t>
  </si>
  <si>
    <t>Quantum 1 Conversion</t>
  </si>
  <si>
    <t>0.03USD</t>
  </si>
  <si>
    <t>UNDP-PAL</t>
  </si>
  <si>
    <t>UNDP|68100|FSO budget through UNSECOORD|10152|MEDICAL RESEARCH COUNCIL</t>
  </si>
  <si>
    <t>00020377.8</t>
  </si>
  <si>
    <t>UN Department of Safety and Security</t>
  </si>
  <si>
    <t>Khalil Ghanem</t>
  </si>
  <si>
    <t>3,477,758.01USD</t>
  </si>
  <si>
    <t>UNDP|68100|FSO budget through UNSECOORD|10153|UN Department of Safety and Se</t>
  </si>
  <si>
    <t>00020377.5</t>
  </si>
  <si>
    <t>RIVERS STATE GOVERNMENT</t>
  </si>
  <si>
    <t>UNDP|68100|FSO budget through UNSECOORD|10135|RIVERS STATE GOVERNMENT</t>
  </si>
  <si>
    <t>00020377.4</t>
  </si>
  <si>
    <t>UNITED NATIONS DEVELOPMENT PROGRAMME</t>
  </si>
  <si>
    <t>0.05USD</t>
  </si>
  <si>
    <t>UNDP|68100|FSO budget through UNSECOORD|00012|UNITED NATIONS DEVELOPMENT PRO</t>
  </si>
  <si>
    <t>00020377.6</t>
  </si>
  <si>
    <t>NETHERLANDS EMBASSY MOSCOW</t>
  </si>
  <si>
    <t>UNDP|68100|FSO budget through UNSECOORD|10151|NETHERLANDS EMBASSY MOSCOW</t>
  </si>
  <si>
    <t>00020377.1</t>
  </si>
  <si>
    <t>EUROPEAN COMMISSION</t>
  </si>
  <si>
    <t>UNDP|68100|FSO budget through UNSECOORD|10159|EUROPEAN COMMISSION</t>
  </si>
  <si>
    <t>00020377.2</t>
  </si>
  <si>
    <t>FOLIGNO DECENTRALIZED COOPERATION</t>
  </si>
  <si>
    <t>UNDP|68100|FSO budget through UNSECOORD|10453|FOLIGNO DECENTRALIZED COOPERAT</t>
  </si>
  <si>
    <t>PAL_ASL_37867</t>
  </si>
  <si>
    <t>00037867.1</t>
  </si>
  <si>
    <t>655,471.01USD</t>
  </si>
  <si>
    <t>UNDP|11300|XB GMS funds|00012|UNITED NATIONS DEVELOPMENT PRO</t>
  </si>
  <si>
    <t>PAL_ASL_40830</t>
  </si>
  <si>
    <t>00040830.1</t>
  </si>
  <si>
    <t>UN DEPARTMENT OF INTERNATIONAL ECONOMIC</t>
  </si>
  <si>
    <t>UNDP|80195|RES UN MANDATED SECURITY MEAS|00002|UN DEPARTMENT OF INTERNATIONAL ECONOMIC</t>
  </si>
  <si>
    <t>00040830.2</t>
  </si>
  <si>
    <t>0.09USD</t>
  </si>
  <si>
    <t>UNDP|80195|RES UN MANDATED SECURITY MEAS|00012|UNITED NATIONS DEVELOPMENT PRO</t>
  </si>
  <si>
    <t>00040830.5</t>
  </si>
  <si>
    <t>UNDP|80190|Reserve for Security Measures|00012|UNITED NATIONS DEVELOPMENT PROGRAMME</t>
  </si>
  <si>
    <t>00040830.4</t>
  </si>
  <si>
    <t>1,609,440.61USD</t>
  </si>
  <si>
    <t>UNDP|19990|Resv fund for Security contrib|00012|UNITED NATIONS DEVELOPMENT PRO</t>
  </si>
  <si>
    <t>00040830.3</t>
  </si>
  <si>
    <t>0.07USD</t>
  </si>
  <si>
    <t>UNDP|02990|RR - CO SUPPORT - SECURITY|00012|UNITED NATIONS DEVELOPMENT PRO</t>
  </si>
  <si>
    <t>PAL_ASL_47395</t>
  </si>
  <si>
    <t>00047395.1</t>
  </si>
  <si>
    <t>25,002.01USD</t>
  </si>
  <si>
    <t>00047395</t>
  </si>
  <si>
    <t>UNDP|04950|PAPP Core Programme|00012|UNITED NATIONS DEVELOPMENT PRO</t>
  </si>
  <si>
    <t>PAL_ASL_49333</t>
  </si>
  <si>
    <t>00049333.5</t>
  </si>
  <si>
    <t>2,350,000.01USD</t>
  </si>
  <si>
    <t>UNDP|02300|RR Prog Sppt Country Offices|00012|UNITED NATIONS DEVELOPMENT PRO</t>
  </si>
  <si>
    <t>PAL_ASL_49334</t>
  </si>
  <si>
    <t>00049334.8</t>
  </si>
  <si>
    <t>UZB-COMMITTEE OF STATE PROPERT</t>
  </si>
  <si>
    <t>UNDP|04950|PAPP Core Programme|01012|UZB-COMMITTEE OF STATE PROPERT</t>
  </si>
  <si>
    <t>00049334.11</t>
  </si>
  <si>
    <t>UN INDUSTRIAL DEVELOPMENT ORGANIZATION</t>
  </si>
  <si>
    <t>UNDP|02300|RR Prog Sppt Country Offices|00013|UN INDUSTRIAL DEVELOPMENT ORGA</t>
  </si>
  <si>
    <t>00049334.4</t>
  </si>
  <si>
    <t>MPTF-JP opt Rule of Law II</t>
  </si>
  <si>
    <t>UNDP|02300|RR Prog Sppt Country Offices|13165|MPTF-JP opt Rule of Law II</t>
  </si>
  <si>
    <t>00049334.6</t>
  </si>
  <si>
    <t>RCS - Services</t>
  </si>
  <si>
    <t>UNDP|11825|RCS Direct Costs - HQ RSS|13268|RCS - Services</t>
  </si>
  <si>
    <t>00049334.2</t>
  </si>
  <si>
    <t>00049334.16</t>
  </si>
  <si>
    <t>1,507,500.01USD</t>
  </si>
  <si>
    <t>00049334.15</t>
  </si>
  <si>
    <t>6,625,349.30USD</t>
  </si>
  <si>
    <t>00049334.17</t>
  </si>
  <si>
    <t>UNDP|02950|RR Reserve Arab States|00012|UNITED NATIONS DEVELOPMENT PRO</t>
  </si>
  <si>
    <t>00049334.18</t>
  </si>
  <si>
    <t>UNDP|02550|Development Effectiveness-BSB|00012|UNITED NATIONS DEVELOPMENT PRO</t>
  </si>
  <si>
    <t>00049334.3</t>
  </si>
  <si>
    <t>6,949,684.56USD</t>
  </si>
  <si>
    <t>00049334.12</t>
  </si>
  <si>
    <t>00049334.13</t>
  </si>
  <si>
    <t>UNDP|11825|RCS Direct Costs - HQ RSS|00012|UNITED NATIONS DEVELOPMENT PRO</t>
  </si>
  <si>
    <t>00049334.1</t>
  </si>
  <si>
    <t>UNDP|02900|RR Global Reserve|00012|UNITED NATIONS DEVELOPMENT PRO</t>
  </si>
  <si>
    <t>00049334.14</t>
  </si>
  <si>
    <t>UNDP|11301|XB Cost Center Retained Stock|00012|UNITED NATIONS DEVELOPMENT PRO</t>
  </si>
  <si>
    <t>00049334.7</t>
  </si>
  <si>
    <t>UNDP|02300|RR Prog Sppt Country Offices|10159|EUROPEAN COMMISSION</t>
  </si>
  <si>
    <t>00049334.10</t>
  </si>
  <si>
    <t>GOVERNMENT OF EL SALVADOR</t>
  </si>
  <si>
    <t>UNDP|02300|RR Prog Sppt Country Offices|00102|GOVERNMENT OF EL SALVADOR</t>
  </si>
  <si>
    <t>00049334.9</t>
  </si>
  <si>
    <t>GOVERNMENT OF NORWAY</t>
  </si>
  <si>
    <t>UNDP|04950|PAPP Core Programme|00187|GOVERNMENT OF NORWAY</t>
  </si>
  <si>
    <t>PAL_ASL_52919</t>
  </si>
  <si>
    <t>00052919.5</t>
  </si>
  <si>
    <t>OPEC Fund for International Development</t>
  </si>
  <si>
    <t>UNDP|04950|PAPP Core Programme|11120|OPEC Fund for International Development</t>
  </si>
  <si>
    <t>00052919.6</t>
  </si>
  <si>
    <t>Peacebuilding Fund</t>
  </si>
  <si>
    <t>UNDP|04950|PAPP Core Programme|11363|Peacebuilding Fund</t>
  </si>
  <si>
    <t>00052919.9</t>
  </si>
  <si>
    <t>Sufian MUSHASHA</t>
  </si>
  <si>
    <t>490,000.20USD</t>
  </si>
  <si>
    <t>00052919.10</t>
  </si>
  <si>
    <t>UNDP|04400|RR Engagemnt fund -frmly DSS|00012|UNITED NATIONS DEVELOPMENT PRO</t>
  </si>
  <si>
    <t>00052919.1</t>
  </si>
  <si>
    <t>Digital Good</t>
  </si>
  <si>
    <t>0.22USD</t>
  </si>
  <si>
    <t>UNDP|04950|PAPP Core Programme|12910|Digital Good</t>
  </si>
  <si>
    <t>00052919.2</t>
  </si>
  <si>
    <t>GOVERNMENT OF SPAIN</t>
  </si>
  <si>
    <t>UNDP|04950|PAPP Core Programme|00220|GOVERNMENT OF SPAIN</t>
  </si>
  <si>
    <t>00052919.4</t>
  </si>
  <si>
    <t>CANADIAN INTERNATIONAL DEVELOPMENT AGENC</t>
  </si>
  <si>
    <t>UNDP|04950|PAPP Core Programme|00550|CANADIAN INTERNATIONAL DEVELOPMENT AGENC</t>
  </si>
  <si>
    <t>00052919.7</t>
  </si>
  <si>
    <t>Adam Smith International</t>
  </si>
  <si>
    <t>UNDP|04950|PAPP Core Programme|12000|Adam Smith International</t>
  </si>
  <si>
    <t>00052919.8</t>
  </si>
  <si>
    <t>ISLAMIC DEVELOPMENT BANK</t>
  </si>
  <si>
    <t>UNDP|04950|PAPP Core Programme|00020|ISLAMIC DEVELOPMENT BANK</t>
  </si>
  <si>
    <t>00052919.3</t>
  </si>
  <si>
    <t>GOVERNMENT OF TOGO</t>
  </si>
  <si>
    <t>UNDP|04950|PAPP Core Programme|00237|GOVERNMENT OF TOGO</t>
  </si>
  <si>
    <t>00052919.11</t>
  </si>
  <si>
    <t>GOVERNMENT OF JAPAN</t>
  </si>
  <si>
    <t>UNDP|04950|PAPP Core Programme|00141|GOVERNMENT OF JAPAN</t>
  </si>
  <si>
    <t>PAL_IDB_TPCS_00047395</t>
  </si>
  <si>
    <t>00078878</t>
  </si>
  <si>
    <t>Iman Al-Husseini</t>
  </si>
  <si>
    <t>12,746,732.09USD</t>
  </si>
  <si>
    <t>PAL_EUROCOMM_EC_00088974</t>
  </si>
  <si>
    <t>00079751</t>
  </si>
  <si>
    <t>34,273.36USD</t>
  </si>
  <si>
    <t>PAL_ASL_88974</t>
  </si>
  <si>
    <t>00088974.1</t>
  </si>
  <si>
    <t>PAL_UNRWA_TPCS_99288</t>
  </si>
  <si>
    <t>00095557</t>
  </si>
  <si>
    <t>UN RELIEF AND WORKS AGENCY</t>
  </si>
  <si>
    <t>2,335,080.70USD</t>
  </si>
  <si>
    <t>00099288</t>
  </si>
  <si>
    <t>PAL_ASL_99288</t>
  </si>
  <si>
    <t>00099288.1</t>
  </si>
  <si>
    <t>UNDP|59010|TF Promotion of South Coop|10334|UN RELIEF AND WORKS AGENCY</t>
  </si>
  <si>
    <t>00099288.2</t>
  </si>
  <si>
    <t>PAL_IDB_TPCS_103834</t>
  </si>
  <si>
    <t>00101738</t>
  </si>
  <si>
    <t>17,428,034.87USD</t>
  </si>
  <si>
    <t>PAL_ASL_02746</t>
  </si>
  <si>
    <t>00102746.1</t>
  </si>
  <si>
    <t>105,283.10USD</t>
  </si>
  <si>
    <t>00102746</t>
  </si>
  <si>
    <t>PAL_ASL_03834</t>
  </si>
  <si>
    <t>00103834.1</t>
  </si>
  <si>
    <t>246,962.01USD</t>
  </si>
  <si>
    <t>PAL_NORWAY_TPCS00106652</t>
  </si>
  <si>
    <t>00106028</t>
  </si>
  <si>
    <t>64,351.88USD</t>
  </si>
  <si>
    <t>00106652</t>
  </si>
  <si>
    <t>PAL_ASL_06652</t>
  </si>
  <si>
    <t>00106652.1</t>
  </si>
  <si>
    <t>PAL_ASL_08030</t>
  </si>
  <si>
    <t>00108030.1</t>
  </si>
  <si>
    <t>00108030</t>
  </si>
  <si>
    <t>PAL_NORWAY_TPCS_103834</t>
  </si>
  <si>
    <t>00108377</t>
  </si>
  <si>
    <t>PAL_Gov ofNorway_TPCS_108030_L</t>
  </si>
  <si>
    <t>00108394</t>
  </si>
  <si>
    <t>4,464.08USD</t>
  </si>
  <si>
    <t>PAL_ASL_08408</t>
  </si>
  <si>
    <t>00108408.1</t>
  </si>
  <si>
    <t>00108408</t>
  </si>
  <si>
    <t>PAL_ASL_16663</t>
  </si>
  <si>
    <t>00116663.1</t>
  </si>
  <si>
    <t>UNITED NATIONS</t>
  </si>
  <si>
    <t>UNDP|04950|PAPP Core Programme|00296|UNITED NATIONS</t>
  </si>
  <si>
    <t>00116663.2</t>
  </si>
  <si>
    <t>0.17USD</t>
  </si>
  <si>
    <t>PAL_ASL_19090</t>
  </si>
  <si>
    <t>00119090.1</t>
  </si>
  <si>
    <t>00119090</t>
  </si>
  <si>
    <t>PAL_KFW_TPCS_102746_L</t>
  </si>
  <si>
    <t>00121910</t>
  </si>
  <si>
    <t>KREDITANSTALT FUR WIEDERAUFBAU</t>
  </si>
  <si>
    <t>Motaz DAWABSHEH</t>
  </si>
  <si>
    <t>337,709.57USD</t>
  </si>
  <si>
    <t>PAL_UNSCO_UN TO UN_00119090</t>
  </si>
  <si>
    <t>00124147</t>
  </si>
  <si>
    <t>UNSCO, GAZA</t>
  </si>
  <si>
    <t>8,321.59USD</t>
  </si>
  <si>
    <t>PAL_ASL_25204</t>
  </si>
  <si>
    <t>00125204.2</t>
  </si>
  <si>
    <t>0.11USD</t>
  </si>
  <si>
    <t>00125204</t>
  </si>
  <si>
    <t>UNDP|04001|COVID RFF from Core Programme|00012|UNITED NATIONS DEVELOPMENT PRO</t>
  </si>
  <si>
    <t>PAL_ASL_25753</t>
  </si>
  <si>
    <t>00125753.1</t>
  </si>
  <si>
    <t>00125753</t>
  </si>
  <si>
    <t>PAL_GVTJPN_TPCS_120289</t>
  </si>
  <si>
    <t>00127128</t>
  </si>
  <si>
    <t>1.00USD</t>
  </si>
  <si>
    <t>00120289</t>
  </si>
  <si>
    <t>PAL_ASL_27421</t>
  </si>
  <si>
    <t>00127421.1</t>
  </si>
  <si>
    <t>00127421</t>
  </si>
  <si>
    <t>PAL_MFANORWAY_TPCS_121131_L</t>
  </si>
  <si>
    <t>00128352</t>
  </si>
  <si>
    <t>NOR-Ministry of Foreign Affairs</t>
  </si>
  <si>
    <t>14,387.54USD</t>
  </si>
  <si>
    <t>00121131</t>
  </si>
  <si>
    <t>PAL_UNWOMEN_TPCS_00119090</t>
  </si>
  <si>
    <t>00131720</t>
  </si>
  <si>
    <t>UN Women</t>
  </si>
  <si>
    <t>PAL_DENMARK_TPCS_00125204/296</t>
  </si>
  <si>
    <t>00133660</t>
  </si>
  <si>
    <t>GOVERNMENT OF DENMARK</t>
  </si>
  <si>
    <t>0.06USD</t>
  </si>
  <si>
    <t>00125296</t>
  </si>
  <si>
    <t>PAL_GOVIREDFA_TPCS_00116663_L</t>
  </si>
  <si>
    <t>00135681</t>
  </si>
  <si>
    <t>GOVERNMENT OF IRELAND</t>
  </si>
  <si>
    <t>178,428.99USD</t>
  </si>
  <si>
    <t>PAL_GIZ_TPCS_125296</t>
  </si>
  <si>
    <t>00137325</t>
  </si>
  <si>
    <t>DEUTSCHE GESELLSCHAFT FUR INTERNATIONALE</t>
  </si>
  <si>
    <t>138.24USD</t>
  </si>
  <si>
    <t>PAL_GVTJPN_TPCS_00127421</t>
  </si>
  <si>
    <t>00137328</t>
  </si>
  <si>
    <t>203,064.61USD</t>
  </si>
  <si>
    <t>PAL_SIDA_TPCS_00127421/0012742</t>
  </si>
  <si>
    <t>00137533</t>
  </si>
  <si>
    <t>SWEDISH INT'L DEVELOPMENT COOPERATION</t>
  </si>
  <si>
    <t>2,978,057.74USD</t>
  </si>
  <si>
    <t>00127422</t>
  </si>
  <si>
    <t>PAL_SDC_TPCS_128026_L</t>
  </si>
  <si>
    <t>00137892</t>
  </si>
  <si>
    <t>SWISS AGY FOR DEVELOPMENT &amp; COOPERATION</t>
  </si>
  <si>
    <t>2,097,897.16USD</t>
  </si>
  <si>
    <t>PAL_UNOCHA_UN2UN_00128155</t>
  </si>
  <si>
    <t>00138120</t>
  </si>
  <si>
    <t>UNOCHA</t>
  </si>
  <si>
    <t>00128155</t>
  </si>
  <si>
    <t>PAL UNICEF_UN-UN_00120289</t>
  </si>
  <si>
    <t>00139711</t>
  </si>
  <si>
    <t>UNITED NATIONS CHILDREN'S FUND</t>
  </si>
  <si>
    <t>PAL_GVTGERMANY_TPCS_00116663_L</t>
  </si>
  <si>
    <t>00140138</t>
  </si>
  <si>
    <t>GOVERNMENT OF GERMANY</t>
  </si>
  <si>
    <t>433,447.25USD</t>
  </si>
  <si>
    <t>PAL_GVTBELGIUM_TPCS_00129324</t>
  </si>
  <si>
    <t>00140434</t>
  </si>
  <si>
    <t>GOVERNMENT OF BELGIUM</t>
  </si>
  <si>
    <t>9,142,003.25USD</t>
  </si>
  <si>
    <t>PAL_FINLAND_TPCS_00113429</t>
  </si>
  <si>
    <t>00140530</t>
  </si>
  <si>
    <t>GOVERNMENT OF FINLAND</t>
  </si>
  <si>
    <t>4,112,540.00USD</t>
  </si>
  <si>
    <t>PAL_GVTBELGIUM_TPCS_00116663_L</t>
  </si>
  <si>
    <t>00142387</t>
  </si>
  <si>
    <t>212,529.32USD</t>
  </si>
  <si>
    <t>PAL_DFATD_TPCS_116663_L</t>
  </si>
  <si>
    <t>00143033</t>
  </si>
  <si>
    <t>Dept of Forgn Afrs Trade &amp; Dev</t>
  </si>
  <si>
    <t>670,378.44USD</t>
  </si>
  <si>
    <t>PAL_MFANORWAY_TPCS_00132260_L</t>
  </si>
  <si>
    <t>00144700</t>
  </si>
  <si>
    <t>1,220,968.15USD</t>
  </si>
  <si>
    <t>PAL_MFANORWAY_TPCS_00110314_L</t>
  </si>
  <si>
    <t>00145718</t>
  </si>
  <si>
    <t>4,731,463.07USD</t>
  </si>
  <si>
    <t>PAL_MFANORWAY_TPCS_00132973_L</t>
  </si>
  <si>
    <t>00146932</t>
  </si>
  <si>
    <t>17,419,632.57USD</t>
  </si>
  <si>
    <t>PAL_GVTPAL_GCS_PID#93791_8950</t>
  </si>
  <si>
    <t>00147088</t>
  </si>
  <si>
    <t>State of Palestine</t>
  </si>
  <si>
    <t>1,313.47USD</t>
  </si>
  <si>
    <t>00093791</t>
  </si>
  <si>
    <t>PAL_GVTNTH_TPCS_00110308_L</t>
  </si>
  <si>
    <t>00147361</t>
  </si>
  <si>
    <t>GOVERNMENT OF NETHERLANDS</t>
  </si>
  <si>
    <t>18,952,104.44USD</t>
  </si>
  <si>
    <t>PAL_GVTNTH_TPCS_00133751_L</t>
  </si>
  <si>
    <t>00147495</t>
  </si>
  <si>
    <t>12,151,367.75USD</t>
  </si>
  <si>
    <t>UNDP|04950|PAPP Core Programme|00012|UNITED NATIONS DEVELOPMENT PRO(2 More...)</t>
  </si>
  <si>
    <t>PAL_MOFANORWAY_134067_134068_L</t>
  </si>
  <si>
    <t>00147840</t>
  </si>
  <si>
    <t>7,608,131.53USD</t>
  </si>
  <si>
    <t>00134068</t>
  </si>
  <si>
    <t>PAL_MOFANORWAY_TPCS_108769_L</t>
  </si>
  <si>
    <t>00147845</t>
  </si>
  <si>
    <t>12,318,914.85USD</t>
  </si>
  <si>
    <t>PAL_KFW_TPCS_00116642_L</t>
  </si>
  <si>
    <t>00147927</t>
  </si>
  <si>
    <t>40,297,197.55USD</t>
  </si>
  <si>
    <t>PAL_SIDA_TPCS_00134428</t>
  </si>
  <si>
    <t>00148152</t>
  </si>
  <si>
    <t>4,061,824.99USD</t>
  </si>
  <si>
    <t>PAL_DUMMY_37867</t>
  </si>
  <si>
    <t>919454</t>
  </si>
  <si>
    <t>919455</t>
  </si>
  <si>
    <t>INTERNATIONAL LABOUR ORGANIZATION</t>
  </si>
  <si>
    <t>919456</t>
  </si>
  <si>
    <t>50,992.00USD</t>
  </si>
  <si>
    <t>919457</t>
  </si>
  <si>
    <t>FOOD AND AGRICULTURE ORGANIZATION OF THE</t>
  </si>
  <si>
    <t>238,373.00USD</t>
  </si>
  <si>
    <t>919458</t>
  </si>
  <si>
    <t>919459</t>
  </si>
  <si>
    <t>UNESCO</t>
  </si>
  <si>
    <t>101,996.00USD</t>
  </si>
  <si>
    <t>919460</t>
  </si>
  <si>
    <t>919461</t>
  </si>
  <si>
    <t>WORLD HEALTH ORGANIZATION</t>
  </si>
  <si>
    <t>919462</t>
  </si>
  <si>
    <t>477,092.00USD</t>
  </si>
  <si>
    <t>919463</t>
  </si>
  <si>
    <t>INTERNATIONAL MARITIME ORGANIZATION</t>
  </si>
  <si>
    <t>919464</t>
  </si>
  <si>
    <t>919465</t>
  </si>
  <si>
    <t>919466</t>
  </si>
  <si>
    <t>31,781.00USD</t>
  </si>
  <si>
    <t>919467</t>
  </si>
  <si>
    <t>919468</t>
  </si>
  <si>
    <t>Intl Bank for Recon &amp; Dev</t>
  </si>
  <si>
    <t>919469</t>
  </si>
  <si>
    <t>192,448.00USD</t>
  </si>
  <si>
    <t>919470</t>
  </si>
  <si>
    <t>UN CENTRE FOR HUMAN SETTLEMENTS</t>
  </si>
  <si>
    <t>919471</t>
  </si>
  <si>
    <t>66,238.00USD</t>
  </si>
  <si>
    <t>919472</t>
  </si>
  <si>
    <t>UNITED NATIONS POPULATION FUND</t>
  </si>
  <si>
    <t>919473</t>
  </si>
  <si>
    <t>919474</t>
  </si>
  <si>
    <t>919475</t>
  </si>
  <si>
    <t>919476</t>
  </si>
  <si>
    <t>919477</t>
  </si>
  <si>
    <t>609,112.00USD</t>
  </si>
  <si>
    <t>919478</t>
  </si>
  <si>
    <t>WORLD FOOD PROGRAMME</t>
  </si>
  <si>
    <t>919479</t>
  </si>
  <si>
    <t>546,856.00USD</t>
  </si>
  <si>
    <t>919480</t>
  </si>
  <si>
    <t>919481</t>
  </si>
  <si>
    <t>309,721.00USD</t>
  </si>
  <si>
    <t>919482</t>
  </si>
  <si>
    <t>International Monetary Fund</t>
  </si>
  <si>
    <t>919483</t>
  </si>
  <si>
    <t>13,404.00USD</t>
  </si>
  <si>
    <t>919484</t>
  </si>
  <si>
    <t>UN HIGH COMMISSIONER FOR REFUGEES</t>
  </si>
  <si>
    <t>919485</t>
  </si>
  <si>
    <t>51,447.00USD</t>
  </si>
  <si>
    <t>919486</t>
  </si>
  <si>
    <t>UN CONF ON TRADE &amp; DEVELOPMENT</t>
  </si>
  <si>
    <t>919487</t>
  </si>
  <si>
    <t>OFFICE OF THE HIGH COMMISSIONER FOR HR</t>
  </si>
  <si>
    <t>919488</t>
  </si>
  <si>
    <t>140,555.00USD</t>
  </si>
  <si>
    <t>919489</t>
  </si>
  <si>
    <t>UN Office in Geneva</t>
  </si>
  <si>
    <t>919490</t>
  </si>
  <si>
    <t>UN Office in Nairobi</t>
  </si>
  <si>
    <t>919491</t>
  </si>
  <si>
    <t>UN Office in Vienna</t>
  </si>
  <si>
    <t>919492</t>
  </si>
  <si>
    <t>8,362.00USD</t>
  </si>
  <si>
    <t>919493</t>
  </si>
  <si>
    <t>UN Office for Project Services</t>
  </si>
  <si>
    <t>919494</t>
  </si>
  <si>
    <t>919495</t>
  </si>
  <si>
    <t>UNOPS for interunit billing</t>
  </si>
  <si>
    <t>919496</t>
  </si>
  <si>
    <t>919497</t>
  </si>
  <si>
    <t>919498</t>
  </si>
  <si>
    <t>210,124.00USD</t>
  </si>
  <si>
    <t>919499</t>
  </si>
  <si>
    <t>UNTSO, JERUSALEM</t>
  </si>
  <si>
    <t>919500</t>
  </si>
  <si>
    <t>347,869.00USD</t>
  </si>
  <si>
    <t>919501</t>
  </si>
  <si>
    <t>MINUCI-CIV,ABIDJAN</t>
  </si>
  <si>
    <t>919502</t>
  </si>
  <si>
    <t>919503</t>
  </si>
  <si>
    <t>193,612.00USD</t>
  </si>
  <si>
    <t>919504</t>
  </si>
  <si>
    <t>UNIFEM - CSA</t>
  </si>
  <si>
    <t>135,994.00USD</t>
  </si>
  <si>
    <t>919505</t>
  </si>
  <si>
    <t>UNFPA-CSA</t>
  </si>
  <si>
    <t>114,349.00USD</t>
  </si>
  <si>
    <t>919506</t>
  </si>
  <si>
    <t>UNOPS-CSA</t>
  </si>
  <si>
    <t>388,654.01USD</t>
  </si>
  <si>
    <t>919507</t>
  </si>
  <si>
    <t>UN Register of Damage - UNROD</t>
  </si>
  <si>
    <t>919508</t>
  </si>
  <si>
    <t>5,550.00USD</t>
  </si>
  <si>
    <t>919509</t>
  </si>
  <si>
    <t>UN Mine Action Service</t>
  </si>
  <si>
    <t>142,904.00USD</t>
  </si>
  <si>
    <t>PAL_DUMMY_47395</t>
  </si>
  <si>
    <t>919955</t>
  </si>
  <si>
    <t>919956</t>
  </si>
  <si>
    <t>919957</t>
  </si>
  <si>
    <t>919958</t>
  </si>
  <si>
    <t>236,586.65USD</t>
  </si>
  <si>
    <t>PAL_DUMMY_49334</t>
  </si>
  <si>
    <t>920015</t>
  </si>
  <si>
    <t>PAL_DUMMY_52919</t>
  </si>
  <si>
    <t>920027</t>
  </si>
  <si>
    <t>UNITED NATIONS VOLUNTEERS</t>
  </si>
  <si>
    <t>920028</t>
  </si>
  <si>
    <t>144,634.99USD</t>
  </si>
  <si>
    <t>920029</t>
  </si>
  <si>
    <t>91,383.06USD</t>
  </si>
  <si>
    <t>920030</t>
  </si>
  <si>
    <t>920031</t>
  </si>
  <si>
    <t>45.36USD</t>
  </si>
  <si>
    <t>920032</t>
  </si>
  <si>
    <t>PAL_DUMMY_93791</t>
  </si>
  <si>
    <t>921528</t>
  </si>
  <si>
    <t>PAL_DUMMY_03834</t>
  </si>
  <si>
    <t>921763</t>
  </si>
  <si>
    <t>GOVERNMENT OF POLAND</t>
  </si>
  <si>
    <t>PAL_DUMMY_08408</t>
  </si>
  <si>
    <t>922002</t>
  </si>
  <si>
    <t>11,259.06USD</t>
  </si>
  <si>
    <t>PAL_DUMMY_08610</t>
  </si>
  <si>
    <t>922027</t>
  </si>
  <si>
    <t>00108610</t>
  </si>
  <si>
    <t>PAL_DUMMY_11468</t>
  </si>
  <si>
    <t>922071</t>
  </si>
  <si>
    <t>US Int'l Narcotics &amp; Law Enfmnt Affairs</t>
  </si>
  <si>
    <t>28,099,751.18USD</t>
  </si>
  <si>
    <t>PAL_DUMMY_15973</t>
  </si>
  <si>
    <t>922392</t>
  </si>
  <si>
    <t>839,316.61USD</t>
  </si>
  <si>
    <t>922393</t>
  </si>
  <si>
    <t>Qatar Fund for Development</t>
  </si>
  <si>
    <t>449,729.60USD</t>
  </si>
  <si>
    <t>PAL_DUMMY_16663</t>
  </si>
  <si>
    <t>922480</t>
  </si>
  <si>
    <t>207,638.50USD</t>
  </si>
  <si>
    <t>922481</t>
  </si>
  <si>
    <t>AG. ESPANOLA DE COOPERACION INT.</t>
  </si>
  <si>
    <t>464,561.86USD</t>
  </si>
  <si>
    <t>PAL_DUMMY_20609</t>
  </si>
  <si>
    <t>922744</t>
  </si>
  <si>
    <t>00120609</t>
  </si>
  <si>
    <t>PAL_DUMMY_21131</t>
  </si>
  <si>
    <t>922806</t>
  </si>
  <si>
    <t>PAL_DUMMY_25296</t>
  </si>
  <si>
    <t>922957</t>
  </si>
  <si>
    <t>TAR - GIZ-Deutsche Gesellschaft Intern.</t>
  </si>
  <si>
    <t>PAL_DUMMY_25317</t>
  </si>
  <si>
    <t>922959</t>
  </si>
  <si>
    <t>00125317</t>
  </si>
  <si>
    <t>PAL_DUMMY_29324</t>
  </si>
  <si>
    <t>923067</t>
  </si>
  <si>
    <t>PAL_GOVJAPAN_TPCS_00131755_L</t>
  </si>
  <si>
    <t>1037009</t>
  </si>
  <si>
    <t>1,580,581.79USD</t>
  </si>
  <si>
    <t>PAL_MOFA_TPCS_00116663_L</t>
  </si>
  <si>
    <t>1093038</t>
  </si>
  <si>
    <t>635,933.12USD</t>
  </si>
  <si>
    <t>000095</t>
  </si>
  <si>
    <t>B0700 - PAPP/Jerusalem</t>
  </si>
  <si>
    <t>PAL_SDC_TPCS_00108769</t>
  </si>
  <si>
    <t>1109012</t>
  </si>
  <si>
    <t>6,604,530.67USD</t>
  </si>
  <si>
    <t>PAL_FCDO_TPCS_00134428_L</t>
  </si>
  <si>
    <t>1137199</t>
  </si>
  <si>
    <t>Foreign,Commonwealth &amp; Dev.Off.</t>
  </si>
  <si>
    <t>4,642,607.18USD</t>
  </si>
  <si>
    <t>013645</t>
  </si>
  <si>
    <t>PAL_MPTF_JP_01001486</t>
  </si>
  <si>
    <t>1214313</t>
  </si>
  <si>
    <t>40,545,735.73USD</t>
  </si>
  <si>
    <t>PAL_KFW_TPCS_01001808_L</t>
  </si>
  <si>
    <t>1220507</t>
  </si>
  <si>
    <t>15,153,740.51USD</t>
  </si>
  <si>
    <t>PAL_USAID_LOC_720BHA24IO00089</t>
  </si>
  <si>
    <t>1286948</t>
  </si>
  <si>
    <t>USAID</t>
  </si>
  <si>
    <t>Ghada Andria-SABA</t>
  </si>
  <si>
    <t>12,500,137.00USD</t>
  </si>
  <si>
    <t>PAL_EU_EC_00110314</t>
  </si>
  <si>
    <t>1288899</t>
  </si>
  <si>
    <t>8,348,000.00USD</t>
  </si>
  <si>
    <t>Mubadarati - Empowering Marginalized communities through Investments in Agri-Business Development</t>
  </si>
  <si>
    <t>1305952</t>
  </si>
  <si>
    <t>1,243,139.05USD</t>
  </si>
  <si>
    <t>UNDP|55021|UNDP/IBSA FACILITY|00012|UNITED NATIONS DEVELOPMENT PRO</t>
  </si>
  <si>
    <t>PAL_IsDB_TPCS_00132972</t>
  </si>
  <si>
    <t>1310150</t>
  </si>
  <si>
    <t>1,750,000.00USD</t>
  </si>
  <si>
    <t>PAL_PAMA_TPCS_PID 01003501</t>
  </si>
  <si>
    <t>1336238</t>
  </si>
  <si>
    <t>Palestinian American Medical Association</t>
  </si>
  <si>
    <t>6,130,128.00USD</t>
  </si>
  <si>
    <t>PAL_UNEP_UN2UN_01003536</t>
  </si>
  <si>
    <t>1354207</t>
  </si>
  <si>
    <t>UNITED NATIONS ENVIRONMENT PROGRAMME</t>
  </si>
  <si>
    <t>599,690.00USD</t>
  </si>
  <si>
    <t>PAPP Funding Windows GPCR</t>
  </si>
  <si>
    <t>1370228</t>
  </si>
  <si>
    <t>Hanan BARGHOUTH</t>
  </si>
  <si>
    <t>600,000.01USD</t>
  </si>
  <si>
    <t>UNDP|28600|FW_Gov PB Crisis and Res|12711|UNDP Funding Windows</t>
  </si>
  <si>
    <t>PAL_KFW_TPCS_01003479_L</t>
  </si>
  <si>
    <t>1370255</t>
  </si>
  <si>
    <t>16,566,449.43USD</t>
  </si>
  <si>
    <t>PAL_AICS_TPCS_01003623</t>
  </si>
  <si>
    <t>1370263</t>
  </si>
  <si>
    <t>Italian Min. for Foreign Affairs</t>
  </si>
  <si>
    <t>9,544,209.58USD</t>
  </si>
  <si>
    <t>PAL_NORWAY_TPCS_01003536&amp;01003568</t>
  </si>
  <si>
    <t>1373328</t>
  </si>
  <si>
    <t>15,788,689.52USD</t>
  </si>
  <si>
    <t>PAL_KFW_TPCS_01003673</t>
  </si>
  <si>
    <t>1374250</t>
  </si>
  <si>
    <t>21,041,746.83USD</t>
  </si>
  <si>
    <t>People for 2030 Award</t>
  </si>
  <si>
    <t>1376245</t>
  </si>
  <si>
    <t>Lurin RANTISI</t>
  </si>
  <si>
    <t>10,000.10USD</t>
  </si>
  <si>
    <t>UNDP|11971|Financial Hub|00012|UNITED NATIONS DEVELOPMENT PRO</t>
  </si>
  <si>
    <t>ASL-PAL-11519</t>
  </si>
  <si>
    <t>1376275</t>
  </si>
  <si>
    <t>1,699,637.01USD</t>
  </si>
  <si>
    <t>UNDP|11519|2025 Non-Core Programme|00012|United Nations Development Programme</t>
  </si>
  <si>
    <t>GP ROL 2024-2</t>
  </si>
  <si>
    <t>1376322</t>
  </si>
  <si>
    <t>233,227.29USD</t>
  </si>
  <si>
    <t>UNDP|28623|FW_Rule of Law|00182|GOVERNMENT OF NETHERLANDS</t>
  </si>
  <si>
    <t>PAL_PAMA_TPCS_01003501</t>
  </si>
  <si>
    <t>1376569</t>
  </si>
  <si>
    <t>2,712,667.00USD</t>
  </si>
  <si>
    <t>PAL_TPCS_KSR_01003571</t>
  </si>
  <si>
    <t>1377276</t>
  </si>
  <si>
    <t>Kuwait Society for Relief-KSR</t>
  </si>
  <si>
    <t>2,192,265.00USD</t>
  </si>
  <si>
    <t>1377280</t>
  </si>
  <si>
    <t>1,448,439.27USD</t>
  </si>
  <si>
    <t>PAPP Early Recovery 04950</t>
  </si>
  <si>
    <t>1378228</t>
  </si>
  <si>
    <t>315,126.42USD</t>
  </si>
  <si>
    <t>PAL_PAMA_TPCS_00132973</t>
  </si>
  <si>
    <t>1379251</t>
  </si>
  <si>
    <t>125,000.00USD</t>
  </si>
  <si>
    <t>PAL_GVTPAL_GCS_INDIRECTFUND_WB_01003571</t>
  </si>
  <si>
    <t>1381232</t>
  </si>
  <si>
    <t>1,999,566.00USD</t>
  </si>
  <si>
    <t>PAL_GVTJPN_01003536</t>
  </si>
  <si>
    <t>1381380</t>
  </si>
  <si>
    <t>3,170,016.52USD</t>
  </si>
  <si>
    <t>PAL_GOV JAPAN_01003178_FC 32045</t>
  </si>
  <si>
    <t>1381382</t>
  </si>
  <si>
    <t>4,770,598.35USD</t>
  </si>
  <si>
    <t>PAL_GVTDNK_TPCS_01001278_L</t>
  </si>
  <si>
    <t>1382395</t>
  </si>
  <si>
    <t>3,695,805.00USD</t>
  </si>
  <si>
    <t>PAL_HEAL_TPCS_00132973</t>
  </si>
  <si>
    <t>1382397</t>
  </si>
  <si>
    <t>HEAL Palestine</t>
  </si>
  <si>
    <t>260,000.00USD</t>
  </si>
  <si>
    <t>PAL_KSRELIEF_TPCS_01003571/01003178</t>
  </si>
  <si>
    <t>1382455</t>
  </si>
  <si>
    <t>King Salman Humanitarian Ctr</t>
  </si>
  <si>
    <t>5,650,075.00USD</t>
  </si>
  <si>
    <t>PAL_DFAT AUS_00134428_L</t>
  </si>
  <si>
    <t>1382472</t>
  </si>
  <si>
    <t>Australian DFAT</t>
  </si>
  <si>
    <t>4,469,622.43USD</t>
  </si>
  <si>
    <t>PAL_GVTJPN_TPCS_00134428_L</t>
  </si>
  <si>
    <t>1382498</t>
  </si>
  <si>
    <t>345,090.00USD</t>
  </si>
  <si>
    <t>PAL_SIDA_TPCS_01001278</t>
  </si>
  <si>
    <t>1382552</t>
  </si>
  <si>
    <t>3,955,266.73USD</t>
  </si>
  <si>
    <t>1382680</t>
  </si>
  <si>
    <t>Global Environment Fund Trustee</t>
  </si>
  <si>
    <t>Biao XIONG</t>
  </si>
  <si>
    <t>638,409.10USD</t>
  </si>
  <si>
    <t>UNDP|62000|GEF Voluntary Contribution |10003|Global Environment Fund Truste</t>
  </si>
  <si>
    <t>PAL_UN2UN_UNOCHA_01003178</t>
  </si>
  <si>
    <t>1382830</t>
  </si>
  <si>
    <t>499,649.34USD</t>
  </si>
  <si>
    <t>PAL_KFAED_TPCS_01003571</t>
  </si>
  <si>
    <t>1386363</t>
  </si>
  <si>
    <t>Kuwait Fund</t>
  </si>
  <si>
    <t>2,768,000.00USD</t>
  </si>
  <si>
    <t>HandCraft Service Company</t>
  </si>
  <si>
    <t>1389389</t>
  </si>
  <si>
    <t>119,501.00USD</t>
  </si>
  <si>
    <t>UNDP|30084|Prog Resources from 11888|00012|UNITED NATIONS DEVELOPMENT PROGRAMME</t>
  </si>
  <si>
    <t>PAL_EAA_TPCS_01004452</t>
  </si>
  <si>
    <t>1394503</t>
  </si>
  <si>
    <t>Education Above All</t>
  </si>
  <si>
    <t>3,055,010.00USD</t>
  </si>
  <si>
    <t>1394546</t>
  </si>
  <si>
    <t>4,005,526.60USD</t>
  </si>
  <si>
    <t>PAL_FW_GOVSWEDEN_01003673</t>
  </si>
  <si>
    <t>1395415</t>
  </si>
  <si>
    <t>GOVERNMENT OF SWEDEN</t>
  </si>
  <si>
    <t>21,912,247.83USD</t>
  </si>
  <si>
    <t>PAL_ARABFUND_TPCS_01003673</t>
  </si>
  <si>
    <t>1395471</t>
  </si>
  <si>
    <t>ARAB FUND FOR ECONOMIC &amp; SOCIAL DEVELOP.</t>
  </si>
  <si>
    <t>977,093.60USD</t>
  </si>
  <si>
    <t>PAL_EC_EU_01003178</t>
  </si>
  <si>
    <t>1396407</t>
  </si>
  <si>
    <t>3,167,219.14USD</t>
  </si>
  <si>
    <t>PAL_PAMA_TPCS_00113429 HE</t>
  </si>
  <si>
    <t>1405437</t>
  </si>
  <si>
    <t>1,973,900.00USD</t>
  </si>
  <si>
    <t>PAL_PAMA_TPCS_00113429 Jenin</t>
  </si>
  <si>
    <t>1405439</t>
  </si>
  <si>
    <t>300,000.00USD</t>
  </si>
  <si>
    <t>PAL_PAMA_TPCS_00113429 Halhoul</t>
  </si>
  <si>
    <t>1405440</t>
  </si>
  <si>
    <t>266,667.00USD</t>
  </si>
  <si>
    <t>PAL_TPCS_NORWAY_01004815</t>
  </si>
  <si>
    <t>1456407</t>
  </si>
  <si>
    <t>29,225,523.60USD</t>
  </si>
  <si>
    <t>PAL_ADA_TPCS_00113429</t>
  </si>
  <si>
    <t>1486417</t>
  </si>
  <si>
    <t>Austrian Development Agency</t>
  </si>
  <si>
    <t>3,165,224.73USD</t>
  </si>
  <si>
    <t>TRAC3_Crisis Bureau_04130-2025</t>
  </si>
  <si>
    <t>1494406</t>
  </si>
  <si>
    <t>400,001.00USD</t>
  </si>
  <si>
    <t>UNDP|04130|TRAC3 - Recovery|00012|UNITED NATIONS DEVELOPMENT PRO</t>
  </si>
  <si>
    <t>1509408</t>
  </si>
  <si>
    <t>European Comm. Humanit. Aid Off</t>
  </si>
  <si>
    <t>4,029,689.09USD</t>
  </si>
  <si>
    <t>GP-ROLSHR-2025</t>
  </si>
  <si>
    <t>1527415</t>
  </si>
  <si>
    <t>499,280.01USD</t>
  </si>
  <si>
    <t>Support to Inclusive Electoral Process in the State of Palestine</t>
  </si>
  <si>
    <t>1093036</t>
  </si>
  <si>
    <t>Draft</t>
  </si>
  <si>
    <t>0.00DKK</t>
  </si>
  <si>
    <t>UN Contract earmarked (non-core) – contract approval flow to Contract team</t>
  </si>
  <si>
    <t>Transparency, Evidence,Efficiency,Effectiveness and Accountability (TAS3)</t>
  </si>
  <si>
    <t>1133119</t>
  </si>
  <si>
    <t>UK-Foreign &amp; Commonwealth Off</t>
  </si>
  <si>
    <t>3,086,023.38USD</t>
  </si>
  <si>
    <t>PAL-RESILIENCE INV. PROG.IPR IV-FINAL</t>
  </si>
  <si>
    <t>1220506</t>
  </si>
  <si>
    <t>0.00USD</t>
  </si>
  <si>
    <t>TRAC 04010 2024</t>
  </si>
  <si>
    <t>1222363</t>
  </si>
  <si>
    <t>UNDP|04010|TRAC 2|00012|UNITED NATIONS DEVELOPMENT PRO</t>
  </si>
  <si>
    <t>UNDP|11509|2024 Non core suppl programme|00012|United Nations Development Programme</t>
  </si>
  <si>
    <t>1223278</t>
  </si>
  <si>
    <t>11507- 2023 temp</t>
  </si>
  <si>
    <t>1224402</t>
  </si>
  <si>
    <t>100,000.01USD</t>
  </si>
  <si>
    <t>UNDP|11507|2023 Non-Core Programme|000012|UNITED N</t>
  </si>
  <si>
    <t>Pal_USAID_LOC_720BHA24IO00089</t>
  </si>
  <si>
    <t>1246716</t>
  </si>
  <si>
    <t>USAID LOC – contract approval flow to Contract team</t>
  </si>
  <si>
    <t>1386371</t>
  </si>
  <si>
    <t>119,500.00USD</t>
  </si>
  <si>
    <t>1489410</t>
  </si>
  <si>
    <t>Pending approval</t>
  </si>
  <si>
    <t>498,960.00USD</t>
  </si>
  <si>
    <t>Project#</t>
  </si>
  <si>
    <t>Award No</t>
  </si>
  <si>
    <t>     Donor Code</t>
  </si>
  <si>
    <t>Donor Name</t>
  </si>
  <si>
    <t>Fund Code</t>
  </si>
  <si>
    <t>1010013</t>
  </si>
  <si>
    <t>United Nations Development Programme</t>
  </si>
  <si>
    <t>101738</t>
  </si>
  <si>
    <t>Islamic Development Bank</t>
  </si>
  <si>
    <t>Government Of Japan</t>
  </si>
  <si>
    <t>103834.1</t>
  </si>
  <si>
    <t>1044028</t>
  </si>
  <si>
    <t>108580.2</t>
  </si>
  <si>
    <t>Government Of Denmark</t>
  </si>
  <si>
    <t>110314.1</t>
  </si>
  <si>
    <t>Swiss Agy For Development &amp; Cooperation</t>
  </si>
  <si>
    <t>113429.1</t>
  </si>
  <si>
    <t>115973.1</t>
  </si>
  <si>
    <t>115973.3</t>
  </si>
  <si>
    <t>115973.4</t>
  </si>
  <si>
    <t>115973.5</t>
  </si>
  <si>
    <t>116663.1</t>
  </si>
  <si>
    <t>United Nations</t>
  </si>
  <si>
    <t>116663.2</t>
  </si>
  <si>
    <t>Mptf Jp Opt Rule Of Law Ii</t>
  </si>
  <si>
    <t>MPTF JP opt Rule of Law II</t>
  </si>
  <si>
    <t>Kreditanstalt Fur Wiederaufbau</t>
  </si>
  <si>
    <t>1221300</t>
  </si>
  <si>
    <t>1224272</t>
  </si>
  <si>
    <t>1224303</t>
  </si>
  <si>
    <t>Unocha</t>
  </si>
  <si>
    <t>1224599</t>
  </si>
  <si>
    <t>1231630</t>
  </si>
  <si>
    <t>1253783</t>
  </si>
  <si>
    <t>International Labour Organization</t>
  </si>
  <si>
    <t>Usaid</t>
  </si>
  <si>
    <t>European Commission</t>
  </si>
  <si>
    <t>1289971</t>
  </si>
  <si>
    <t>130735.6</t>
  </si>
  <si>
    <t>1310171</t>
  </si>
  <si>
    <t>Government Of United Kingdom</t>
  </si>
  <si>
    <t>GOVERNMENT OF UNITED KINGDOM</t>
  </si>
  <si>
    <t>1313207</t>
  </si>
  <si>
    <t>Government Of Germany</t>
  </si>
  <si>
    <t>131755.2</t>
  </si>
  <si>
    <t>133246</t>
  </si>
  <si>
    <t>1336192</t>
  </si>
  <si>
    <t>133802.1</t>
  </si>
  <si>
    <t>Undp Funding Windows</t>
  </si>
  <si>
    <t>UNDP Funding Windows</t>
  </si>
  <si>
    <t>United Nations Environment Programme</t>
  </si>
  <si>
    <t>135681</t>
  </si>
  <si>
    <t>Government Of Ireland</t>
  </si>
  <si>
    <t>Italian Min. For Foreign Affairs</t>
  </si>
  <si>
    <t>Nor Ministry Of Foreign Affairs</t>
  </si>
  <si>
    <t>NOR Ministry of Foreign Affairs</t>
  </si>
  <si>
    <t>Government Of Netherlands</t>
  </si>
  <si>
    <t>1376540</t>
  </si>
  <si>
    <t>Ag. Espanola De Cooperacion Int.</t>
  </si>
  <si>
    <t>Kuwait Society For Relief Ksr</t>
  </si>
  <si>
    <t>Kuwait Society for Relief KSR</t>
  </si>
  <si>
    <t>137892</t>
  </si>
  <si>
    <t>State Of Palestine</t>
  </si>
  <si>
    <t>Heal Palestine</t>
  </si>
  <si>
    <t>Australian Dfat</t>
  </si>
  <si>
    <t>Swedish Int'L Development Cooperation</t>
  </si>
  <si>
    <t>Global Environment Fund Truste</t>
  </si>
  <si>
    <t>Government Of Finland</t>
  </si>
  <si>
    <t>Government Of Sweden</t>
  </si>
  <si>
    <t>Arab Fund For Economic &amp; Social Develop.</t>
  </si>
  <si>
    <t>140138</t>
  </si>
  <si>
    <t>140434</t>
  </si>
  <si>
    <t>Government Of Belgium</t>
  </si>
  <si>
    <t>140530</t>
  </si>
  <si>
    <t>141422</t>
  </si>
  <si>
    <t>14145.1</t>
  </si>
  <si>
    <t>14145.2</t>
  </si>
  <si>
    <t>142387</t>
  </si>
  <si>
    <t>143033</t>
  </si>
  <si>
    <t>Dept Of Forgn Afrs Trade &amp; Dev</t>
  </si>
  <si>
    <t>144700</t>
  </si>
  <si>
    <t>145718</t>
  </si>
  <si>
    <t>146932</t>
  </si>
  <si>
    <t>147361</t>
  </si>
  <si>
    <t>147403</t>
  </si>
  <si>
    <t>147495</t>
  </si>
  <si>
    <t>147840</t>
  </si>
  <si>
    <t>147845</t>
  </si>
  <si>
    <t>147927</t>
  </si>
  <si>
    <t>148152</t>
  </si>
  <si>
    <t>1537414</t>
  </si>
  <si>
    <t>20377.1</t>
  </si>
  <si>
    <t>20377.2</t>
  </si>
  <si>
    <t>Foligno Decentralized Cooperat</t>
  </si>
  <si>
    <t>FOLIGNO DECENTRALIZED COOPERAT</t>
  </si>
  <si>
    <t>20377.3</t>
  </si>
  <si>
    <t>Per  Fondo Italo Peruano</t>
  </si>
  <si>
    <t>PER  FONDO ITALO PERUANO</t>
  </si>
  <si>
    <t>20377.4</t>
  </si>
  <si>
    <t>20377.5</t>
  </si>
  <si>
    <t>Rivers State Government</t>
  </si>
  <si>
    <t>20377.6</t>
  </si>
  <si>
    <t>Netherlands Embassy Moscow</t>
  </si>
  <si>
    <t>20377.7</t>
  </si>
  <si>
    <t>Medical Research Council</t>
  </si>
  <si>
    <t>20377.8</t>
  </si>
  <si>
    <t>Un Department Of Safety And Se</t>
  </si>
  <si>
    <t>UN Department of Safety and Se</t>
  </si>
  <si>
    <t>37867.1</t>
  </si>
  <si>
    <t>40513.1</t>
  </si>
  <si>
    <t>40513.2</t>
  </si>
  <si>
    <t>40513.3</t>
  </si>
  <si>
    <t>Government Of Poland</t>
  </si>
  <si>
    <t>40830.1</t>
  </si>
  <si>
    <t>Un Department Of International Economic</t>
  </si>
  <si>
    <t>40830.2</t>
  </si>
  <si>
    <t>40830.3</t>
  </si>
  <si>
    <t>40830.4</t>
  </si>
  <si>
    <t>40830.5</t>
  </si>
  <si>
    <t>49333.5</t>
  </si>
  <si>
    <t>49334.1</t>
  </si>
  <si>
    <t>Government Of El Salvador</t>
  </si>
  <si>
    <t>49334.11</t>
  </si>
  <si>
    <t>Un Industrial Development Orga</t>
  </si>
  <si>
    <t>UN INDUSTRIAL DEVELOPMENT ORGA</t>
  </si>
  <si>
    <t>49334.12</t>
  </si>
  <si>
    <t>49334.13</t>
  </si>
  <si>
    <t>49334.14</t>
  </si>
  <si>
    <t>49334.15</t>
  </si>
  <si>
    <t>49334.16</t>
  </si>
  <si>
    <t>49334.17</t>
  </si>
  <si>
    <t>49334.18</t>
  </si>
  <si>
    <t>49334.2</t>
  </si>
  <si>
    <t>49334.3</t>
  </si>
  <si>
    <t>49334.4</t>
  </si>
  <si>
    <t>49334.6</t>
  </si>
  <si>
    <t>Rcs   Services</t>
  </si>
  <si>
    <t>RCS   Services</t>
  </si>
  <si>
    <t>49334.7</t>
  </si>
  <si>
    <t>49334.8</t>
  </si>
  <si>
    <t>Uzb Committee Of State Propert</t>
  </si>
  <si>
    <t>UZB COMMITTEE OF STATE PROPERT</t>
  </si>
  <si>
    <t>49334.9</t>
  </si>
  <si>
    <t>Government Of Norway</t>
  </si>
  <si>
    <t>52919.1</t>
  </si>
  <si>
    <t>52919.11</t>
  </si>
  <si>
    <t>52919.2</t>
  </si>
  <si>
    <t>Government Of Spain</t>
  </si>
  <si>
    <t>52919.3</t>
  </si>
  <si>
    <t>Government Of Togo</t>
  </si>
  <si>
    <t>52919.4</t>
  </si>
  <si>
    <t>Canadian International Development Agenc</t>
  </si>
  <si>
    <t>52919.5</t>
  </si>
  <si>
    <t>Opec Fund For International Development</t>
  </si>
  <si>
    <t>52919.6</t>
  </si>
  <si>
    <t>52919.7</t>
  </si>
  <si>
    <t>52919.8</t>
  </si>
  <si>
    <t>52919.9</t>
  </si>
  <si>
    <t>79751</t>
  </si>
  <si>
    <t>88974.1</t>
  </si>
  <si>
    <t>918468</t>
  </si>
  <si>
    <t>Food And Agriculture Organization Of The</t>
  </si>
  <si>
    <t>Unesco</t>
  </si>
  <si>
    <t>World Health Organization</t>
  </si>
  <si>
    <t>International Maritime Organization</t>
  </si>
  <si>
    <t>Un Industrial Development Organization</t>
  </si>
  <si>
    <t>Intl Bank For Recon &amp; Dev</t>
  </si>
  <si>
    <t>Un Centre For Human Settlements</t>
  </si>
  <si>
    <t>United Nations Population Fund</t>
  </si>
  <si>
    <t>Un Women</t>
  </si>
  <si>
    <t>United Nations Children'S Fund</t>
  </si>
  <si>
    <t>World Food Programme</t>
  </si>
  <si>
    <t>Un High Commissioner For Refugees</t>
  </si>
  <si>
    <t>Un Conf On Trade &amp; Development</t>
  </si>
  <si>
    <t>Office Of The High Commissioner For Hr</t>
  </si>
  <si>
    <t>Un Office In Nairobi</t>
  </si>
  <si>
    <t>Un Office In Vienna</t>
  </si>
  <si>
    <t>Un Office For Project Services</t>
  </si>
  <si>
    <t>Unops For Interunit Billing</t>
  </si>
  <si>
    <t>Un Department Of Safety And Security</t>
  </si>
  <si>
    <t>Unsco, Gaza</t>
  </si>
  <si>
    <t>Untso, Jerusalem</t>
  </si>
  <si>
    <t>Minuci Civ,Abidjan</t>
  </si>
  <si>
    <t>MINUCI CIV,ABIDJAN</t>
  </si>
  <si>
    <t>Un Relief And Works Agency</t>
  </si>
  <si>
    <t>Unifem   Csa</t>
  </si>
  <si>
    <t>UNIFEM   CSA</t>
  </si>
  <si>
    <t>Unfpa Csa</t>
  </si>
  <si>
    <t>UNFPA CSA</t>
  </si>
  <si>
    <t>Unops Csa</t>
  </si>
  <si>
    <t>UNOPS CSA</t>
  </si>
  <si>
    <t>Un Register Of Damage   Unrod</t>
  </si>
  <si>
    <t>UN Register of Damage   UNROD</t>
  </si>
  <si>
    <t>Un Mine Action Service</t>
  </si>
  <si>
    <t>United Nations Volunteers</t>
  </si>
  <si>
    <t>922026</t>
  </si>
  <si>
    <t>922028</t>
  </si>
  <si>
    <t>Aeci Agencia Espanola De Cooperacion Int</t>
  </si>
  <si>
    <t>AECI AGENCIA ESPANOLA DE COOPERACION INT</t>
  </si>
  <si>
    <t>922066</t>
  </si>
  <si>
    <t>Us Int'L Narcotics &amp; Law Enfmnt Affairs</t>
  </si>
  <si>
    <t>Qatar Fund For Development</t>
  </si>
  <si>
    <t>95557</t>
  </si>
  <si>
    <t>99288.1</t>
  </si>
  <si>
    <t>99288.2</t>
  </si>
  <si>
    <t>As Per Annex 2: Multi-Year Workplan &amp; Budget 2025-2027</t>
  </si>
  <si>
    <t>Outputs</t>
  </si>
  <si>
    <t>No</t>
  </si>
  <si>
    <t>P#  *</t>
  </si>
  <si>
    <t xml:space="preserve">Scope </t>
  </si>
  <si>
    <t>()  *</t>
  </si>
  <si>
    <t>Project</t>
  </si>
  <si>
    <t>Award</t>
  </si>
  <si>
    <t>Donor#</t>
  </si>
  <si>
    <t>Fund#</t>
  </si>
  <si>
    <t>Code</t>
  </si>
  <si>
    <r>
      <t xml:space="preserve">Output 1: Quality Basic Services- </t>
    </r>
    <r>
      <rPr>
        <sz val="10"/>
        <color theme="1"/>
        <rFont val="Calibri"/>
        <family val="2"/>
      </rPr>
      <t>Quality and inclusive basic and social services are restored and strengthened, and access to services improved</t>
    </r>
    <r>
      <rPr>
        <b/>
        <sz val="10"/>
        <color theme="1"/>
        <rFont val="Calibri"/>
        <family val="2"/>
      </rPr>
      <t>.</t>
    </r>
  </si>
  <si>
    <t>Activity 1.1</t>
  </si>
  <si>
    <t>P1.1</t>
  </si>
  <si>
    <t>Rubble Removal and Debris Management in Gaza Strip</t>
  </si>
  <si>
    <t>(R)</t>
  </si>
  <si>
    <t>Activity 1.2</t>
  </si>
  <si>
    <t>P1.2</t>
  </si>
  <si>
    <t>Support to Education in East Jerusalem- Improved Quality Education</t>
  </si>
  <si>
    <t>(EJ Edu)</t>
  </si>
  <si>
    <t>Activity 1.3</t>
  </si>
  <si>
    <t>P1.3</t>
  </si>
  <si>
    <t>Protection and Development for
Resilience in Jerusalem Project- Resilience of the East Jerusalem Health Network</t>
  </si>
  <si>
    <t>(EJ R)</t>
  </si>
  <si>
    <r>
      <t xml:space="preserve">Output 2: Inclusive Economic Opportunities- </t>
    </r>
    <r>
      <rPr>
        <sz val="10"/>
        <color theme="1"/>
        <rFont val="Calibri"/>
        <family val="2"/>
      </rPr>
      <t xml:space="preserve">Inclusive economic services restored and improved for livelihoods, entrepreneurship and businesses. </t>
    </r>
  </si>
  <si>
    <t>Activity 2.1</t>
  </si>
  <si>
    <t>P2.1</t>
  </si>
  <si>
    <t>Gaza Economic Resilience (Cash for Work)</t>
  </si>
  <si>
    <t>(CfW)</t>
  </si>
  <si>
    <t>Activity 2.2</t>
  </si>
  <si>
    <t>P2.2</t>
  </si>
  <si>
    <t>Support to Private Sector SMEs Productivity</t>
  </si>
  <si>
    <t>(SME)</t>
  </si>
  <si>
    <r>
      <t xml:space="preserve">Output 3: Sustainable Natural Resources Management- </t>
    </r>
    <r>
      <rPr>
        <sz val="10"/>
        <color theme="1"/>
        <rFont val="Calibri"/>
        <family val="2"/>
      </rPr>
      <t>Natural resources management practices (mainly water / energy) are more sustainable</t>
    </r>
  </si>
  <si>
    <t>Activity 3.3</t>
  </si>
  <si>
    <t>P3.3</t>
  </si>
  <si>
    <t>Solar Powered Water Wells in the West Bank (&amp;  Emergency Debris Management in the Gaza Strip)</t>
  </si>
  <si>
    <t>(Solar)</t>
  </si>
  <si>
    <t>Activity 3.4</t>
  </si>
  <si>
    <t>P3.4</t>
  </si>
  <si>
    <t>Energy, Renewable Energy and Water</t>
  </si>
  <si>
    <t>(RE&amp;W)</t>
  </si>
  <si>
    <r>
      <t xml:space="preserve">Output 4: Governance and Institutions- </t>
    </r>
    <r>
      <rPr>
        <sz val="10"/>
        <color theme="1"/>
        <rFont val="Calibri"/>
        <family val="2"/>
      </rPr>
      <t>National capacities for inclusive, responsive, effective, and accountable governance strengthened</t>
    </r>
  </si>
  <si>
    <t>Activity 4.1</t>
  </si>
  <si>
    <t>P4.1</t>
  </si>
  <si>
    <t>Norwegian Support to the UN office of Special Coordinator of the Middle East Peace Process project</t>
  </si>
  <si>
    <t>(UN)</t>
  </si>
  <si>
    <t>Activity 4.2</t>
  </si>
  <si>
    <t>P4.2</t>
  </si>
  <si>
    <t>Land and Property Rights</t>
  </si>
  <si>
    <t>(L&amp;P)</t>
  </si>
  <si>
    <t>Activity 4.3</t>
  </si>
  <si>
    <t>P4.3</t>
  </si>
  <si>
    <t>Digital Identity</t>
  </si>
  <si>
    <t>(DI)</t>
  </si>
  <si>
    <t>Activity 4.4</t>
  </si>
  <si>
    <t>P4.4</t>
  </si>
  <si>
    <t>Mapping Governance Structures in Gaza</t>
  </si>
  <si>
    <t>(GovMap)</t>
  </si>
  <si>
    <t>New Initiatives</t>
  </si>
  <si>
    <t>Activity 5.1</t>
  </si>
  <si>
    <t>P5.1</t>
  </si>
  <si>
    <t>New Initiatives as per annual consultations</t>
  </si>
  <si>
    <t>(NI)</t>
  </si>
  <si>
    <t>Budgetary Account</t>
  </si>
  <si>
    <t>Budgetary Acct Description</t>
  </si>
  <si>
    <t>Budgetary Acct Short Descr</t>
  </si>
  <si>
    <t>Expense Account</t>
  </si>
  <si>
    <t>Expense Acct Description</t>
  </si>
  <si>
    <t>Expense Acct Short Descr</t>
  </si>
  <si>
    <t>Budgetary Account -  Combination</t>
  </si>
  <si>
    <t>Cost Center</t>
  </si>
  <si>
    <t>61100</t>
  </si>
  <si>
    <t>Salary Costs - NP Staff</t>
  </si>
  <si>
    <t>Sal - NP</t>
  </si>
  <si>
    <t>61105</t>
  </si>
  <si>
    <t>Salaries - NP Staff</t>
  </si>
  <si>
    <t>61160</t>
  </si>
  <si>
    <t>Other payroll costs NP</t>
  </si>
  <si>
    <t>Payroll NP</t>
  </si>
  <si>
    <t>61200</t>
  </si>
  <si>
    <t>Salaries Costs - GS Staff</t>
  </si>
  <si>
    <t>Sal - GS</t>
  </si>
  <si>
    <t>61205</t>
  </si>
  <si>
    <t>Salaries - GS Staff</t>
  </si>
  <si>
    <t>61210</t>
  </si>
  <si>
    <t>Dependency Allowances-NP Staff</t>
  </si>
  <si>
    <t>Dependency</t>
  </si>
  <si>
    <t>61215</t>
  </si>
  <si>
    <t>Contrib to Jt Pens Fd-NP Staff</t>
  </si>
  <si>
    <t>Contrib to</t>
  </si>
  <si>
    <t>61220</t>
  </si>
  <si>
    <t>Contrib to Med, Soc Ins-NP Stf</t>
  </si>
  <si>
    <t>61260</t>
  </si>
  <si>
    <t>Other payroll costs GS</t>
  </si>
  <si>
    <t>Payroll GS</t>
  </si>
  <si>
    <t>61300</t>
  </si>
  <si>
    <t>Salary &amp; Post Adj Cst-IP Staff</t>
  </si>
  <si>
    <t>Salary &amp; P</t>
  </si>
  <si>
    <t>61305</t>
  </si>
  <si>
    <t>Salaries - IP Staff</t>
  </si>
  <si>
    <t>Sal-IP Stf</t>
  </si>
  <si>
    <t>61310</t>
  </si>
  <si>
    <t>Post Adjustment - IP Staff</t>
  </si>
  <si>
    <t>Pst Adj-IP</t>
  </si>
  <si>
    <t>61360</t>
  </si>
  <si>
    <t>Other payroll  costs IP</t>
  </si>
  <si>
    <t>Payroll IP</t>
  </si>
  <si>
    <t>61399</t>
  </si>
  <si>
    <t>UN MPO Int'l. Staff Salary</t>
  </si>
  <si>
    <t>UN MPO</t>
  </si>
  <si>
    <t>62100</t>
  </si>
  <si>
    <t>Recur Payroll Costs - NP Staff</t>
  </si>
  <si>
    <t>Rec Pay-NP</t>
  </si>
  <si>
    <t>62105</t>
  </si>
  <si>
    <t>Dependency Allowance-NP Staff</t>
  </si>
  <si>
    <t>DepAllw-NP</t>
  </si>
  <si>
    <t>62110</t>
  </si>
  <si>
    <t>Contrib Joint Staff Pension-NP</t>
  </si>
  <si>
    <t>CntrbJt-NP</t>
  </si>
  <si>
    <t>62115</t>
  </si>
  <si>
    <t>Contrib to Med,SocIns-NP Staff</t>
  </si>
  <si>
    <t>CntrMed-NP</t>
  </si>
  <si>
    <t>62120</t>
  </si>
  <si>
    <t>Hazard Duty Station Allow-NP</t>
  </si>
  <si>
    <t>Hazard Dut</t>
  </si>
  <si>
    <t>62140</t>
  </si>
  <si>
    <t>Annual Leave Expense - NO</t>
  </si>
  <si>
    <t>AnnLeaveNO</t>
  </si>
  <si>
    <t>62200</t>
  </si>
  <si>
    <t>Recur Payroll Costs-GS Staff</t>
  </si>
  <si>
    <t>Rec Pay-GS</t>
  </si>
  <si>
    <t>62205</t>
  </si>
  <si>
    <t>Dependency Allow - GS Staff</t>
  </si>
  <si>
    <t>DepAllw-GS</t>
  </si>
  <si>
    <t>62210</t>
  </si>
  <si>
    <t>Contrib to Jt Staff Pens Fd-GS</t>
  </si>
  <si>
    <t>Contr.toMd</t>
  </si>
  <si>
    <t>62215</t>
  </si>
  <si>
    <t>Contrib. to Medical, social In</t>
  </si>
  <si>
    <t>Contrib</t>
  </si>
  <si>
    <t>62220</t>
  </si>
  <si>
    <t>Language Allowance - GS Staff</t>
  </si>
  <si>
    <t>LngAllw-GS</t>
  </si>
  <si>
    <t>62225</t>
  </si>
  <si>
    <t>Hazard Duty Station Allow-GS</t>
  </si>
  <si>
    <t>62240</t>
  </si>
  <si>
    <t>Annual Leave Expense - GS</t>
  </si>
  <si>
    <t>AnnLeaveGS</t>
  </si>
  <si>
    <t>62300</t>
  </si>
  <si>
    <t>Recurrent Payroll Costs-IP Stf</t>
  </si>
  <si>
    <t>RecPay-IP</t>
  </si>
  <si>
    <t>62305</t>
  </si>
  <si>
    <t>Dependency Allowances-IP Staff</t>
  </si>
  <si>
    <t>DepAllw-IP</t>
  </si>
  <si>
    <t>62310</t>
  </si>
  <si>
    <t>Contrib to Jt Staff Pens Fd-IP</t>
  </si>
  <si>
    <t>62315</t>
  </si>
  <si>
    <t>Contrib. to medical, social in</t>
  </si>
  <si>
    <t>62320</t>
  </si>
  <si>
    <t>Mobility, Hardship, Non-remova</t>
  </si>
  <si>
    <t>Assg hdshp</t>
  </si>
  <si>
    <t>62325</t>
  </si>
  <si>
    <t>Represent Allow (excl hsp pyt)</t>
  </si>
  <si>
    <t>Rep Allow</t>
  </si>
  <si>
    <t>62330</t>
  </si>
  <si>
    <t>Rental Supplements - IP Staff</t>
  </si>
  <si>
    <t>Rental-IP</t>
  </si>
  <si>
    <t>62335</t>
  </si>
  <si>
    <t>Hazard Duty Station Allow-IP</t>
  </si>
  <si>
    <t>Hzd Dty-IP</t>
  </si>
  <si>
    <t>62340</t>
  </si>
  <si>
    <t>Annual Leave Expense - IP</t>
  </si>
  <si>
    <t>AnnLeaveIP</t>
  </si>
  <si>
    <t>63100</t>
  </si>
  <si>
    <t>Non-Recurrent Payroll - NP Stf</t>
  </si>
  <si>
    <t>Non-Rec-NP</t>
  </si>
  <si>
    <t>63105</t>
  </si>
  <si>
    <t>Compensatory Payments-NP Staff</t>
  </si>
  <si>
    <t>Comp-NP</t>
  </si>
  <si>
    <t>63110</t>
  </si>
  <si>
    <t>Ex-gratia Payments-NP Staff</t>
  </si>
  <si>
    <t>Ex-gr-NP</t>
  </si>
  <si>
    <t>63115</t>
  </si>
  <si>
    <t>Reimb of Income Tax-NP Staff</t>
  </si>
  <si>
    <t>Rmb Inc Tx</t>
  </si>
  <si>
    <t>63120</t>
  </si>
  <si>
    <t>Repat Grant/Comm Annual Lv-NP</t>
  </si>
  <si>
    <t>Repat-NP</t>
  </si>
  <si>
    <t>63125</t>
  </si>
  <si>
    <t>Termination indemnity-NP Staff</t>
  </si>
  <si>
    <t>Term-NP</t>
  </si>
  <si>
    <t>63130</t>
  </si>
  <si>
    <t>Contrib Dispensary Cost-NP Stf</t>
  </si>
  <si>
    <t>Cont Disp</t>
  </si>
  <si>
    <t>63135</t>
  </si>
  <si>
    <t>Special Education Grant(LNO)</t>
  </si>
  <si>
    <t>Grant(LNO)</t>
  </si>
  <si>
    <t>63140</t>
  </si>
  <si>
    <t>Security Evacuation (LNO)</t>
  </si>
  <si>
    <t>LNO</t>
  </si>
  <si>
    <t>63145</t>
  </si>
  <si>
    <t>Medical Evacuation (LNO)</t>
  </si>
  <si>
    <t>63150</t>
  </si>
  <si>
    <t>Reimb For Med Costs (LNO)</t>
  </si>
  <si>
    <t>63155</t>
  </si>
  <si>
    <t>MAIP Premium NO</t>
  </si>
  <si>
    <t>MAIPpreNO</t>
  </si>
  <si>
    <t>63160</t>
  </si>
  <si>
    <t>Appendix D NO</t>
  </si>
  <si>
    <t>AppendDno</t>
  </si>
  <si>
    <t>63200</t>
  </si>
  <si>
    <t>Non-Recurrent Payroll - GS Stf</t>
  </si>
  <si>
    <t>Non-Rec-GS</t>
  </si>
  <si>
    <t>63205</t>
  </si>
  <si>
    <t>Compensatory Payments-GS Staff</t>
  </si>
  <si>
    <t>Comp-GS</t>
  </si>
  <si>
    <t>63210</t>
  </si>
  <si>
    <t>Ex-gratia payments-GS Staff</t>
  </si>
  <si>
    <t>Ex-gratia</t>
  </si>
  <si>
    <t>63215</t>
  </si>
  <si>
    <t>Reimb of Income Tax-GS Staff</t>
  </si>
  <si>
    <t>63220</t>
  </si>
  <si>
    <t>Repat Grant/Comm Annual Lv-GS</t>
  </si>
  <si>
    <t>Repat Gr/C</t>
  </si>
  <si>
    <t>63225</t>
  </si>
  <si>
    <t>Termination Indemnity-GS Stf</t>
  </si>
  <si>
    <t>63230</t>
  </si>
  <si>
    <t>Contrib Dispensary Cost-GS Stf</t>
  </si>
  <si>
    <t>63235</t>
  </si>
  <si>
    <t>Special Education Grant(GS)</t>
  </si>
  <si>
    <t>Grant(GS)</t>
  </si>
  <si>
    <t>63240</t>
  </si>
  <si>
    <t>Security Evacuation (GS)</t>
  </si>
  <si>
    <t>GS</t>
  </si>
  <si>
    <t>63245</t>
  </si>
  <si>
    <t>Medical Evacuation (GS)</t>
  </si>
  <si>
    <t>Medical</t>
  </si>
  <si>
    <t>63250</t>
  </si>
  <si>
    <t>Reimb for Med Costs (GS)</t>
  </si>
  <si>
    <t>Med(GS)</t>
  </si>
  <si>
    <t>63255</t>
  </si>
  <si>
    <t>MAIP Premium GS</t>
  </si>
  <si>
    <t>MAIPpreGS</t>
  </si>
  <si>
    <t>63260</t>
  </si>
  <si>
    <t>Appendix D GS</t>
  </si>
  <si>
    <t>AppendDgs</t>
  </si>
  <si>
    <t>63300</t>
  </si>
  <si>
    <t>Non-Recurrent Payroll - IP Stf</t>
  </si>
  <si>
    <t>Non-Rec-IP</t>
  </si>
  <si>
    <t>63305</t>
  </si>
  <si>
    <t>Installation Allowance-IP Stf</t>
  </si>
  <si>
    <t>Install-IP</t>
  </si>
  <si>
    <t>63310</t>
  </si>
  <si>
    <t>Repat. Grant/Comm Annual Lv-IP</t>
  </si>
  <si>
    <t>Rept Gr/Cm</t>
  </si>
  <si>
    <t>63315</t>
  </si>
  <si>
    <t>Compensatory payments-IP Staff</t>
  </si>
  <si>
    <t>Comp-IP</t>
  </si>
  <si>
    <t>63320</t>
  </si>
  <si>
    <t>Medical evacuation - IP Staff</t>
  </si>
  <si>
    <t>MedEvac-IP</t>
  </si>
  <si>
    <t>63325</t>
  </si>
  <si>
    <t>Security Evacuation - IP Staff</t>
  </si>
  <si>
    <t>SecEvac</t>
  </si>
  <si>
    <t>63330</t>
  </si>
  <si>
    <t>Ed Grt Incl Trvl&amp;Allow-IP Stf</t>
  </si>
  <si>
    <t>Ed Grt-IP</t>
  </si>
  <si>
    <t>63335</t>
  </si>
  <si>
    <t>Home Leave Trvl &amp; Allow-IP Stf</t>
  </si>
  <si>
    <t>Hme Lv-IP</t>
  </si>
  <si>
    <t>63340</t>
  </si>
  <si>
    <t>Proc trips/Rest &amp; Recup-IP Stf</t>
  </si>
  <si>
    <t>ProcTrp-IP</t>
  </si>
  <si>
    <t>63345</t>
  </si>
  <si>
    <t>Ex-gratia Payments-IP Staff</t>
  </si>
  <si>
    <t>Ex-gr-IP</t>
  </si>
  <si>
    <t>63350</t>
  </si>
  <si>
    <t>Reimb of Income Tax-IP Staff</t>
  </si>
  <si>
    <t>63355</t>
  </si>
  <si>
    <t>Termination Indemnity-IP Staff</t>
  </si>
  <si>
    <t>TermInd-IP</t>
  </si>
  <si>
    <t>63360</t>
  </si>
  <si>
    <t>Medical Exams(incl Pre-empl)</t>
  </si>
  <si>
    <t>MedExam</t>
  </si>
  <si>
    <t>63365</t>
  </si>
  <si>
    <t>Special Oper Living Allow-IP</t>
  </si>
  <si>
    <t>Sp Op-IP</t>
  </si>
  <si>
    <t>63370</t>
  </si>
  <si>
    <t>Assignment Allowance-IP Staff</t>
  </si>
  <si>
    <t>AssgAlw-IP</t>
  </si>
  <si>
    <t>63375</t>
  </si>
  <si>
    <t>MAIP Premium IP</t>
  </si>
  <si>
    <t>MAIPpreIP</t>
  </si>
  <si>
    <t>63380</t>
  </si>
  <si>
    <t>Appendix D IP</t>
  </si>
  <si>
    <t>AppendDip</t>
  </si>
  <si>
    <t>63400</t>
  </si>
  <si>
    <t>Learning Costs</t>
  </si>
  <si>
    <t>Lrning Cst</t>
  </si>
  <si>
    <t>63405</t>
  </si>
  <si>
    <t>Lrn Costs</t>
  </si>
  <si>
    <t>63406</t>
  </si>
  <si>
    <t>Learning-Ticket Costs</t>
  </si>
  <si>
    <t>L-Tickets</t>
  </si>
  <si>
    <t>63407</t>
  </si>
  <si>
    <t>Learning-Subsistence Allowance</t>
  </si>
  <si>
    <t>L-DSA</t>
  </si>
  <si>
    <t>63408</t>
  </si>
  <si>
    <t>Learning-Sub Contracts</t>
  </si>
  <si>
    <t>L-Contract</t>
  </si>
  <si>
    <t>63500</t>
  </si>
  <si>
    <t>Insurance and Security Costs</t>
  </si>
  <si>
    <t>Ins&amp;SecCst</t>
  </si>
  <si>
    <t>63505</t>
  </si>
  <si>
    <t>Hazard Insurance</t>
  </si>
  <si>
    <t>Hzd Ins</t>
  </si>
  <si>
    <t>63510</t>
  </si>
  <si>
    <t>War Insurance</t>
  </si>
  <si>
    <t>War Ins</t>
  </si>
  <si>
    <t>63511</t>
  </si>
  <si>
    <t>Staff related Insurance-Others</t>
  </si>
  <si>
    <t>Staff_Insu</t>
  </si>
  <si>
    <t>63515</t>
  </si>
  <si>
    <t>Security-related Costs</t>
  </si>
  <si>
    <t>Secur Csts</t>
  </si>
  <si>
    <t>63520</t>
  </si>
  <si>
    <t>Personal Security Measures</t>
  </si>
  <si>
    <t>Prsn Sec</t>
  </si>
  <si>
    <t>63525</t>
  </si>
  <si>
    <t>Competency Assessment</t>
  </si>
  <si>
    <t>Comp Asses</t>
  </si>
  <si>
    <t>63530</t>
  </si>
  <si>
    <t>Contribution to Separations</t>
  </si>
  <si>
    <t>Separation</t>
  </si>
  <si>
    <t>63535</t>
  </si>
  <si>
    <t>Contribution to Security</t>
  </si>
  <si>
    <t>Security</t>
  </si>
  <si>
    <t>63540</t>
  </si>
  <si>
    <t>Contribution to Training</t>
  </si>
  <si>
    <t>Training</t>
  </si>
  <si>
    <t>64100</t>
  </si>
  <si>
    <t>Staff Mgmt Costs-NP Staff</t>
  </si>
  <si>
    <t>StfMgmt-NP</t>
  </si>
  <si>
    <t>64105</t>
  </si>
  <si>
    <t>Appointments - NP Staff</t>
  </si>
  <si>
    <t>Appt-NP</t>
  </si>
  <si>
    <t>64110</t>
  </si>
  <si>
    <t>Separations - NP Staff</t>
  </si>
  <si>
    <t>Sep-NP</t>
  </si>
  <si>
    <t>64115</t>
  </si>
  <si>
    <t>Competency Assessment - NP Stf</t>
  </si>
  <si>
    <t>Competency</t>
  </si>
  <si>
    <t>64120</t>
  </si>
  <si>
    <t>Detail Assignment - NP staff</t>
  </si>
  <si>
    <t>Detail NP</t>
  </si>
  <si>
    <t>64200</t>
  </si>
  <si>
    <t>Staff Mgmt Costs - GS Staff</t>
  </si>
  <si>
    <t>StfMgmt-GS</t>
  </si>
  <si>
    <t>64205</t>
  </si>
  <si>
    <t>Appointments - GS Staff</t>
  </si>
  <si>
    <t>Appt-GS</t>
  </si>
  <si>
    <t>64210</t>
  </si>
  <si>
    <t>Separatations - GS Staff</t>
  </si>
  <si>
    <t>Sep-GS</t>
  </si>
  <si>
    <t>64215</t>
  </si>
  <si>
    <t>Competency Assessment - GS Stf</t>
  </si>
  <si>
    <t>64220</t>
  </si>
  <si>
    <t>Detail Assignments - GS staff</t>
  </si>
  <si>
    <t>Detail GS</t>
  </si>
  <si>
    <t>64300</t>
  </si>
  <si>
    <t>Staff Mgmt Costs - IP Staff</t>
  </si>
  <si>
    <t>64305</t>
  </si>
  <si>
    <t>Appointments - IP Staff</t>
  </si>
  <si>
    <t>Appt-IP</t>
  </si>
  <si>
    <t>64306</t>
  </si>
  <si>
    <t>Appointment-Ticket Costs</t>
  </si>
  <si>
    <t>AP-Tickets</t>
  </si>
  <si>
    <t>64307</t>
  </si>
  <si>
    <t>Appointment-Subsistence Allow</t>
  </si>
  <si>
    <t>AP-DSA</t>
  </si>
  <si>
    <t>64308</t>
  </si>
  <si>
    <t>Appointments-Lump Sum</t>
  </si>
  <si>
    <t>AP-LumpSum</t>
  </si>
  <si>
    <t>64309</t>
  </si>
  <si>
    <t>Appointment-Shipments</t>
  </si>
  <si>
    <t>AP-Ship</t>
  </si>
  <si>
    <t>64310</t>
  </si>
  <si>
    <t>Separations - IP Staff</t>
  </si>
  <si>
    <t>Sep-IP</t>
  </si>
  <si>
    <t>64315</t>
  </si>
  <si>
    <t>Detail Assignments - IP Staff</t>
  </si>
  <si>
    <t>Detail-IP</t>
  </si>
  <si>
    <t>64316</t>
  </si>
  <si>
    <t>Relocation grant - assignment</t>
  </si>
  <si>
    <t>ReloGrAs</t>
  </si>
  <si>
    <t>64319</t>
  </si>
  <si>
    <t>Relocation grant - re assign</t>
  </si>
  <si>
    <t>ReloGrReAs</t>
  </si>
  <si>
    <t>64320</t>
  </si>
  <si>
    <t>Reassignments - IP Staff</t>
  </si>
  <si>
    <t>Reassg-IP</t>
  </si>
  <si>
    <t>64321</t>
  </si>
  <si>
    <t>Reassignment-Ticket Costs</t>
  </si>
  <si>
    <t>RE-Tickets</t>
  </si>
  <si>
    <t>64322</t>
  </si>
  <si>
    <t>Reassignmnts-Subsistence Allow</t>
  </si>
  <si>
    <t>RE-DSA</t>
  </si>
  <si>
    <t>64323</t>
  </si>
  <si>
    <t>Reassignments-Lump Sum</t>
  </si>
  <si>
    <t>RE-LumpSum</t>
  </si>
  <si>
    <t>64324</t>
  </si>
  <si>
    <t>Reassignments-Shipment</t>
  </si>
  <si>
    <t>RE-Ship</t>
  </si>
  <si>
    <t>64325</t>
  </si>
  <si>
    <t>Recruitments - IP Staff</t>
  </si>
  <si>
    <t>Recruit-IP</t>
  </si>
  <si>
    <t>64330</t>
  </si>
  <si>
    <t>Competency Assessment-IP Staff</t>
  </si>
  <si>
    <t>64333</t>
  </si>
  <si>
    <t>Competency Assessment - Other</t>
  </si>
  <si>
    <t>CA-Other</t>
  </si>
  <si>
    <t>64340</t>
  </si>
  <si>
    <t>Staff related Cost-Others</t>
  </si>
  <si>
    <t>Staff_Othe</t>
  </si>
  <si>
    <t>65100</t>
  </si>
  <si>
    <t>After Service Insurance</t>
  </si>
  <si>
    <t>AftrSrvIns</t>
  </si>
  <si>
    <t>65105</t>
  </si>
  <si>
    <t>Contrb Med Ins Plan-Retiree-NP</t>
  </si>
  <si>
    <t>Med Ins-NP</t>
  </si>
  <si>
    <t>65110</t>
  </si>
  <si>
    <t>MIP Claims</t>
  </si>
  <si>
    <t>65115</t>
  </si>
  <si>
    <t>Contributions to ASHI Reserve</t>
  </si>
  <si>
    <t>ASHI Resv</t>
  </si>
  <si>
    <t>65116</t>
  </si>
  <si>
    <t>Contra ASHI</t>
  </si>
  <si>
    <t>contraASHI</t>
  </si>
  <si>
    <t>65117</t>
  </si>
  <si>
    <t>ASHI Financing Costs</t>
  </si>
  <si>
    <t>ASHIfinCos</t>
  </si>
  <si>
    <t>65120</t>
  </si>
  <si>
    <t>Contrib.Med InsPlan-Retiree GS</t>
  </si>
  <si>
    <t>Retiree GS</t>
  </si>
  <si>
    <t>65125</t>
  </si>
  <si>
    <t>Contrib.Med InsPlan-Retiree IP</t>
  </si>
  <si>
    <t>Retiree IP</t>
  </si>
  <si>
    <t>65130</t>
  </si>
  <si>
    <t>Payroll Mgt Cost Recovery IMIS</t>
  </si>
  <si>
    <t>PMCR IMIS</t>
  </si>
  <si>
    <t>65135</t>
  </si>
  <si>
    <t>Payroll Mgt Cost Recovery ATLA</t>
  </si>
  <si>
    <t>PMCS ATLAS</t>
  </si>
  <si>
    <t>66100</t>
  </si>
  <si>
    <t>Overtime &amp; Night Differential</t>
  </si>
  <si>
    <t>Ovrtm&amp;Ngt</t>
  </si>
  <si>
    <t>66105</t>
  </si>
  <si>
    <t>OT&amp;Nt Diff</t>
  </si>
  <si>
    <t>71100</t>
  </si>
  <si>
    <t>ALD Employee Costs</t>
  </si>
  <si>
    <t>ALDEmplCst</t>
  </si>
  <si>
    <t>71105</t>
  </si>
  <si>
    <t>Salaries - ALD</t>
  </si>
  <si>
    <t>Sal-ALD</t>
  </si>
  <si>
    <t>71110</t>
  </si>
  <si>
    <t>Medical Insurance - ALD</t>
  </si>
  <si>
    <t>MedIns-ALD</t>
  </si>
  <si>
    <t>71115</t>
  </si>
  <si>
    <t>Contr to Jt Staff Pens Fd-ALD</t>
  </si>
  <si>
    <t>Pens-ALD</t>
  </si>
  <si>
    <t>71120</t>
  </si>
  <si>
    <t>Reimb of Income Tax-ALD</t>
  </si>
  <si>
    <t>71125</t>
  </si>
  <si>
    <t>Special Oper Living Allow-ALD</t>
  </si>
  <si>
    <t>Sp Oper</t>
  </si>
  <si>
    <t>71130</t>
  </si>
  <si>
    <t>Mission Allowance - ALD</t>
  </si>
  <si>
    <t>Missn-ALD</t>
  </si>
  <si>
    <t>71135</t>
  </si>
  <si>
    <t>Appoint/Sep Cost Incl Trvl-ALD</t>
  </si>
  <si>
    <t>App/Sp-ALD</t>
  </si>
  <si>
    <t>71140</t>
  </si>
  <si>
    <t>Hazard Duty Station Allow-ALD</t>
  </si>
  <si>
    <t>71145</t>
  </si>
  <si>
    <t>Security Evacuation (ALD)</t>
  </si>
  <si>
    <t>ALD</t>
  </si>
  <si>
    <t>71150</t>
  </si>
  <si>
    <t>Medical Evacuation (ALD)</t>
  </si>
  <si>
    <t>71160</t>
  </si>
  <si>
    <t>Other Personnel costs ALD(A&amp;T)</t>
  </si>
  <si>
    <t>ALD(A &amp; T)</t>
  </si>
  <si>
    <t>71165</t>
  </si>
  <si>
    <t>MIP Conts UN agy NOT adm UNDP</t>
  </si>
  <si>
    <t>MIP notAdm</t>
  </si>
  <si>
    <t>71166</t>
  </si>
  <si>
    <t>Life Ins UN agy not adm UNDP</t>
  </si>
  <si>
    <t>Life Insur</t>
  </si>
  <si>
    <t>71167</t>
  </si>
  <si>
    <t>Pen Fund Cont UN Ag Not UNDP</t>
  </si>
  <si>
    <t>Pen Fund</t>
  </si>
  <si>
    <t>71168</t>
  </si>
  <si>
    <t>Other Expenses UN Agy Pers Rel</t>
  </si>
  <si>
    <t>Othr EXP</t>
  </si>
  <si>
    <t>71200</t>
  </si>
  <si>
    <t>International Consultants</t>
  </si>
  <si>
    <t>Intl Cnslt</t>
  </si>
  <si>
    <t>71205</t>
  </si>
  <si>
    <t>Intl Consultants-Sht Term-Tech</t>
  </si>
  <si>
    <t>IntlConST</t>
  </si>
  <si>
    <t>71210</t>
  </si>
  <si>
    <t>Intl Consultants-Sht Term-Supp</t>
  </si>
  <si>
    <t>IntlCons-S</t>
  </si>
  <si>
    <t>71300</t>
  </si>
  <si>
    <t>Local Consultants</t>
  </si>
  <si>
    <t>Lcl Cnslts</t>
  </si>
  <si>
    <t>71305</t>
  </si>
  <si>
    <t>Local Consult.-Sht Term-Tech</t>
  </si>
  <si>
    <t>LclCons-T</t>
  </si>
  <si>
    <t>71310</t>
  </si>
  <si>
    <t>Local Consult.-Short Term-Supp</t>
  </si>
  <si>
    <t>LclCons-Sp</t>
  </si>
  <si>
    <t>71400</t>
  </si>
  <si>
    <t>Contractual Services - Individ</t>
  </si>
  <si>
    <t>CntractSrv</t>
  </si>
  <si>
    <t>71405</t>
  </si>
  <si>
    <t>Service Contracts-Individuals</t>
  </si>
  <si>
    <t>ServCon-In</t>
  </si>
  <si>
    <t>71410</t>
  </si>
  <si>
    <t>MAIP Premium SC</t>
  </si>
  <si>
    <t>MAIPpreSC</t>
  </si>
  <si>
    <t>71440</t>
  </si>
  <si>
    <t>Appendix D SC</t>
  </si>
  <si>
    <t>AppendDsc</t>
  </si>
  <si>
    <t>71500</t>
  </si>
  <si>
    <t>UN Volunteers</t>
  </si>
  <si>
    <t>Un Vol</t>
  </si>
  <si>
    <t>71505</t>
  </si>
  <si>
    <t>UN Volunteers-Stipend &amp; Allow</t>
  </si>
  <si>
    <t>UNV-Stp&amp;Al</t>
  </si>
  <si>
    <t>71510</t>
  </si>
  <si>
    <t>UNV Settling-In-Grant</t>
  </si>
  <si>
    <t>UNV-S in G</t>
  </si>
  <si>
    <t>71515</t>
  </si>
  <si>
    <t>UNV-Security Allowance</t>
  </si>
  <si>
    <t>UNV-SecAll</t>
  </si>
  <si>
    <t>71520</t>
  </si>
  <si>
    <t>UNV-Language Allowance</t>
  </si>
  <si>
    <t>UNV-LngAll</t>
  </si>
  <si>
    <t>71525</t>
  </si>
  <si>
    <t>UNV-Hazard Pay</t>
  </si>
  <si>
    <t>UNV-Hazard</t>
  </si>
  <si>
    <t>71530</t>
  </si>
  <si>
    <t>UNV-Rest and Recuperation</t>
  </si>
  <si>
    <t>UNV-R&amp;R</t>
  </si>
  <si>
    <t>71535</t>
  </si>
  <si>
    <t>UNV-Medical Insurance</t>
  </si>
  <si>
    <t>UNV-MedIns</t>
  </si>
  <si>
    <t>71536</t>
  </si>
  <si>
    <t>UNVs - Medical Evacuation</t>
  </si>
  <si>
    <t>UNV-MedEva</t>
  </si>
  <si>
    <t>71537</t>
  </si>
  <si>
    <t>UNVs Security Evacuation</t>
  </si>
  <si>
    <t>UNV SecEva</t>
  </si>
  <si>
    <t>71540</t>
  </si>
  <si>
    <t>UNV-Global Charges</t>
  </si>
  <si>
    <t>UNV-Global</t>
  </si>
  <si>
    <t>71545</t>
  </si>
  <si>
    <t>UNV-Home Leave Travel &amp; Allowa</t>
  </si>
  <si>
    <t>UNV-HomeLe</t>
  </si>
  <si>
    <t>71550</t>
  </si>
  <si>
    <t>UNV-Resettlement Allowance</t>
  </si>
  <si>
    <t>UNV-Resett</t>
  </si>
  <si>
    <t>71560</t>
  </si>
  <si>
    <t>UNV-Intl Appoint/Sep incl Trvl</t>
  </si>
  <si>
    <t>UNV-IASIT</t>
  </si>
  <si>
    <t>71565</t>
  </si>
  <si>
    <t>UNV-Natl Appoint/Sep incl Trvl</t>
  </si>
  <si>
    <t>UNV-NASIT</t>
  </si>
  <si>
    <t>71590</t>
  </si>
  <si>
    <t>UNV-support cost</t>
  </si>
  <si>
    <t>UNVsupCost</t>
  </si>
  <si>
    <t>71600</t>
  </si>
  <si>
    <t>Travel</t>
  </si>
  <si>
    <t>71605</t>
  </si>
  <si>
    <t>Travel Tickets-International</t>
  </si>
  <si>
    <t>TrvlTixInt</t>
  </si>
  <si>
    <t>71610</t>
  </si>
  <si>
    <t>Travel Tickets-Local</t>
  </si>
  <si>
    <t>TrvlTixLcl</t>
  </si>
  <si>
    <t>71615</t>
  </si>
  <si>
    <t>Daily Subsistence Allow-Intl</t>
  </si>
  <si>
    <t>DSA-Intl</t>
  </si>
  <si>
    <t>71620</t>
  </si>
  <si>
    <t>Daily Subsistence Allow-Local</t>
  </si>
  <si>
    <t>DSA-Local</t>
  </si>
  <si>
    <t>71625</t>
  </si>
  <si>
    <t>Daily Subsist Allow-Mtg Partic</t>
  </si>
  <si>
    <t>DSA-MtgPrt</t>
  </si>
  <si>
    <t>71630</t>
  </si>
  <si>
    <t>Shipment</t>
  </si>
  <si>
    <t>71635</t>
  </si>
  <si>
    <t>Travel - Other</t>
  </si>
  <si>
    <t>Trvl-Other</t>
  </si>
  <si>
    <t>71640</t>
  </si>
  <si>
    <t>Prepaid Travel Advance</t>
  </si>
  <si>
    <t>PrepdTrave</t>
  </si>
  <si>
    <t>72100</t>
  </si>
  <si>
    <t>Contractual Services-Companies</t>
  </si>
  <si>
    <t>Contr-Cmpy</t>
  </si>
  <si>
    <t>72105</t>
  </si>
  <si>
    <t>Svc Co-Construction &amp; Engineer</t>
  </si>
  <si>
    <t>SrcCo-C&amp;E</t>
  </si>
  <si>
    <t>72110</t>
  </si>
  <si>
    <t>Svc Co-Agricultural Management</t>
  </si>
  <si>
    <t>SvcCo-Agri</t>
  </si>
  <si>
    <t>72115</t>
  </si>
  <si>
    <t>Svc Co-Natural Resources &amp; Env</t>
  </si>
  <si>
    <t>SvcCo-Natl</t>
  </si>
  <si>
    <t>72120</t>
  </si>
  <si>
    <t>Svc Co-Trade and Business Serv</t>
  </si>
  <si>
    <t>SvcCo-Trad</t>
  </si>
  <si>
    <t>72125</t>
  </si>
  <si>
    <t>Svc Co-Studies &amp; Research Serv</t>
  </si>
  <si>
    <t>SvcCo-Stud</t>
  </si>
  <si>
    <t>72126</t>
  </si>
  <si>
    <t>Svc Co-Security blast assessme</t>
  </si>
  <si>
    <t>SRC CO SEC</t>
  </si>
  <si>
    <t>72130</t>
  </si>
  <si>
    <t>Svc Co-Transportation Services</t>
  </si>
  <si>
    <t>SvcCo-Tran</t>
  </si>
  <si>
    <t>72135</t>
  </si>
  <si>
    <t>Svc Co-Communications Service</t>
  </si>
  <si>
    <t>SvcCo-Comm</t>
  </si>
  <si>
    <t>72140</t>
  </si>
  <si>
    <t>Svc Co-Information Technology</t>
  </si>
  <si>
    <t>SvcCo-Info</t>
  </si>
  <si>
    <t>72145</t>
  </si>
  <si>
    <t>Svc Co-Training and Educ Serv</t>
  </si>
  <si>
    <t>SvcCo-Trai</t>
  </si>
  <si>
    <t>72150</t>
  </si>
  <si>
    <t>Svc Co-Manufacturing Services</t>
  </si>
  <si>
    <t>SvcCo-Manu</t>
  </si>
  <si>
    <t>72155</t>
  </si>
  <si>
    <t>Svc Co-Public Admin, Politics</t>
  </si>
  <si>
    <t>SvcCo-Publ</t>
  </si>
  <si>
    <t>72160</t>
  </si>
  <si>
    <t>Svc Co-Education &amp; Health Serv</t>
  </si>
  <si>
    <t>SvcCo-Educ</t>
  </si>
  <si>
    <t>72165</t>
  </si>
  <si>
    <t>Svc Co-Social Svcs, Social Sci</t>
  </si>
  <si>
    <t>Svc Co-Soc</t>
  </si>
  <si>
    <t>72170</t>
  </si>
  <si>
    <t>Svc Co-Humanitarian Aid &amp; Relf</t>
  </si>
  <si>
    <t>Svc Co-Hum</t>
  </si>
  <si>
    <t>72175</t>
  </si>
  <si>
    <t>Svc Co-Urban, Rural &amp; Regional</t>
  </si>
  <si>
    <t>Svc Co-Urb</t>
  </si>
  <si>
    <t>72200</t>
  </si>
  <si>
    <t>Equipment and Furniture</t>
  </si>
  <si>
    <t>Equip&amp;Furn</t>
  </si>
  <si>
    <t>72205</t>
  </si>
  <si>
    <t>Office Machinery</t>
  </si>
  <si>
    <t>Office Mch</t>
  </si>
  <si>
    <t>72210</t>
  </si>
  <si>
    <t>Machinery and Equipment</t>
  </si>
  <si>
    <t>Mac &amp; Eqpt</t>
  </si>
  <si>
    <t>72215</t>
  </si>
  <si>
    <t>Transporation Equipment</t>
  </si>
  <si>
    <t>Tran Equip</t>
  </si>
  <si>
    <t>72216</t>
  </si>
  <si>
    <t>Spec purp transp Armored&amp;Mine</t>
  </si>
  <si>
    <t>ArmoreMine</t>
  </si>
  <si>
    <t>72220</t>
  </si>
  <si>
    <t>Furniture</t>
  </si>
  <si>
    <t>72225</t>
  </si>
  <si>
    <t>Sale of Equip &amp; Furniture</t>
  </si>
  <si>
    <t>SaleEq&amp;Frn</t>
  </si>
  <si>
    <t>72300</t>
  </si>
  <si>
    <t>Materials &amp; Goods</t>
  </si>
  <si>
    <t>Matl&amp;Goods</t>
  </si>
  <si>
    <t>72305</t>
  </si>
  <si>
    <t>Agri &amp; Forestry Products</t>
  </si>
  <si>
    <t>Ag&amp;FrPrds</t>
  </si>
  <si>
    <t>72310</t>
  </si>
  <si>
    <t>Minerals,Mining &amp; Metal Prdcts</t>
  </si>
  <si>
    <t>MM&amp;MPrds</t>
  </si>
  <si>
    <t>72311</t>
  </si>
  <si>
    <t>Fuel, petroleum and other oils</t>
  </si>
  <si>
    <t>Fuel/Oils</t>
  </si>
  <si>
    <t>72315</t>
  </si>
  <si>
    <t>Food &amp; Textile Products</t>
  </si>
  <si>
    <t>Fd&amp;TxtlPrd</t>
  </si>
  <si>
    <t>72320</t>
  </si>
  <si>
    <t>Wood &amp; Paper Products</t>
  </si>
  <si>
    <t>Wd&amp;PprPrds</t>
  </si>
  <si>
    <t>72325</t>
  </si>
  <si>
    <t>Chemical,Glass,NonMetallic Prd</t>
  </si>
  <si>
    <t>ChemGlass</t>
  </si>
  <si>
    <t>72330</t>
  </si>
  <si>
    <t>Medical Products</t>
  </si>
  <si>
    <t>MedicalPrd</t>
  </si>
  <si>
    <t>72335</t>
  </si>
  <si>
    <t>Pharmaceutical Products</t>
  </si>
  <si>
    <t>PharmPrds</t>
  </si>
  <si>
    <t>72340</t>
  </si>
  <si>
    <t>Contraceptive Pills</t>
  </si>
  <si>
    <t>Ctrc Pills</t>
  </si>
  <si>
    <t>72341</t>
  </si>
  <si>
    <t>Contraceptive-IUDs</t>
  </si>
  <si>
    <t>Ctrc-IUDs</t>
  </si>
  <si>
    <t>72342</t>
  </si>
  <si>
    <t>Contraceptives-Condoms</t>
  </si>
  <si>
    <t>C-Condoms</t>
  </si>
  <si>
    <t>72343</t>
  </si>
  <si>
    <t>Contraceptives-Injectables</t>
  </si>
  <si>
    <t>Injectable</t>
  </si>
  <si>
    <t>72344</t>
  </si>
  <si>
    <t>Contraceptives-Implants</t>
  </si>
  <si>
    <t>C-Implants</t>
  </si>
  <si>
    <t>72345</t>
  </si>
  <si>
    <t>Contraceptives-Spermicides</t>
  </si>
  <si>
    <t>Spermicide</t>
  </si>
  <si>
    <t>72350</t>
  </si>
  <si>
    <t>Medical Kits</t>
  </si>
  <si>
    <t>Med_Kits</t>
  </si>
  <si>
    <t>72355</t>
  </si>
  <si>
    <t>Bednets, Anti-malarial</t>
  </si>
  <si>
    <t>Bednets</t>
  </si>
  <si>
    <t>72360</t>
  </si>
  <si>
    <t>Anti-retroviral drugs (ARV)</t>
  </si>
  <si>
    <t>ARV Drugs</t>
  </si>
  <si>
    <t>72370</t>
  </si>
  <si>
    <t>Security related goods and mat</t>
  </si>
  <si>
    <t>Sec Goods</t>
  </si>
  <si>
    <t>72399</t>
  </si>
  <si>
    <t>Other Materials and Goods</t>
  </si>
  <si>
    <t>OtherM&amp;G</t>
  </si>
  <si>
    <t>72400</t>
  </si>
  <si>
    <t>Communic &amp; Audio Visual Equip</t>
  </si>
  <si>
    <t>Comm&amp;AV</t>
  </si>
  <si>
    <t>72401</t>
  </si>
  <si>
    <t>Prefab structure/other buildin</t>
  </si>
  <si>
    <t>Prefab-</t>
  </si>
  <si>
    <t>72402</t>
  </si>
  <si>
    <t>Building Maintenance</t>
  </si>
  <si>
    <t>BuildMant</t>
  </si>
  <si>
    <t>72405</t>
  </si>
  <si>
    <t>Acquisition of Communic Equip</t>
  </si>
  <si>
    <t>ExpCommEq</t>
  </si>
  <si>
    <t>72406</t>
  </si>
  <si>
    <t>Security communication equipme</t>
  </si>
  <si>
    <t>Sec Comm</t>
  </si>
  <si>
    <t>72410</t>
  </si>
  <si>
    <t>Acquisition of Audio Visual Eq</t>
  </si>
  <si>
    <t>AcqAVEqu</t>
  </si>
  <si>
    <t>72415</t>
  </si>
  <si>
    <t>Courier Charges</t>
  </si>
  <si>
    <t>Corier Chg</t>
  </si>
  <si>
    <t>72420</t>
  </si>
  <si>
    <t>Land Telephone Charges</t>
  </si>
  <si>
    <t>LndTeleChg</t>
  </si>
  <si>
    <t>72425</t>
  </si>
  <si>
    <t>Mobile Telephone Charges</t>
  </si>
  <si>
    <t>MblTeleChg</t>
  </si>
  <si>
    <t>72430</t>
  </si>
  <si>
    <t>Postage and Pouch</t>
  </si>
  <si>
    <t>Post&amp;Pouch</t>
  </si>
  <si>
    <t>72435</t>
  </si>
  <si>
    <t>E-mail-Subscription</t>
  </si>
  <si>
    <t>E-mailSubs</t>
  </si>
  <si>
    <t>72440</t>
  </si>
  <si>
    <t>Connectivity Charges</t>
  </si>
  <si>
    <t>ConnectChg</t>
  </si>
  <si>
    <t>72445</t>
  </si>
  <si>
    <t>Common Services-Communications</t>
  </si>
  <si>
    <t>CommServ</t>
  </si>
  <si>
    <t>72500</t>
  </si>
  <si>
    <t>Supplies</t>
  </si>
  <si>
    <t>72505</t>
  </si>
  <si>
    <t>Stationery &amp; other Office Supp</t>
  </si>
  <si>
    <t>Stationery</t>
  </si>
  <si>
    <t>72510</t>
  </si>
  <si>
    <t>Publications</t>
  </si>
  <si>
    <t>Publicatin</t>
  </si>
  <si>
    <t>72515</t>
  </si>
  <si>
    <t>Print Media</t>
  </si>
  <si>
    <t>PrintMedia</t>
  </si>
  <si>
    <t>72520</t>
  </si>
  <si>
    <t>Electronic Media</t>
  </si>
  <si>
    <t>Elec Media</t>
  </si>
  <si>
    <t>72600</t>
  </si>
  <si>
    <t>Grants</t>
  </si>
  <si>
    <t>72605</t>
  </si>
  <si>
    <t>Grants to Instit &amp; other Benef</t>
  </si>
  <si>
    <t>72610</t>
  </si>
  <si>
    <t>Micro Capital Grants-Credit</t>
  </si>
  <si>
    <t>Micro-Crdt</t>
  </si>
  <si>
    <t>72615</t>
  </si>
  <si>
    <t>Micro Capital Grants-Other</t>
  </si>
  <si>
    <t>Micro-Othr</t>
  </si>
  <si>
    <t>72620</t>
  </si>
  <si>
    <t>Joint Programming Expenditure</t>
  </si>
  <si>
    <t>JointProg</t>
  </si>
  <si>
    <t>72625</t>
  </si>
  <si>
    <t>Capital Grants - Financial Ser</t>
  </si>
  <si>
    <t>GrantsFinS</t>
  </si>
  <si>
    <t>72630</t>
  </si>
  <si>
    <t>Capital Grants - Local GOVT</t>
  </si>
  <si>
    <t>Grants-LG</t>
  </si>
  <si>
    <t>72635</t>
  </si>
  <si>
    <t>UNFPA Grant by IP toSubGrantee</t>
  </si>
  <si>
    <t>UNFPAGrant</t>
  </si>
  <si>
    <t>72700</t>
  </si>
  <si>
    <t>Hospitality/Catering</t>
  </si>
  <si>
    <t>Hospitalty</t>
  </si>
  <si>
    <t>72705</t>
  </si>
  <si>
    <t>Hospitality-Special Events</t>
  </si>
  <si>
    <t>Hsp-SpEvts</t>
  </si>
  <si>
    <t>72710</t>
  </si>
  <si>
    <t>Hospitality-Vouchered Expenses</t>
  </si>
  <si>
    <t>Hsp-Vchred</t>
  </si>
  <si>
    <t>72715</t>
  </si>
  <si>
    <t>Hospitality Catering</t>
  </si>
  <si>
    <t>Hospitalit</t>
  </si>
  <si>
    <t>72800</t>
  </si>
  <si>
    <t>Information Technology Equipmt</t>
  </si>
  <si>
    <t>InfoTechEq</t>
  </si>
  <si>
    <t>72805</t>
  </si>
  <si>
    <t>Acquis of Computer Hardware</t>
  </si>
  <si>
    <t>CompHrdwre</t>
  </si>
  <si>
    <t>72810</t>
  </si>
  <si>
    <t>Acquis of Computer Software</t>
  </si>
  <si>
    <t>CompSftwre</t>
  </si>
  <si>
    <t>72815</t>
  </si>
  <si>
    <t>Inform Technology Supplies</t>
  </si>
  <si>
    <t>InfoTchSup</t>
  </si>
  <si>
    <t>72900</t>
  </si>
  <si>
    <t>MDTF &amp; DBS Reporting</t>
  </si>
  <si>
    <t>MDTF-DBS</t>
  </si>
  <si>
    <t>72920</t>
  </si>
  <si>
    <t>UNDG-Joint Prog Expend-Transf</t>
  </si>
  <si>
    <t>UNDG-TRNFR</t>
  </si>
  <si>
    <t>72921</t>
  </si>
  <si>
    <t>UNDG-1.1 Supplies, com, equip</t>
  </si>
  <si>
    <t>UNDG-1.1</t>
  </si>
  <si>
    <t>72922</t>
  </si>
  <si>
    <t>UNDG-1.2 Personnel</t>
  </si>
  <si>
    <t>UNDG-1.2</t>
  </si>
  <si>
    <t>72923</t>
  </si>
  <si>
    <t>UNDG-1.3 Training of counter</t>
  </si>
  <si>
    <t>UNDG-1.3</t>
  </si>
  <si>
    <t>72924</t>
  </si>
  <si>
    <t>UNDG-1.4 Contracts</t>
  </si>
  <si>
    <t>UNDG-1.4</t>
  </si>
  <si>
    <t>72925</t>
  </si>
  <si>
    <t>UNDG-1.5 Other direct costs</t>
  </si>
  <si>
    <t>UNDG-1.5</t>
  </si>
  <si>
    <t>72926</t>
  </si>
  <si>
    <t>UNDG-2.0 Indirect costs</t>
  </si>
  <si>
    <t>UNDG-2.0</t>
  </si>
  <si>
    <t>72929</t>
  </si>
  <si>
    <t>UNDG-Agency Return of Transfer</t>
  </si>
  <si>
    <t>UNDG-AGRET</t>
  </si>
  <si>
    <t>72935</t>
  </si>
  <si>
    <t>UNDG-JP - UNEX Submitted</t>
  </si>
  <si>
    <t>UNDG SUBM</t>
  </si>
  <si>
    <t>72940</t>
  </si>
  <si>
    <t>UNDG-JP Exp Transfer from Inte</t>
  </si>
  <si>
    <t>UNDG-JPTRN</t>
  </si>
  <si>
    <t>72950</t>
  </si>
  <si>
    <t>DBS Expenditure</t>
  </si>
  <si>
    <t>DBS EXP</t>
  </si>
  <si>
    <t>72962</t>
  </si>
  <si>
    <t>Software-internally developed</t>
  </si>
  <si>
    <t>SoftIntDev</t>
  </si>
  <si>
    <t>72963</t>
  </si>
  <si>
    <t>Copyrights</t>
  </si>
  <si>
    <t>72964</t>
  </si>
  <si>
    <t>Patent Rights</t>
  </si>
  <si>
    <t>Patents</t>
  </si>
  <si>
    <t>72965</t>
  </si>
  <si>
    <t>Trade Marks</t>
  </si>
  <si>
    <t>Trade Mark</t>
  </si>
  <si>
    <t>72966</t>
  </si>
  <si>
    <t>Licenses and other</t>
  </si>
  <si>
    <t>License</t>
  </si>
  <si>
    <t>73100</t>
  </si>
  <si>
    <t>Rental &amp; Maintenance-Premises</t>
  </si>
  <si>
    <t>Rent&amp;Maint</t>
  </si>
  <si>
    <t>73101</t>
  </si>
  <si>
    <t>Leased/rented land</t>
  </si>
  <si>
    <t>LeaseLand</t>
  </si>
  <si>
    <t>73104</t>
  </si>
  <si>
    <t>Leased Building</t>
  </si>
  <si>
    <t>LeaseBuild</t>
  </si>
  <si>
    <t>73105</t>
  </si>
  <si>
    <t>Rent</t>
  </si>
  <si>
    <t>73106</t>
  </si>
  <si>
    <t>Leased premises alterations</t>
  </si>
  <si>
    <t>Leasealter</t>
  </si>
  <si>
    <t>73107</t>
  </si>
  <si>
    <t>Rent - Meeting Rooms</t>
  </si>
  <si>
    <t>MeetingRm</t>
  </si>
  <si>
    <t>73108</t>
  </si>
  <si>
    <t>Leased office equip and furnit</t>
  </si>
  <si>
    <t>LeaseOffeq</t>
  </si>
  <si>
    <t>73110</t>
  </si>
  <si>
    <t>Custodial &amp; Cleaning Services</t>
  </si>
  <si>
    <t>Cust&amp;Clng</t>
  </si>
  <si>
    <t>73115</t>
  </si>
  <si>
    <t>Moving Expenses</t>
  </si>
  <si>
    <t>Moving Exp</t>
  </si>
  <si>
    <t>73120</t>
  </si>
  <si>
    <t>Utilities</t>
  </si>
  <si>
    <t>73125</t>
  </si>
  <si>
    <t>Common Services-Premises</t>
  </si>
  <si>
    <t>CmnServPrm</t>
  </si>
  <si>
    <t>73200</t>
  </si>
  <si>
    <t>Premises Alternations</t>
  </si>
  <si>
    <t>PremAlter</t>
  </si>
  <si>
    <t>73201</t>
  </si>
  <si>
    <t>Land</t>
  </si>
  <si>
    <t>73204</t>
  </si>
  <si>
    <t>Building</t>
  </si>
  <si>
    <t>73205</t>
  </si>
  <si>
    <t>Prms Alter</t>
  </si>
  <si>
    <t>73210</t>
  </si>
  <si>
    <t>Reinforcement of premises</t>
  </si>
  <si>
    <t>Reinforcem</t>
  </si>
  <si>
    <t>73216</t>
  </si>
  <si>
    <t>Construction Cost</t>
  </si>
  <si>
    <t>Constructi</t>
  </si>
  <si>
    <t>73300</t>
  </si>
  <si>
    <t>Rental &amp; Maint of Info Tech Eq</t>
  </si>
  <si>
    <t>Rnt&amp;Maint</t>
  </si>
  <si>
    <t>73305</t>
  </si>
  <si>
    <t>Maint &amp; Licensing of Hardware</t>
  </si>
  <si>
    <t>MaintHdwre</t>
  </si>
  <si>
    <t>73310</t>
  </si>
  <si>
    <t>Maint &amp; Licencing of Software</t>
  </si>
  <si>
    <t>MaintSftwr</t>
  </si>
  <si>
    <t>73315</t>
  </si>
  <si>
    <t>Leasing of Hardware</t>
  </si>
  <si>
    <t>LsgHrdware</t>
  </si>
  <si>
    <t>73400</t>
  </si>
  <si>
    <t>Rental &amp; Maint of Other Equip</t>
  </si>
  <si>
    <t>Rntl&amp;Maint</t>
  </si>
  <si>
    <t>73405</t>
  </si>
  <si>
    <t>Rental &amp; Maint-Other Office Eq</t>
  </si>
  <si>
    <t>RntlOthrEq</t>
  </si>
  <si>
    <t>73406</t>
  </si>
  <si>
    <t>Maintenance of Equipment</t>
  </si>
  <si>
    <t>MaintEq</t>
  </si>
  <si>
    <t>73410</t>
  </si>
  <si>
    <t>Maint, Oper of Transport Equip</t>
  </si>
  <si>
    <t>MaintTrnsp</t>
  </si>
  <si>
    <t>73420</t>
  </si>
  <si>
    <t>Leased Vehicles</t>
  </si>
  <si>
    <t>LeasedVehi</t>
  </si>
  <si>
    <t>73440</t>
  </si>
  <si>
    <t>Lease Heavy equip/other equip</t>
  </si>
  <si>
    <t>LeaseHvyEq</t>
  </si>
  <si>
    <t>73500</t>
  </si>
  <si>
    <t>Reimbursement Costs</t>
  </si>
  <si>
    <t>Reimb Csts</t>
  </si>
  <si>
    <t>73505</t>
  </si>
  <si>
    <t>Reimb to UNDP for Supp Srvs</t>
  </si>
  <si>
    <t>Rmb UNDP</t>
  </si>
  <si>
    <t>73510</t>
  </si>
  <si>
    <t>Reimb to UN for Supp Srvs</t>
  </si>
  <si>
    <t>Rmb UN</t>
  </si>
  <si>
    <t>73515</t>
  </si>
  <si>
    <t>Reimb to UN for Ext Audit Srvs</t>
  </si>
  <si>
    <t>Rmb UN Aud</t>
  </si>
  <si>
    <t>73520</t>
  </si>
  <si>
    <t>Reimb UN Sys Entity Supp Srvs</t>
  </si>
  <si>
    <t>Rmb UN Sys</t>
  </si>
  <si>
    <t>74100</t>
  </si>
  <si>
    <t>Professional Services</t>
  </si>
  <si>
    <t>Prof Srvcs</t>
  </si>
  <si>
    <t>74105</t>
  </si>
  <si>
    <t>Management and Reporting Srvs</t>
  </si>
  <si>
    <t>MgmtRptSrv</t>
  </si>
  <si>
    <t>74110</t>
  </si>
  <si>
    <t>Audit Fees</t>
  </si>
  <si>
    <t>74112</t>
  </si>
  <si>
    <t>Accounting related Fees</t>
  </si>
  <si>
    <t>AcctingFee</t>
  </si>
  <si>
    <t>74115</t>
  </si>
  <si>
    <t>Legal Fees</t>
  </si>
  <si>
    <t>74120</t>
  </si>
  <si>
    <t>Capacity Assessment</t>
  </si>
  <si>
    <t>Cap Assess</t>
  </si>
  <si>
    <t>74125</t>
  </si>
  <si>
    <t>Investment Management Fees</t>
  </si>
  <si>
    <t>Inv MgtFee</t>
  </si>
  <si>
    <t>74200</t>
  </si>
  <si>
    <t>Audio Visual&amp;Print Prod Costs</t>
  </si>
  <si>
    <t>AudioVisl</t>
  </si>
  <si>
    <t>74205</t>
  </si>
  <si>
    <t>Audio Visual Productions</t>
  </si>
  <si>
    <t>AudioVisua</t>
  </si>
  <si>
    <t>74210</t>
  </si>
  <si>
    <t>Printing and Publications</t>
  </si>
  <si>
    <t>PrintPubs</t>
  </si>
  <si>
    <t>74215</t>
  </si>
  <si>
    <t>Promotional Materials and Dist</t>
  </si>
  <si>
    <t>PromoDist</t>
  </si>
  <si>
    <t>74220</t>
  </si>
  <si>
    <t>Translation Costs</t>
  </si>
  <si>
    <t>TransCsts</t>
  </si>
  <si>
    <t>74225</t>
  </si>
  <si>
    <t>Other Media Costs</t>
  </si>
  <si>
    <t>OtherMedia</t>
  </si>
  <si>
    <t>74230</t>
  </si>
  <si>
    <t>Audio &amp; Visual Equipment</t>
  </si>
  <si>
    <t>74300</t>
  </si>
  <si>
    <t>Contributions</t>
  </si>
  <si>
    <t>Contribut</t>
  </si>
  <si>
    <t>74305</t>
  </si>
  <si>
    <t>Contributions to CCAQ</t>
  </si>
  <si>
    <t>Contr CCAQ</t>
  </si>
  <si>
    <t>74310</t>
  </si>
  <si>
    <t>Contributions to JIU</t>
  </si>
  <si>
    <t>Contr JIU</t>
  </si>
  <si>
    <t>74315</t>
  </si>
  <si>
    <t>Contributions to ICSC</t>
  </si>
  <si>
    <t>Contr ICSC</t>
  </si>
  <si>
    <t>74320</t>
  </si>
  <si>
    <t>Contributions to CEB Activity</t>
  </si>
  <si>
    <t>Contr CEB</t>
  </si>
  <si>
    <t>74325</t>
  </si>
  <si>
    <t>Contrib.To CO Common Security</t>
  </si>
  <si>
    <t>74400</t>
  </si>
  <si>
    <t>Provisions &amp; Write-offs</t>
  </si>
  <si>
    <t>Prov&amp;WrtOf</t>
  </si>
  <si>
    <t>74405</t>
  </si>
  <si>
    <t>Charge for Doubtful Accounts</t>
  </si>
  <si>
    <t>DbtfulAcct</t>
  </si>
  <si>
    <t>74410</t>
  </si>
  <si>
    <t>Charges on Fin Completed Projs</t>
  </si>
  <si>
    <t>ChgFinCmpl</t>
  </si>
  <si>
    <t>74415</t>
  </si>
  <si>
    <t>Compensation Payment</t>
  </si>
  <si>
    <t>Comp Pymt</t>
  </si>
  <si>
    <t>74420</t>
  </si>
  <si>
    <t>Exch Loss ExecutingAgt HQ only</t>
  </si>
  <si>
    <t>AgyExcLoss</t>
  </si>
  <si>
    <t>74425</t>
  </si>
  <si>
    <t>Provision for ASHI</t>
  </si>
  <si>
    <t>Prov. ASHI</t>
  </si>
  <si>
    <t>74430</t>
  </si>
  <si>
    <t>CDF Account Provisions &amp; WO</t>
  </si>
  <si>
    <t>CDF Accoun</t>
  </si>
  <si>
    <t>74500</t>
  </si>
  <si>
    <t>Miscellaneous Expenses</t>
  </si>
  <si>
    <t>MiscExp</t>
  </si>
  <si>
    <t>74505</t>
  </si>
  <si>
    <t>Insurance</t>
  </si>
  <si>
    <t>74507</t>
  </si>
  <si>
    <t>Warranty Expense</t>
  </si>
  <si>
    <t>Warrantyex</t>
  </si>
  <si>
    <t>74510</t>
  </si>
  <si>
    <t>Bank Charges</t>
  </si>
  <si>
    <t>Bank Chgs</t>
  </si>
  <si>
    <t>74511</t>
  </si>
  <si>
    <t>Bank Compensation Expense</t>
  </si>
  <si>
    <t>BankComExp</t>
  </si>
  <si>
    <t>74515</t>
  </si>
  <si>
    <t>Claims and Adjustments</t>
  </si>
  <si>
    <t>Clms &amp; Adj</t>
  </si>
  <si>
    <t>74520</t>
  </si>
  <si>
    <t>Storage</t>
  </si>
  <si>
    <t>74525</t>
  </si>
  <si>
    <t>Sundry</t>
  </si>
  <si>
    <t>74530</t>
  </si>
  <si>
    <t>Staff Welfare</t>
  </si>
  <si>
    <t>Staff Welf</t>
  </si>
  <si>
    <t>74599</t>
  </si>
  <si>
    <t>UNDP cost recovery chrgs-Bills</t>
  </si>
  <si>
    <t>UNDP Cost</t>
  </si>
  <si>
    <t>74600</t>
  </si>
  <si>
    <t>Prepaid Project Expenses</t>
  </si>
  <si>
    <t>PrPaidExp</t>
  </si>
  <si>
    <t>74605</t>
  </si>
  <si>
    <t>PrepdPrjEx</t>
  </si>
  <si>
    <t>74610</t>
  </si>
  <si>
    <t>UNOPS Prepaid Operational Exp</t>
  </si>
  <si>
    <t>Prepd misc</t>
  </si>
  <si>
    <t>74615</t>
  </si>
  <si>
    <t>Prepaid Miscellaneous Expense</t>
  </si>
  <si>
    <t>Prepd Misc</t>
  </si>
  <si>
    <t>74700</t>
  </si>
  <si>
    <t>Transport, Shipping and handle</t>
  </si>
  <si>
    <t>TransShip</t>
  </si>
  <si>
    <t>74705</t>
  </si>
  <si>
    <t>Port Operation</t>
  </si>
  <si>
    <t>Port Oper</t>
  </si>
  <si>
    <t>74710</t>
  </si>
  <si>
    <t>Land Transport</t>
  </si>
  <si>
    <t>Land Trans</t>
  </si>
  <si>
    <t>74715</t>
  </si>
  <si>
    <t>EDP Operations</t>
  </si>
  <si>
    <t>EDP Operat</t>
  </si>
  <si>
    <t>74720</t>
  </si>
  <si>
    <t>Distribution Cost</t>
  </si>
  <si>
    <t>Distribut</t>
  </si>
  <si>
    <t>74725</t>
  </si>
  <si>
    <t>Other L.T.S.H.</t>
  </si>
  <si>
    <t>Other LTSH</t>
  </si>
  <si>
    <t>74800</t>
  </si>
  <si>
    <t>Depreciation Expense</t>
  </si>
  <si>
    <t>DeprExp</t>
  </si>
  <si>
    <t>74801</t>
  </si>
  <si>
    <t>Vehicles - Depr Exp</t>
  </si>
  <si>
    <t>Veh-Depr</t>
  </si>
  <si>
    <t>74802</t>
  </si>
  <si>
    <t>Furniture Depr Exp</t>
  </si>
  <si>
    <t>Furn Depr</t>
  </si>
  <si>
    <t>74803</t>
  </si>
  <si>
    <t>Generator &amp; Hvy Equip Depr Exp</t>
  </si>
  <si>
    <t>Gen Depr</t>
  </si>
  <si>
    <t>74804</t>
  </si>
  <si>
    <t>Electrical Depr Exp</t>
  </si>
  <si>
    <t>ElecDepr</t>
  </si>
  <si>
    <t>74900</t>
  </si>
  <si>
    <t>Depreciation Exp - Accumulated</t>
  </si>
  <si>
    <t>DeprExpAcc</t>
  </si>
  <si>
    <t>74901</t>
  </si>
  <si>
    <t>Vehicles - Accum Depr</t>
  </si>
  <si>
    <t>Veh AccDep</t>
  </si>
  <si>
    <t>74902</t>
  </si>
  <si>
    <t>Furniture - Accum Depr</t>
  </si>
  <si>
    <t>Fur AccDep</t>
  </si>
  <si>
    <t>74903</t>
  </si>
  <si>
    <t>Generator&amp;Hvy Equip Accum Depr</t>
  </si>
  <si>
    <t>GenAccDepr</t>
  </si>
  <si>
    <t>74904</t>
  </si>
  <si>
    <t>Electrical Accum Depr</t>
  </si>
  <si>
    <t>Elec Accum</t>
  </si>
  <si>
    <t>74906</t>
  </si>
  <si>
    <t>Gain or Loss on Capital Assets</t>
  </si>
  <si>
    <t>G LCapAsse</t>
  </si>
  <si>
    <t>74907</t>
  </si>
  <si>
    <t>Gain Disposal of Fixed Assets</t>
  </si>
  <si>
    <t>Gain FA</t>
  </si>
  <si>
    <t>74908</t>
  </si>
  <si>
    <t>Loss Disposal of Fixed Assets</t>
  </si>
  <si>
    <t>Loss FA</t>
  </si>
  <si>
    <t>74910</t>
  </si>
  <si>
    <t>Gain/Loss Disposal Fixed Asset</t>
  </si>
  <si>
    <t>G/LfixedA</t>
  </si>
  <si>
    <t>74915</t>
  </si>
  <si>
    <t>Gain/Loss Disposal Intangible</t>
  </si>
  <si>
    <t>G/LfixedIn</t>
  </si>
  <si>
    <t>74920</t>
  </si>
  <si>
    <t>Loss on Inventory</t>
  </si>
  <si>
    <t>LossInvent</t>
  </si>
  <si>
    <t>74950</t>
  </si>
  <si>
    <t>Transfer gov/3rd party/nonUNDP</t>
  </si>
  <si>
    <t>Trans3pty</t>
  </si>
  <si>
    <t>74955</t>
  </si>
  <si>
    <t>Intra unit transfer exp</t>
  </si>
  <si>
    <t>Intra</t>
  </si>
  <si>
    <t>74960</t>
  </si>
  <si>
    <t>Intra-unit asset donation</t>
  </si>
  <si>
    <t>Intra-Don</t>
  </si>
  <si>
    <t>74965</t>
  </si>
  <si>
    <t>Low value equipment</t>
  </si>
  <si>
    <t>LowValueEq</t>
  </si>
  <si>
    <t>75100</t>
  </si>
  <si>
    <t>Facilities &amp; Administration</t>
  </si>
  <si>
    <t>F&amp;A</t>
  </si>
  <si>
    <t>75105</t>
  </si>
  <si>
    <t>Facilities &amp; Admin - Implement</t>
  </si>
  <si>
    <t>F&amp;A-Implem</t>
  </si>
  <si>
    <t>75110</t>
  </si>
  <si>
    <t>Facilities &amp; Admin - Services</t>
  </si>
  <si>
    <t>F&amp;A-Servs</t>
  </si>
  <si>
    <t>75115</t>
  </si>
  <si>
    <t>Facilities &amp; Admin - OH &amp; Ind</t>
  </si>
  <si>
    <t>F&amp;A-OH/Ind</t>
  </si>
  <si>
    <t>75700</t>
  </si>
  <si>
    <t>Training, Workshops and Confer</t>
  </si>
  <si>
    <t>TR,WKSP,CF</t>
  </si>
  <si>
    <t>75705</t>
  </si>
  <si>
    <t>Learning costs</t>
  </si>
  <si>
    <t>LearnCost</t>
  </si>
  <si>
    <t>75706</t>
  </si>
  <si>
    <t>Learning - ticket costs</t>
  </si>
  <si>
    <t>LEARN_TKT</t>
  </si>
  <si>
    <t>75707</t>
  </si>
  <si>
    <t>Learning – subsistence allowan</t>
  </si>
  <si>
    <t>LEARN_SUBS</t>
  </si>
  <si>
    <t>75708</t>
  </si>
  <si>
    <t>Learning - subcontracts</t>
  </si>
  <si>
    <t>LEARN_SUBC</t>
  </si>
  <si>
    <t>75709</t>
  </si>
  <si>
    <t>Learning - training of counter</t>
  </si>
  <si>
    <t>LEARN_CNTR</t>
  </si>
  <si>
    <t>75710</t>
  </si>
  <si>
    <t>Participation of counterparts</t>
  </si>
  <si>
    <t>ParticpCpt</t>
  </si>
  <si>
    <t>75711</t>
  </si>
  <si>
    <t>TrnWrkshp&amp;Conf - Stipends</t>
  </si>
  <si>
    <t>TWCStipend</t>
  </si>
  <si>
    <t>75712</t>
  </si>
  <si>
    <t>TrnWrkshp&amp;Conf - Honorariums</t>
  </si>
  <si>
    <t>TWCHonorar</t>
  </si>
  <si>
    <t>76100</t>
  </si>
  <si>
    <t>Foreign Exchange Currency Loss</t>
  </si>
  <si>
    <t>FXCurrLoss</t>
  </si>
  <si>
    <t>76105</t>
  </si>
  <si>
    <t>Foreign Exch Transaction Loss</t>
  </si>
  <si>
    <t>FXTrnsLoss</t>
  </si>
  <si>
    <t>76110</t>
  </si>
  <si>
    <t>Foreign Exch Translation Loss</t>
  </si>
  <si>
    <t>FXTrnslLos</t>
  </si>
  <si>
    <t>76115</t>
  </si>
  <si>
    <t>Foreign Exchange Hedging Loss</t>
  </si>
  <si>
    <t>FX HedgeLs</t>
  </si>
  <si>
    <t>76120</t>
  </si>
  <si>
    <t>Unrealized Loss</t>
  </si>
  <si>
    <t>Unrlzd Lss</t>
  </si>
  <si>
    <t>76125</t>
  </si>
  <si>
    <t>Realized Loss</t>
  </si>
  <si>
    <t>Rlzed Loss</t>
  </si>
  <si>
    <t>76130</t>
  </si>
  <si>
    <t>Unrealized Gain</t>
  </si>
  <si>
    <t>UnrealGAIN</t>
  </si>
  <si>
    <t>76135</t>
  </si>
  <si>
    <t>Realized Gain</t>
  </si>
  <si>
    <t>Real Gain</t>
  </si>
  <si>
    <t>76140</t>
  </si>
  <si>
    <t>Derivatives Realized Losses</t>
  </si>
  <si>
    <t>DerivRealA</t>
  </si>
  <si>
    <t>77100</t>
  </si>
  <si>
    <t>Salary and related costs–TA/NP</t>
  </si>
  <si>
    <t>TA/NP cost</t>
  </si>
  <si>
    <t>77105</t>
  </si>
  <si>
    <t>Salaries - NP Staff-TA</t>
  </si>
  <si>
    <t>N-Sal-N-TA</t>
  </si>
  <si>
    <t>77110</t>
  </si>
  <si>
    <t>Contrib to UNSSPF-NP-TA</t>
  </si>
  <si>
    <t>Cntr-NP-TA</t>
  </si>
  <si>
    <t>77115</t>
  </si>
  <si>
    <t>Contrib-Med,SocIns-NP Staff-TA</t>
  </si>
  <si>
    <t>CtMd-NP-TA</t>
  </si>
  <si>
    <t>77120</t>
  </si>
  <si>
    <t>Repat Grt/Comm Annual Lv-NP-TA</t>
  </si>
  <si>
    <t>Rept-NP-TA</t>
  </si>
  <si>
    <t>77125</t>
  </si>
  <si>
    <t>Term indem-NP Staff-TA</t>
  </si>
  <si>
    <t>Term-NP-TA</t>
  </si>
  <si>
    <t>77135</t>
  </si>
  <si>
    <t>Spec Education Grant(LNO)-TA</t>
  </si>
  <si>
    <t>Gr(LNO)-TA</t>
  </si>
  <si>
    <t>77145</t>
  </si>
  <si>
    <t>Dependency Allow-NP Staff-TA</t>
  </si>
  <si>
    <t>DpAl-NP-TA</t>
  </si>
  <si>
    <t>77150</t>
  </si>
  <si>
    <t>Reimb For Med Costs (LNO)-TA</t>
  </si>
  <si>
    <t>LNO-TA</t>
  </si>
  <si>
    <t>77153</t>
  </si>
  <si>
    <t>Reimb of Income Tax – NP-TA</t>
  </si>
  <si>
    <t>ReTx-NP-TA</t>
  </si>
  <si>
    <t>77155</t>
  </si>
  <si>
    <t>Appointments - NP Staff-TA</t>
  </si>
  <si>
    <t>Appt-NP-TA</t>
  </si>
  <si>
    <t>77160</t>
  </si>
  <si>
    <t>Other payroll costs NP-TA</t>
  </si>
  <si>
    <t>Prll NP-TA</t>
  </si>
  <si>
    <t>77165</t>
  </si>
  <si>
    <t>Hazard Duty Stat Allow-NP-TA</t>
  </si>
  <si>
    <t>N-HzdDt-TA</t>
  </si>
  <si>
    <t>77170</t>
  </si>
  <si>
    <t>Overtime &amp; Night Diff-NP-TA</t>
  </si>
  <si>
    <t>N-OT&amp;Nt TA</t>
  </si>
  <si>
    <t>77190</t>
  </si>
  <si>
    <t>RelocationGrant TA/NO</t>
  </si>
  <si>
    <t>ReloGrTaNo</t>
  </si>
  <si>
    <t>77195</t>
  </si>
  <si>
    <t>MAIP Premium TA/NO</t>
  </si>
  <si>
    <t>MAIPprTaNo</t>
  </si>
  <si>
    <t>77197</t>
  </si>
  <si>
    <t>Appendix D  TA/NO</t>
  </si>
  <si>
    <t>AppenDtaNO</t>
  </si>
  <si>
    <t>77200</t>
  </si>
  <si>
    <t>Salary and related costs–TA/GS</t>
  </si>
  <si>
    <t>TA/GS cost</t>
  </si>
  <si>
    <t>77205</t>
  </si>
  <si>
    <t>Salaries - GS Staff-TA</t>
  </si>
  <si>
    <t>Sal-GS-TA</t>
  </si>
  <si>
    <t>77210</t>
  </si>
  <si>
    <t>Contrib to UNJSPF-GS-TA</t>
  </si>
  <si>
    <t>GS CtPF-TA</t>
  </si>
  <si>
    <t>77215</t>
  </si>
  <si>
    <t>Contrib-Med,SocIns-GS Staff-TA</t>
  </si>
  <si>
    <t>GS Ctrb-TA</t>
  </si>
  <si>
    <t>77220</t>
  </si>
  <si>
    <t>Language Allow - GS Staff-TA</t>
  </si>
  <si>
    <t>LgAl-GS-TA</t>
  </si>
  <si>
    <t>77225</t>
  </si>
  <si>
    <t>Termination Indem-GS Staff-TA</t>
  </si>
  <si>
    <t>77235</t>
  </si>
  <si>
    <t>Special Education Grant(GS)-TA</t>
  </si>
  <si>
    <t>Grt(GS)-TA</t>
  </si>
  <si>
    <t>77240</t>
  </si>
  <si>
    <t>Security Evacuation (GS)-TA</t>
  </si>
  <si>
    <t>GS-TA</t>
  </si>
  <si>
    <t>77245</t>
  </si>
  <si>
    <t>Dependency Allow - GS Staff-TA</t>
  </si>
  <si>
    <t>DpAl-GS-TA</t>
  </si>
  <si>
    <t>77250</t>
  </si>
  <si>
    <t>Reimb for Med Costs (GS)-TA</t>
  </si>
  <si>
    <t>Med(GS)-TA</t>
  </si>
  <si>
    <t>77253</t>
  </si>
  <si>
    <t>Reimb of Income Tax – GS-TA</t>
  </si>
  <si>
    <t>ReTx-GS-TA</t>
  </si>
  <si>
    <t>77255</t>
  </si>
  <si>
    <t>Appointments - GS Staff-TA</t>
  </si>
  <si>
    <t>Appt-GS-TA</t>
  </si>
  <si>
    <t>77260</t>
  </si>
  <si>
    <t>Other payroll costs GS-TA</t>
  </si>
  <si>
    <t>Pyrl GS-TA</t>
  </si>
  <si>
    <t>77265</t>
  </si>
  <si>
    <t>Hazard Duty Stat Allow-GS-TA</t>
  </si>
  <si>
    <t>GS-HzdD-TA</t>
  </si>
  <si>
    <t>77270</t>
  </si>
  <si>
    <t>Overtime &amp; Night Diff-GS-TA</t>
  </si>
  <si>
    <t>GS O&amp;Nt-TA</t>
  </si>
  <si>
    <t>77290</t>
  </si>
  <si>
    <t>Relocation Grant TA/GS</t>
  </si>
  <si>
    <t>ReloGRTaGS</t>
  </si>
  <si>
    <t>77295</t>
  </si>
  <si>
    <t>MAIP Premium TA/GS</t>
  </si>
  <si>
    <t>MAIPprTaGS</t>
  </si>
  <si>
    <t>77297</t>
  </si>
  <si>
    <t>Appendix D TA/GS</t>
  </si>
  <si>
    <t>AppenDtaGS</t>
  </si>
  <si>
    <t>77300</t>
  </si>
  <si>
    <t>Salary and related costs–TA/IP</t>
  </si>
  <si>
    <t>TA/IP cost</t>
  </si>
  <si>
    <t>77305</t>
  </si>
  <si>
    <t>Salaries - IP Staff-TA</t>
  </si>
  <si>
    <t>Sl-IP S-TA</t>
  </si>
  <si>
    <t>77306</t>
  </si>
  <si>
    <t>Appoint-Tk cost-IP Staff-TA</t>
  </si>
  <si>
    <t>A-Tk-IPTA</t>
  </si>
  <si>
    <t>77307</t>
  </si>
  <si>
    <t>Appoint-Sub Allow-IP Staff-TA</t>
  </si>
  <si>
    <t>A-DSA-IPTA</t>
  </si>
  <si>
    <t>77309</t>
  </si>
  <si>
    <t>Appoint-shipment-IP Staff-TA</t>
  </si>
  <si>
    <t>A-Sh-IP-TA</t>
  </si>
  <si>
    <t>77310</t>
  </si>
  <si>
    <t>Post Adjustment - IP Staff-TA</t>
  </si>
  <si>
    <t>PAdj-IP-TA</t>
  </si>
  <si>
    <t>77315</t>
  </si>
  <si>
    <t>Contrib-Med,SocIns-IP Staff-TA</t>
  </si>
  <si>
    <t>IPCtb M-TA</t>
  </si>
  <si>
    <t>77320</t>
  </si>
  <si>
    <t>Assg hardship &amp; mob allow-TA</t>
  </si>
  <si>
    <t>IP hdMa-TA</t>
  </si>
  <si>
    <t>77323</t>
  </si>
  <si>
    <t>Appointments-Lump Sum-TA</t>
  </si>
  <si>
    <t>IP APLS-TA</t>
  </si>
  <si>
    <t>77325</t>
  </si>
  <si>
    <t>Rep Allow (excl hsp pyt)-TA</t>
  </si>
  <si>
    <t>IP RpAl-TA</t>
  </si>
  <si>
    <t>77330</t>
  </si>
  <si>
    <t>Ed Grt w/ Trvl&amp;Allow-IP Stf-TA</t>
  </si>
  <si>
    <t>EdGt-IP-TA</t>
  </si>
  <si>
    <t>77335</t>
  </si>
  <si>
    <t>Hazard Duty Stat Allow-IP-TA</t>
  </si>
  <si>
    <t>HdDt-IP-TA</t>
  </si>
  <si>
    <t>77345</t>
  </si>
  <si>
    <t>Dep Allowances-IP Staff-TA</t>
  </si>
  <si>
    <t>DpAl-IP-TA</t>
  </si>
  <si>
    <t>77350</t>
  </si>
  <si>
    <t>Rental Supplements-IP Staff-TA</t>
  </si>
  <si>
    <t>Rtal-IP-TA</t>
  </si>
  <si>
    <t>77353</t>
  </si>
  <si>
    <t>Reimb of Income Tax – IP-TA</t>
  </si>
  <si>
    <t>ReTx-IP-TA</t>
  </si>
  <si>
    <t>77355</t>
  </si>
  <si>
    <t>Term Indemnity-IP Staff-TA</t>
  </si>
  <si>
    <t>Term-IP-TA</t>
  </si>
  <si>
    <t>77357</t>
  </si>
  <si>
    <t>Repat. Grt/Comm Ann Lv-IP-TA</t>
  </si>
  <si>
    <t>IP RtGC-TA</t>
  </si>
  <si>
    <t>77360</t>
  </si>
  <si>
    <t>Med Exams(incl Pre-empl)-TA</t>
  </si>
  <si>
    <t>IP MdEx-TA</t>
  </si>
  <si>
    <t>77365</t>
  </si>
  <si>
    <t>Spec Oper Living Allow-IP-TA</t>
  </si>
  <si>
    <t>SpOp-IP-TA</t>
  </si>
  <si>
    <t>77375</t>
  </si>
  <si>
    <t>Contrib-Jt Staff Pens Fd-IP-TA</t>
  </si>
  <si>
    <t>IP Ctb-TA</t>
  </si>
  <si>
    <t>77380</t>
  </si>
  <si>
    <t>Security Evac - IP Staff-TA</t>
  </si>
  <si>
    <t>IP ScEc-TA</t>
  </si>
  <si>
    <t>77390</t>
  </si>
  <si>
    <t>Relocation Grant TA/IP</t>
  </si>
  <si>
    <t>reloGRtaIP</t>
  </si>
  <si>
    <t>77395</t>
  </si>
  <si>
    <t>MAIP Premium TA/IP</t>
  </si>
  <si>
    <t>MAIPprTAip</t>
  </si>
  <si>
    <t>77397</t>
  </si>
  <si>
    <t>Appendix D TA/IP</t>
  </si>
  <si>
    <t>AppenDtaIP</t>
  </si>
  <si>
    <t>BA001</t>
  </si>
  <si>
    <t>Land - Budget</t>
  </si>
  <si>
    <t>Land_Bud</t>
  </si>
  <si>
    <t>18088</t>
  </si>
  <si>
    <t>Land - Contra Asset</t>
  </si>
  <si>
    <t>Land_CA</t>
  </si>
  <si>
    <t>BA002</t>
  </si>
  <si>
    <t>Building - Budget</t>
  </si>
  <si>
    <t>Build_Bud</t>
  </si>
  <si>
    <t>18089</t>
  </si>
  <si>
    <t>Building - Contra Asset</t>
  </si>
  <si>
    <t>Build_CA</t>
  </si>
  <si>
    <t>BA003</t>
  </si>
  <si>
    <t>Leasehold Impr - Budget</t>
  </si>
  <si>
    <t>LHI_Bud</t>
  </si>
  <si>
    <t>18090</t>
  </si>
  <si>
    <t>Leasehold Impr-Contra Asset</t>
  </si>
  <si>
    <t>LHI_CA</t>
  </si>
  <si>
    <t>BA004</t>
  </si>
  <si>
    <t>Vehicles - Budget</t>
  </si>
  <si>
    <t>Vehicle_Bu</t>
  </si>
  <si>
    <t>18091</t>
  </si>
  <si>
    <t>Vehicles - Contra Asset</t>
  </si>
  <si>
    <t>Vehi Contr</t>
  </si>
  <si>
    <t>BA005</t>
  </si>
  <si>
    <t>Furniture - Budget</t>
  </si>
  <si>
    <t>Furni_Bud</t>
  </si>
  <si>
    <t>18092</t>
  </si>
  <si>
    <t>Furniture - Contra Asset</t>
  </si>
  <si>
    <t>Furn Contr</t>
  </si>
  <si>
    <t>BA006</t>
  </si>
  <si>
    <t>Heavy Equipment - Budget</t>
  </si>
  <si>
    <t>HvyEqp_Bud</t>
  </si>
  <si>
    <t>18093</t>
  </si>
  <si>
    <t>Hvy Equip Contra Asset</t>
  </si>
  <si>
    <t>HvyEqpCA</t>
  </si>
  <si>
    <t>BA007</t>
  </si>
  <si>
    <t>IT&amp;C - Budget</t>
  </si>
  <si>
    <t>ITC_Bud</t>
  </si>
  <si>
    <t>18094</t>
  </si>
  <si>
    <t>IT&amp;C - Contra Asset</t>
  </si>
  <si>
    <t>ITC_CA</t>
  </si>
  <si>
    <t>BA008</t>
  </si>
  <si>
    <t>Security Equip - Budget</t>
  </si>
  <si>
    <t>SecEqp_Bud</t>
  </si>
  <si>
    <t>18095</t>
  </si>
  <si>
    <t>Security Equip - Contra</t>
  </si>
  <si>
    <t>SecEqpCont</t>
  </si>
  <si>
    <t>BA009</t>
  </si>
  <si>
    <t>Intangible - Budget</t>
  </si>
  <si>
    <t>Intang_Bud</t>
  </si>
  <si>
    <t>18096</t>
  </si>
  <si>
    <t>Intangibles - Contra</t>
  </si>
  <si>
    <t>IntanContr</t>
  </si>
  <si>
    <t>BA010</t>
  </si>
  <si>
    <t>Construct Fixed Asset - Budget</t>
  </si>
  <si>
    <t>ConFA_Bud</t>
  </si>
  <si>
    <t>18097</t>
  </si>
  <si>
    <t>Construct Fixed Asset - Contra</t>
  </si>
  <si>
    <t>BA011</t>
  </si>
  <si>
    <t>Construct Intangible - Budget</t>
  </si>
  <si>
    <t>ConInta_Bu</t>
  </si>
  <si>
    <t>18098</t>
  </si>
  <si>
    <t>Construct Intangible - Contra</t>
  </si>
  <si>
    <t>ConstrFCon</t>
  </si>
  <si>
    <t>BA012</t>
  </si>
  <si>
    <t>Asset NBV Transfer- Budget</t>
  </si>
  <si>
    <t>NBVtrans_B</t>
  </si>
  <si>
    <t>18099</t>
  </si>
  <si>
    <t>Asset NBV Transfer</t>
  </si>
  <si>
    <t>NetBktrans</t>
  </si>
  <si>
    <t>Multiple</t>
  </si>
  <si>
    <t>RES PARTY CODE</t>
  </si>
  <si>
    <t>RESPONSIBLE PARTY DESCRIPTION</t>
  </si>
  <si>
    <t>VALUE SET</t>
  </si>
  <si>
    <t>ID TYPE</t>
  </si>
  <si>
    <t>RES PARTY CODE Combination</t>
  </si>
  <si>
    <t xml:space="preserve"> 001511</t>
  </si>
  <si>
    <t>PAL-Local Non Govermen Organis</t>
  </si>
  <si>
    <t xml:space="preserve">UNDP Implementing Agents </t>
  </si>
  <si>
    <t xml:space="preserve">NGO NATIONAL </t>
  </si>
  <si>
    <t xml:space="preserve"> 009923</t>
  </si>
  <si>
    <t>PAL-AlJaleel Soc Cre&amp;Com Rehab</t>
  </si>
  <si>
    <t xml:space="preserve"> 009925</t>
  </si>
  <si>
    <t>PAL-Birzeit Univer-Friends Ass</t>
  </si>
  <si>
    <t xml:space="preserve"> 009926</t>
  </si>
  <si>
    <t>PAL-Min. of Social Development</t>
  </si>
  <si>
    <t xml:space="preserve">GOVERNMENT </t>
  </si>
  <si>
    <t xml:space="preserve"> 009927</t>
  </si>
  <si>
    <t>PAL-Natuf for Environ&amp;Comm Dev</t>
  </si>
  <si>
    <t xml:space="preserve"> 010340</t>
  </si>
  <si>
    <t>PAL-PALESTINE POLYTECHNIC UNIV</t>
  </si>
  <si>
    <t xml:space="preserve"> 010342</t>
  </si>
  <si>
    <t>PAL-ARAB CENTER FOR AGRICULTUR</t>
  </si>
  <si>
    <t xml:space="preserve"> 010343</t>
  </si>
  <si>
    <t>PAL-HIGHER COUNCIL FOR YOUTH A</t>
  </si>
  <si>
    <t xml:space="preserve"> 010344</t>
  </si>
  <si>
    <t>PAL-ALOFOQ FOUNDATION FOR YOUT</t>
  </si>
  <si>
    <t xml:space="preserve"> 010345</t>
  </si>
  <si>
    <t>PAL-PALESTINIAN AGRICULTURAL R</t>
  </si>
  <si>
    <t xml:space="preserve"> 010346</t>
  </si>
  <si>
    <t>PAL-WAFAA CAPACITY BUILDING &amp;</t>
  </si>
  <si>
    <t xml:space="preserve"> 010347</t>
  </si>
  <si>
    <t>PAL-PALESTINE FOR CREDIT AND D</t>
  </si>
  <si>
    <t xml:space="preserve"> 010348</t>
  </si>
  <si>
    <t>PAL-PALESTIN. EMPLOYMENT FUND</t>
  </si>
  <si>
    <t xml:space="preserve"> 010349</t>
  </si>
  <si>
    <t>PAL-Job Creation Program</t>
  </si>
  <si>
    <t xml:space="preserve"> 010350</t>
  </si>
  <si>
    <t>PAL-LUTHERAN WORLD FEDERATION</t>
  </si>
  <si>
    <t xml:space="preserve"> 010351</t>
  </si>
  <si>
    <t>PAL-PALESTINIAN ANTI-CORRUPTIO</t>
  </si>
  <si>
    <t xml:space="preserve"> 010352</t>
  </si>
  <si>
    <t>PAL-PALESTINIAN BAR ASSOC. - G</t>
  </si>
  <si>
    <t xml:space="preserve"> 010353</t>
  </si>
  <si>
    <t>PAL-PALESTINIAN BAR ASSOC. - W</t>
  </si>
  <si>
    <t xml:space="preserve"> 010354</t>
  </si>
  <si>
    <t>PAL-PRIME MINISTER OFFICE</t>
  </si>
  <si>
    <t xml:space="preserve"> 010355</t>
  </si>
  <si>
    <t>PAL-ACT ASSOCIATION</t>
  </si>
  <si>
    <t xml:space="preserve"> 010356</t>
  </si>
  <si>
    <t>PAL-BIRZEIT UNIVERSITY     </t>
  </si>
  <si>
    <t xml:space="preserve"> 010416</t>
  </si>
  <si>
    <t>PAL-FOUNDATION OF ORPHAN FUNDS</t>
  </si>
  <si>
    <t xml:space="preserve"> 010417</t>
  </si>
  <si>
    <t>PAL-JERU. DAWN FOR LOANS &amp; FIN</t>
  </si>
  <si>
    <t xml:space="preserve"> 010418</t>
  </si>
  <si>
    <t>PAL-PALESTINIAN INFORMATION</t>
  </si>
  <si>
    <t xml:space="preserve"> 010419</t>
  </si>
  <si>
    <t>PAL-WORK WITHOUT BORDERS</t>
  </si>
  <si>
    <t xml:space="preserve"> 010420</t>
  </si>
  <si>
    <t>PAL-FUND FOR EMPLOY &amp; SOCIAL</t>
  </si>
  <si>
    <t xml:space="preserve"> 010421</t>
  </si>
  <si>
    <t>PAL-LAND RESEARCH CENTER</t>
  </si>
  <si>
    <t xml:space="preserve"> 010422</t>
  </si>
  <si>
    <t>PAL-QADER FOR COMMUNITY</t>
  </si>
  <si>
    <t xml:space="preserve"> 010423</t>
  </si>
  <si>
    <t>PAL-PALESTINIAN FEDERATION</t>
  </si>
  <si>
    <t xml:space="preserve"> 010424</t>
  </si>
  <si>
    <t>PAL-Maan Development Center</t>
  </si>
  <si>
    <t xml:space="preserve"> 010451</t>
  </si>
  <si>
    <t>PAL-Mercy Corps</t>
  </si>
  <si>
    <t xml:space="preserve"> 010500</t>
  </si>
  <si>
    <t>PAL-Uni Coll. Applied Science</t>
  </si>
  <si>
    <t xml:space="preserve"> 010501</t>
  </si>
  <si>
    <t>PAL-Coastal Muni Water Utility</t>
  </si>
  <si>
    <t xml:space="preserve"> 010623</t>
  </si>
  <si>
    <t>Pal-Arab Chamber Of Commerce</t>
  </si>
  <si>
    <t xml:space="preserve"> 010624</t>
  </si>
  <si>
    <t>Pal-Augusta Victoria Hospital</t>
  </si>
  <si>
    <t xml:space="preserve"> 010625</t>
  </si>
  <si>
    <t>Pal-Awqaf General Department</t>
  </si>
  <si>
    <t xml:space="preserve"> 010626</t>
  </si>
  <si>
    <t>Pal-Jlm Directorate Of Edu</t>
  </si>
  <si>
    <t xml:space="preserve"> 010627</t>
  </si>
  <si>
    <t>Pal-Jerusalem Youth Cultural F</t>
  </si>
  <si>
    <t xml:space="preserve"> 010628</t>
  </si>
  <si>
    <t>Pal-Ministry Of Education</t>
  </si>
  <si>
    <t xml:space="preserve"> 010629</t>
  </si>
  <si>
    <t>Pal-Palestinian Counsell Cntr</t>
  </si>
  <si>
    <t xml:space="preserve"> 010855</t>
  </si>
  <si>
    <t>PAL-Palest Legislative Council</t>
  </si>
  <si>
    <t xml:space="preserve"> 010872</t>
  </si>
  <si>
    <t>PAL-YouthDevDep/YDD/OrientHous</t>
  </si>
  <si>
    <t xml:space="preserve"> 010998</t>
  </si>
  <si>
    <t>PAL-Business Incubator BTI-IUG</t>
  </si>
  <si>
    <t xml:space="preserve"> 011066</t>
  </si>
  <si>
    <t>PAL-Save Youth Future Society</t>
  </si>
  <si>
    <t xml:space="preserve"> 011074</t>
  </si>
  <si>
    <t>PAL-Central Bureau of Statist</t>
  </si>
  <si>
    <t xml:space="preserve"> 011301</t>
  </si>
  <si>
    <t>PAL-Youth Vision Society</t>
  </si>
  <si>
    <t xml:space="preserve"> 011346</t>
  </si>
  <si>
    <t>PAL-JerusalemDirectorateofEduc</t>
  </si>
  <si>
    <t xml:space="preserve"> 011386</t>
  </si>
  <si>
    <t>PAL-PALESTINIAN CENTRAL BUREAU</t>
  </si>
  <si>
    <t xml:space="preserve"> 011387</t>
  </si>
  <si>
    <t>PAL-AL MEZAN CENTER FOR HUMAN</t>
  </si>
  <si>
    <t xml:space="preserve"> 011388</t>
  </si>
  <si>
    <t>PAL-NATIONAL SOCIETY FOR DEMOC</t>
  </si>
  <si>
    <t xml:space="preserve"> 011389</t>
  </si>
  <si>
    <t>PAL-THE CULTURE &amp; FREE THOUGHT</t>
  </si>
  <si>
    <t xml:space="preserve"> 011390</t>
  </si>
  <si>
    <t>PAL-WOMEN'S AFFAIRS CENTRE-GAZ</t>
  </si>
  <si>
    <t xml:space="preserve"> 011391</t>
  </si>
  <si>
    <t>PAL-AL DAMEER ASSOCIATION FOR</t>
  </si>
  <si>
    <t xml:space="preserve"> 011392</t>
  </si>
  <si>
    <t>PAL-PALESTINIAN CENTER FOR HUM</t>
  </si>
  <si>
    <t xml:space="preserve"> 011393</t>
  </si>
  <si>
    <t>PAL-AISHA ASSOC.FOR WOMAN&amp;CH</t>
  </si>
  <si>
    <t xml:space="preserve"> 011394</t>
  </si>
  <si>
    <t>PAL-CENTER FOR WOMAN'S LEGAL R</t>
  </si>
  <si>
    <t xml:space="preserve"> 011668</t>
  </si>
  <si>
    <t>PAL-JERUSALEM LEGAL AID CENTER</t>
  </si>
  <si>
    <t xml:space="preserve"> 011669</t>
  </si>
  <si>
    <t>PAL-WOMEN CENTER FOR LEGAL AID</t>
  </si>
  <si>
    <t xml:space="preserve"> 011670</t>
  </si>
  <si>
    <t>PAL-PALESTINIAN CENTER DEMOC</t>
  </si>
  <si>
    <t xml:space="preserve"> 011671</t>
  </si>
  <si>
    <t>PAL-HURRIYAT FOR WEST BANK RES</t>
  </si>
  <si>
    <t xml:space="preserve"> 011672</t>
  </si>
  <si>
    <t>PAL-WOMAN AFFAIRS CENTERMAAN</t>
  </si>
  <si>
    <t xml:space="preserve"> 011673</t>
  </si>
  <si>
    <t>PAL-JERUSALEM COMMUNITY ADVOC</t>
  </si>
  <si>
    <t xml:space="preserve"> 011674</t>
  </si>
  <si>
    <t>PAL-CENTER FOR WOMEN RESEAR</t>
  </si>
  <si>
    <t xml:space="preserve"> 011675</t>
  </si>
  <si>
    <t>PAL-LEGAL CENTRER FOR FREEDOM</t>
  </si>
  <si>
    <t xml:space="preserve"> 011676</t>
  </si>
  <si>
    <t>PAL-COALITION FOR INTEGRITY</t>
  </si>
  <si>
    <t xml:space="preserve"> 011677</t>
  </si>
  <si>
    <t>PAL-YESH DIN VOLUNTEERS FOR HU</t>
  </si>
  <si>
    <t xml:space="preserve"> 011999</t>
  </si>
  <si>
    <t>PAL-TV Radio &amp; Social Media</t>
  </si>
  <si>
    <t xml:space="preserve">NGO National </t>
  </si>
  <si>
    <t xml:space="preserve"> 012000</t>
  </si>
  <si>
    <t>PAL-Glbal Dialogue &amp; Democracy</t>
  </si>
  <si>
    <t xml:space="preserve"> 012001</t>
  </si>
  <si>
    <t>PAL-Al-Aqsa University</t>
  </si>
  <si>
    <t xml:space="preserve"> 012002</t>
  </si>
  <si>
    <t>PAL-Football Association</t>
  </si>
  <si>
    <t xml:space="preserve"> 012003</t>
  </si>
  <si>
    <t>PAL-Olypic Committee</t>
  </si>
  <si>
    <t xml:space="preserve"> 012092</t>
  </si>
  <si>
    <t>PAL-Info Tech Assoc of Compani</t>
  </si>
  <si>
    <t xml:space="preserve"> 012119</t>
  </si>
  <si>
    <t>PAL-Burj AILuIqIuq</t>
  </si>
  <si>
    <t xml:space="preserve"> 012163</t>
  </si>
  <si>
    <t>PAL-HEBRON REHAB COMMITEE</t>
  </si>
  <si>
    <t xml:space="preserve"> 012197</t>
  </si>
  <si>
    <t>PAL-ALAZHAR UNIVERSITY</t>
  </si>
  <si>
    <t xml:space="preserve"> 012198</t>
  </si>
  <si>
    <t>PAL-ISLAMIC UNIVERSITY</t>
  </si>
  <si>
    <t xml:space="preserve"> 012199</t>
  </si>
  <si>
    <t>PAL-ANNAJAH NATIONAL UNIVERS</t>
  </si>
  <si>
    <t xml:space="preserve"> 012262</t>
  </si>
  <si>
    <t>PAL-RIWAQ Center</t>
  </si>
  <si>
    <t xml:space="preserve"> 012267</t>
  </si>
  <si>
    <t>PAL-Affordable Housing Inst.</t>
  </si>
  <si>
    <t xml:space="preserve">NGO INTERNATIONAL </t>
  </si>
  <si>
    <t xml:space="preserve"> 012351</t>
  </si>
  <si>
    <t>PAL-Negotiations Affairs Dep.</t>
  </si>
  <si>
    <t xml:space="preserve"> 012352</t>
  </si>
  <si>
    <t>PAL-Ministry of Jer. Affairs</t>
  </si>
  <si>
    <t xml:space="preserve"> 012395</t>
  </si>
  <si>
    <t>PAL-GGATEWAY FOR OUTS.INF.TECN</t>
  </si>
  <si>
    <t xml:space="preserve"> 012413</t>
  </si>
  <si>
    <t>PAL-B'Tselem</t>
  </si>
  <si>
    <t xml:space="preserve"> 012414</t>
  </si>
  <si>
    <t>PAL-Society of Saints Yves</t>
  </si>
  <si>
    <t xml:space="preserve"> 012415</t>
  </si>
  <si>
    <t>PAL-Breaking The silence</t>
  </si>
  <si>
    <t xml:space="preserve"> 012416</t>
  </si>
  <si>
    <t>PAL-Pal Working Women</t>
  </si>
  <si>
    <t xml:space="preserve"> 012417</t>
  </si>
  <si>
    <t>PAL-Bimkom</t>
  </si>
  <si>
    <t xml:space="preserve"> 012419</t>
  </si>
  <si>
    <t>PAL- Annahda Association</t>
  </si>
  <si>
    <t xml:space="preserve"> 012420</t>
  </si>
  <si>
    <t>PAL-Makassed Hospital</t>
  </si>
  <si>
    <t xml:space="preserve"> 012421</t>
  </si>
  <si>
    <t>PAL-Saint Joseph Hopital</t>
  </si>
  <si>
    <t xml:space="preserve"> 012422</t>
  </si>
  <si>
    <t>PAL-Princess Basma Center</t>
  </si>
  <si>
    <t xml:space="preserve"> 012423</t>
  </si>
  <si>
    <t>PAL-Star Mountain</t>
  </si>
  <si>
    <t xml:space="preserve"> 012536</t>
  </si>
  <si>
    <t>PAL-Fisheries Syndicate</t>
  </si>
  <si>
    <t xml:space="preserve"> 012537</t>
  </si>
  <si>
    <t>PAL-ABDEL SHAFI COM.HEALTH ASS</t>
  </si>
  <si>
    <t xml:space="preserve"> 012542</t>
  </si>
  <si>
    <t>PAL- Emleson Women Society</t>
  </si>
  <si>
    <t xml:space="preserve"> 012543</t>
  </si>
  <si>
    <t>PAL-Custody of the Holy Land</t>
  </si>
  <si>
    <t xml:space="preserve"> 012571</t>
  </si>
  <si>
    <t>PAL-Ahli Arab Hospital-Gaza</t>
  </si>
  <si>
    <t xml:space="preserve"> 012572</t>
  </si>
  <si>
    <t>PAL-Al Ataa Charitable Society</t>
  </si>
  <si>
    <t xml:space="preserve"> 012573</t>
  </si>
  <si>
    <t>PAL-College Science&amp;Technology</t>
  </si>
  <si>
    <t xml:space="preserve"> 012574</t>
  </si>
  <si>
    <t>PAL-El Karama Specialized Hosp</t>
  </si>
  <si>
    <t xml:space="preserve"> 012575</t>
  </si>
  <si>
    <t>PAL-Union of Health Work Comit</t>
  </si>
  <si>
    <t xml:space="preserve"> 012576</t>
  </si>
  <si>
    <t>PAL-Physical Handicapped Soci.</t>
  </si>
  <si>
    <t xml:space="preserve"> 012577</t>
  </si>
  <si>
    <t>PAL-Maghazi Comm. Reha. Societ</t>
  </si>
  <si>
    <t xml:space="preserve"> 012578</t>
  </si>
  <si>
    <t>PAL-Jabalia Rehabilitation Soc</t>
  </si>
  <si>
    <t xml:space="preserve"> 012580</t>
  </si>
  <si>
    <t>PAL-Palestinian Avenir for Chi</t>
  </si>
  <si>
    <t xml:space="preserve"> 012581</t>
  </si>
  <si>
    <t>PAL-Palestinian Phisical Thera</t>
  </si>
  <si>
    <t xml:space="preserve"> 012582</t>
  </si>
  <si>
    <t>PAL-Atfaluna Soc. for Deaf Chi</t>
  </si>
  <si>
    <t xml:space="preserve"> 012583</t>
  </si>
  <si>
    <t>PAL-Al-Basma Society</t>
  </si>
  <si>
    <t xml:space="preserve"> 012584</t>
  </si>
  <si>
    <t>PAL-Palestinian Businessmen As</t>
  </si>
  <si>
    <t xml:space="preserve"> 012813</t>
  </si>
  <si>
    <t>PAL-Ard Al Insan Palestinian</t>
  </si>
  <si>
    <t xml:space="preserve"> 012988</t>
  </si>
  <si>
    <t>PAL-BETHLEHEM MUNICIPALITY</t>
  </si>
  <si>
    <t xml:space="preserve"> 013019</t>
  </si>
  <si>
    <t>PAL-PALESTINE TRADE CENTER</t>
  </si>
  <si>
    <t xml:space="preserve"> 013044</t>
  </si>
  <si>
    <t>PAL-MINISTRY OF LABOUR</t>
  </si>
  <si>
    <t xml:space="preserve"> 013065</t>
  </si>
  <si>
    <t>PAL-SOCIETY OF WOMEN GRADUATES</t>
  </si>
  <si>
    <t xml:space="preserve"> 013075</t>
  </si>
  <si>
    <t>PAL-E-GOVERN. ACADEMY FOUND</t>
  </si>
  <si>
    <t xml:space="preserve"> 013101</t>
  </si>
  <si>
    <t>PAL-MEDICAL RELIEF SOCIETY</t>
  </si>
  <si>
    <t xml:space="preserve"> 013119</t>
  </si>
  <si>
    <t>PAL-DEMOCR. &amp; WORK.RIGHT CEN.S</t>
  </si>
  <si>
    <t xml:space="preserve"> 013148</t>
  </si>
  <si>
    <t>PAL-Economic and Social Dev.</t>
  </si>
  <si>
    <t xml:space="preserve"> 013149</t>
  </si>
  <si>
    <t>PAL-Talitha Kumi School</t>
  </si>
  <si>
    <t xml:space="preserve"> 013152</t>
  </si>
  <si>
    <t>PAL-PALEST.ECON.POLICY RES.IN</t>
  </si>
  <si>
    <t xml:space="preserve"> 013192</t>
  </si>
  <si>
    <t>PAL-OFFICE OF THE CABINET SECR</t>
  </si>
  <si>
    <t xml:space="preserve"> 013214</t>
  </si>
  <si>
    <t>PAL-Center Cultural Heritage</t>
  </si>
  <si>
    <t xml:space="preserve"> 013225</t>
  </si>
  <si>
    <t>PAL-COLLEGE DES FRERES</t>
  </si>
  <si>
    <t xml:space="preserve"> 013226</t>
  </si>
  <si>
    <t>PAL-BEIT HANINA L. CHARIT ASSO</t>
  </si>
  <si>
    <t xml:space="preserve"> 013227</t>
  </si>
  <si>
    <t>PAL-ALSARAYA CEN. COMM. SERVIC</t>
  </si>
  <si>
    <t xml:space="preserve"> 013228</t>
  </si>
  <si>
    <t>PAL-ALBUSTAN ASSOC. SILWAN</t>
  </si>
  <si>
    <t xml:space="preserve"> 013229</t>
  </si>
  <si>
    <t>PAL-PALES ACAD TALENT FOOTBALL</t>
  </si>
  <si>
    <t xml:space="preserve"> 013230</t>
  </si>
  <si>
    <t>PAL-ALTHOURI YOUTH CLUB SPORT</t>
  </si>
  <si>
    <t xml:space="preserve"> 013231</t>
  </si>
  <si>
    <t>PAL-MOUNT OF OLIVES CLUB</t>
  </si>
  <si>
    <t xml:space="preserve"> 013232</t>
  </si>
  <si>
    <t>PAL-ABNA ALQUDS CLUB</t>
  </si>
  <si>
    <t xml:space="preserve"> 013233</t>
  </si>
  <si>
    <t>PAL-ST. JOHN EYE HOSP. GROUP</t>
  </si>
  <si>
    <t xml:space="preserve"> 013234</t>
  </si>
  <si>
    <t>PAL-AUTISTIC CHILD CARE ORG</t>
  </si>
  <si>
    <t xml:space="preserve"> 013235</t>
  </si>
  <si>
    <t>PAL-Ministry of Health</t>
  </si>
  <si>
    <t xml:space="preserve"> 013245</t>
  </si>
  <si>
    <t>PAL-SHUFAT CHARITABLE SOCIETY</t>
  </si>
  <si>
    <t xml:space="preserve"> 013284</t>
  </si>
  <si>
    <t>PAL-JERUSALEM HIGH SCHOOL</t>
  </si>
  <si>
    <t xml:space="preserve"> 013285</t>
  </si>
  <si>
    <t>PAL-NAT.SOC.FOR.VISUAL HANDIC</t>
  </si>
  <si>
    <t xml:space="preserve"> 013286</t>
  </si>
  <si>
    <t>PAL-ARAB SOC. FOR PHYS.HANDIC</t>
  </si>
  <si>
    <t xml:space="preserve"> 013287</t>
  </si>
  <si>
    <t>PAL-ARAB BLIND ASSOC</t>
  </si>
  <si>
    <t xml:space="preserve"> 013288</t>
  </si>
  <si>
    <t>PAL-AL-QUDS ASSOCIATION</t>
  </si>
  <si>
    <t xml:space="preserve"> 013289</t>
  </si>
  <si>
    <t>PAL-DAR AL TIFIL ARABI</t>
  </si>
  <si>
    <t xml:space="preserve"> 013290</t>
  </si>
  <si>
    <t>PAL-SIRAJ AL QUDS SCHOOL</t>
  </si>
  <si>
    <t xml:space="preserve"> 013291</t>
  </si>
  <si>
    <t>PAL-RAWDAT ALZUHUR</t>
  </si>
  <si>
    <t xml:space="preserve"> 013295</t>
  </si>
  <si>
    <t>PAL-GAZA CULTUR. &amp; DEVEL.GROUP</t>
  </si>
  <si>
    <t xml:space="preserve"> 013329</t>
  </si>
  <si>
    <t>PAL-SABREEN ASS.FOR ARTIST.DEV</t>
  </si>
  <si>
    <t xml:space="preserve"> 013330</t>
  </si>
  <si>
    <t>PAL-ARAB COUNS.CENTER FOR EDUC</t>
  </si>
  <si>
    <t xml:space="preserve"> 013343</t>
  </si>
  <si>
    <t>PAL-FLOW FOR ENTREPREN.CONSULT</t>
  </si>
  <si>
    <t xml:space="preserve"> 013391</t>
  </si>
  <si>
    <t>PAL-HIGHER.COUNCIL.INNOV.EXCEL</t>
  </si>
  <si>
    <t xml:space="preserve"> 013406</t>
  </si>
  <si>
    <t>PAL-Ministry Tel &amp; Info Techno</t>
  </si>
  <si>
    <t xml:space="preserve"> 013509</t>
  </si>
  <si>
    <t>PAL-Cooperative Agriculturall</t>
  </si>
  <si>
    <t xml:space="preserve"> 013543</t>
  </si>
  <si>
    <t>PAL-MAAN TV Network</t>
  </si>
  <si>
    <t xml:space="preserve"> 013549</t>
  </si>
  <si>
    <t>PAL-FEDR.OF PALEST.CHAM.OF COM</t>
  </si>
  <si>
    <t xml:space="preserve"> 013645</t>
  </si>
  <si>
    <t>PAL-ARAB WORLD DEM.&amp;ELEC. MON.</t>
  </si>
  <si>
    <t xml:space="preserve"> 013690</t>
  </si>
  <si>
    <t>PAL-AL HAQ-LAW IN THE SER.OF M</t>
  </si>
  <si>
    <t xml:space="preserve"> 013691</t>
  </si>
  <si>
    <t>PAL-BISAN CENT.FOR RES.&amp;DEV.</t>
  </si>
  <si>
    <t xml:space="preserve"> 013692</t>
  </si>
  <si>
    <t>PAL-BEDOUNIS WITHOUT BOARDERS</t>
  </si>
  <si>
    <t xml:space="preserve"> 013693</t>
  </si>
  <si>
    <t>PAL-COMMUNITY MEDIA CENTER</t>
  </si>
  <si>
    <t xml:space="preserve"> 013694</t>
  </si>
  <si>
    <t>PAL-HUM.RIGHTS &amp; DEMOC.CENTER</t>
  </si>
  <si>
    <t xml:space="preserve"> 013695</t>
  </si>
  <si>
    <t>PAL-CEN.FOR INDEP.OF THE JUDIC</t>
  </si>
  <si>
    <t xml:space="preserve"> 013696</t>
  </si>
  <si>
    <t>PAL-PAL.INST.FOR COMM.&amp; DEVEL.</t>
  </si>
  <si>
    <t xml:space="preserve"> 013697</t>
  </si>
  <si>
    <t>PAL-CHARITABLY FUTURE SOCIETY</t>
  </si>
  <si>
    <t xml:space="preserve"> 013698</t>
  </si>
  <si>
    <t>PAL-ALBIREH CULTURE CLUB</t>
  </si>
  <si>
    <t xml:space="preserve"> 013699</t>
  </si>
  <si>
    <t>PAL-Un.of Palest.Women Com.</t>
  </si>
  <si>
    <t xml:space="preserve"> 013739</t>
  </si>
  <si>
    <t>PAL-PALEST.MONETARY AUTHORITY</t>
  </si>
  <si>
    <t xml:space="preserve"> 013777</t>
  </si>
  <si>
    <t>PAL-JRS.CENT.FOR SOC&amp;ECO.RIGHT</t>
  </si>
  <si>
    <t xml:space="preserve"> 013910</t>
  </si>
  <si>
    <t>PAL-PalestineGreenBuildCouncil</t>
  </si>
  <si>
    <t xml:space="preserve"> 014013</t>
  </si>
  <si>
    <t>PAL-Contractors Union Gaza</t>
  </si>
  <si>
    <t xml:space="preserve"> 014021</t>
  </si>
  <si>
    <t>PAL-PALESTINIAN ASSO.EMP.DEV</t>
  </si>
  <si>
    <t xml:space="preserve"> 014023</t>
  </si>
  <si>
    <t>PAL-THE WORKERS ADVICE CENTER</t>
  </si>
  <si>
    <t xml:space="preserve"> 014024</t>
  </si>
  <si>
    <t>PAL-THE CIVIL COMM.F.T.JUDI</t>
  </si>
  <si>
    <t xml:space="preserve"> 014074</t>
  </si>
  <si>
    <t>PAL-YABOUS CULTURAL CENTER</t>
  </si>
  <si>
    <t xml:space="preserve"> 014075</t>
  </si>
  <si>
    <t>PAL-NATIONAL COSERVATORY MUSIC</t>
  </si>
  <si>
    <t xml:space="preserve"> 014076</t>
  </si>
  <si>
    <t>PAL-PALESTIN. NATIONAL THEATRE</t>
  </si>
  <si>
    <t xml:space="preserve"> 014088</t>
  </si>
  <si>
    <t>PAL-PALEST.FOOD INDUSTR.UNION</t>
  </si>
  <si>
    <t xml:space="preserve"> 014097</t>
  </si>
  <si>
    <t>PAL-PAL.CENT.FOR POLICY&amp;SURV.R</t>
  </si>
  <si>
    <t xml:space="preserve"> 014106</t>
  </si>
  <si>
    <t>PAL-INFOR.TECH &amp; INNOV AT QUDS</t>
  </si>
  <si>
    <t xml:space="preserve"> 014107</t>
  </si>
  <si>
    <t>PAL-INTER. PEACE &amp; COOP. CENTE</t>
  </si>
  <si>
    <t xml:space="preserve"> 014148</t>
  </si>
  <si>
    <t>PAL-JRS ARAB CHAM COMM. &amp; INUS</t>
  </si>
  <si>
    <t xml:space="preserve"> 014149</t>
  </si>
  <si>
    <t>PAL-UNION JRS HOUSING ASSEMBLY</t>
  </si>
  <si>
    <t xml:space="preserve"> 014194</t>
  </si>
  <si>
    <t>PAL-Cent Elections Commission</t>
  </si>
  <si>
    <t xml:space="preserve"> 014195</t>
  </si>
  <si>
    <t>PAL-Sharia Lawyers association</t>
  </si>
  <si>
    <t xml:space="preserve"> 014304</t>
  </si>
  <si>
    <t>PAL-BETHLEHEM FAIR TRADE ARTIS</t>
  </si>
  <si>
    <t xml:space="preserve"> 014315</t>
  </si>
  <si>
    <t>PAL-HEBRON CHAMB.OF COMM.&amp;IND.</t>
  </si>
  <si>
    <t xml:space="preserve"> 014340</t>
  </si>
  <si>
    <t>PAL-Isra Specialized Hospital</t>
  </si>
  <si>
    <t xml:space="preserve"> 014342</t>
  </si>
  <si>
    <t>PAL-UNION OF COOPERATIVE ASSOC</t>
  </si>
  <si>
    <t xml:space="preserve"> 014382</t>
  </si>
  <si>
    <t>PAL-SHUFAT VILLAGE COUNCIL</t>
  </si>
  <si>
    <t xml:space="preserve"> 014406</t>
  </si>
  <si>
    <t>PAL-Union of Health Care Commi</t>
  </si>
  <si>
    <t xml:space="preserve"> 014423</t>
  </si>
  <si>
    <t>PAL-MINISTRY OF JUSTICE</t>
  </si>
  <si>
    <t xml:space="preserve"> 014425</t>
  </si>
  <si>
    <t>PAL-small enterprise center</t>
  </si>
  <si>
    <t xml:space="preserve"> 014568</t>
  </si>
  <si>
    <t>PAL-AGENCY TECH. COOP. &amp; DEVEL</t>
  </si>
  <si>
    <t xml:space="preserve"> 014639</t>
  </si>
  <si>
    <t>PAL-Min. of Finance</t>
  </si>
  <si>
    <t xml:space="preserve"> 014872</t>
  </si>
  <si>
    <t>PAL-Pal. Federation of Garment</t>
  </si>
  <si>
    <t xml:space="preserve"> 014873</t>
  </si>
  <si>
    <t>PAL-Women Center-Shufat Camp</t>
  </si>
  <si>
    <t xml:space="preserve"> 014890</t>
  </si>
  <si>
    <t>PAL-PALESTINIAN VISION ORGANIZ</t>
  </si>
  <si>
    <t xml:space="preserve"> 014945</t>
  </si>
  <si>
    <t>PAL-Zeina Association-Coopera</t>
  </si>
  <si>
    <t xml:space="preserve"> 014946</t>
  </si>
  <si>
    <t>PAL-Early Childhood Education</t>
  </si>
  <si>
    <t xml:space="preserve"> 014972</t>
  </si>
  <si>
    <t>PAL-PALESTINE MAINTNANCE FUND</t>
  </si>
  <si>
    <t xml:space="preserve"> 014982</t>
  </si>
  <si>
    <t>PAL-North Gaza Chamber-Commerc</t>
  </si>
  <si>
    <t xml:space="preserve"> 015016</t>
  </si>
  <si>
    <t>PAL-SUPEREME JUDGE DEPARTMENT</t>
  </si>
  <si>
    <t xml:space="preserve"> 015020</t>
  </si>
  <si>
    <t>PAL-PAL.PUBLIC FINANCE INST.</t>
  </si>
  <si>
    <t xml:space="preserve"> 015039</t>
  </si>
  <si>
    <t>PAL-HEBRON MUNCIPALITY</t>
  </si>
  <si>
    <t xml:space="preserve"> 015040</t>
  </si>
  <si>
    <t>PAL-PALESTINIAN WATER AUTHORIT</t>
  </si>
  <si>
    <t xml:space="preserve"> 015071</t>
  </si>
  <si>
    <t>PAL-MINIS. PUBLIC WORKS &amp; HOU</t>
  </si>
  <si>
    <t xml:space="preserve"> 015080</t>
  </si>
  <si>
    <t>PAL-High Judicial council</t>
  </si>
  <si>
    <t xml:space="preserve"> 015093</t>
  </si>
  <si>
    <t>PAL-Bureij Society Community</t>
  </si>
  <si>
    <t xml:space="preserve"> 015094</t>
  </si>
  <si>
    <t>PAL-Alrowad Palestinian Youth</t>
  </si>
  <si>
    <t xml:space="preserve"> 015095</t>
  </si>
  <si>
    <t>PAL-Life and hope Association</t>
  </si>
  <si>
    <t xml:space="preserve"> 015103</t>
  </si>
  <si>
    <t>PAL-Kotof El Khair Association</t>
  </si>
  <si>
    <t xml:space="preserve"> 015120</t>
  </si>
  <si>
    <t>PAL-INVSTPROMTINDSESTAGNCY</t>
  </si>
  <si>
    <t xml:space="preserve"> 015201</t>
  </si>
  <si>
    <t>PAL-FARES ARAB DEVE &amp; CHARITY</t>
  </si>
  <si>
    <t xml:space="preserve"> 015202</t>
  </si>
  <si>
    <t>PAL-FUTURE DEVELOPMENT COMMISI</t>
  </si>
  <si>
    <t xml:space="preserve"> 015203</t>
  </si>
  <si>
    <t>PAL-PALESTINIAN ALUMINUM INDUS</t>
  </si>
  <si>
    <t xml:space="preserve"> 015204</t>
  </si>
  <si>
    <t>PAL-PALESTINAN WOOD &amp; FURNITUR</t>
  </si>
  <si>
    <t xml:space="preserve"> 015228</t>
  </si>
  <si>
    <t>PAL-MINISTRY TOURISM &amp; ANTIQUI</t>
  </si>
  <si>
    <t xml:space="preserve"> 015294</t>
  </si>
  <si>
    <t>PAL-Greek orthodox Patriarchat</t>
  </si>
  <si>
    <t xml:space="preserve"> 015337</t>
  </si>
  <si>
    <t>PAL-ST.AUDIT ADM.CONTROL BUREU</t>
  </si>
  <si>
    <t xml:space="preserve"> 016030</t>
  </si>
  <si>
    <t>PAL-GENER.DIRECT.OF PROPER.TAX</t>
  </si>
  <si>
    <t xml:space="preserve"> 016031</t>
  </si>
  <si>
    <t>PAL-NATIONAL TRAINING COMM.</t>
  </si>
  <si>
    <t xml:space="preserve"> 016067</t>
  </si>
  <si>
    <t>PAL-THE PALEST.LAND AUTHORITY</t>
  </si>
  <si>
    <t xml:space="preserve"> 016166</t>
  </si>
  <si>
    <t>PAL-ArabDevelopmentSociety</t>
  </si>
  <si>
    <t xml:space="preserve"> 016196</t>
  </si>
  <si>
    <t>PAL-PALEST.TECH.UNIV.-KADOORIE</t>
  </si>
  <si>
    <t xml:space="preserve"> 016209</t>
  </si>
  <si>
    <t>PAL-SAMOU'MUNICIPALITY</t>
  </si>
  <si>
    <t xml:space="preserve"> 016210</t>
  </si>
  <si>
    <t>PAL-JABA'MUNICIPALITY</t>
  </si>
  <si>
    <t xml:space="preserve"> 016213</t>
  </si>
  <si>
    <t>PAL-ARAB AMERICAN UNIVERSITY</t>
  </si>
  <si>
    <t xml:space="preserve"> 016288</t>
  </si>
  <si>
    <t>PAL-PALESTINIAN JUDICIAL INSTI</t>
  </si>
  <si>
    <t xml:space="preserve"> 016333</t>
  </si>
  <si>
    <t>PAL-BRUQIN MUNICIPALITY</t>
  </si>
  <si>
    <t xml:space="preserve"> 016334</t>
  </si>
  <si>
    <t>PAL-EIN AL-BAYDA VILLAGE</t>
  </si>
  <si>
    <t xml:space="preserve">Government </t>
  </si>
  <si>
    <t xml:space="preserve"> 016335</t>
  </si>
  <si>
    <t>PAL-Azhar Palestine for Child</t>
  </si>
  <si>
    <t xml:space="preserve"> 016336</t>
  </si>
  <si>
    <t>PAL-Altawasol Forum Society</t>
  </si>
  <si>
    <t xml:space="preserve"> 016337</t>
  </si>
  <si>
    <t>PAL-Forsan Al-Ghad Youth</t>
  </si>
  <si>
    <t xml:space="preserve"> 016338</t>
  </si>
  <si>
    <t>PAL-Asso. for Reh.of Disabled</t>
  </si>
  <si>
    <t xml:space="preserve"> 016339</t>
  </si>
  <si>
    <t>PAL-Spark for Innovation</t>
  </si>
  <si>
    <t xml:space="preserve"> 016340</t>
  </si>
  <si>
    <t>PAL-Zawida Youth Sports Club</t>
  </si>
  <si>
    <t xml:space="preserve"> 016341</t>
  </si>
  <si>
    <t>PAL-Al Nasser Al Arabi Club</t>
  </si>
  <si>
    <t xml:space="preserve"> 016342</t>
  </si>
  <si>
    <t>PAL-Deir Al-Balah Youth Club</t>
  </si>
  <si>
    <t xml:space="preserve"> 016343</t>
  </si>
  <si>
    <t>PAL-Briall.Tomor.- Homes Sons</t>
  </si>
  <si>
    <t xml:space="preserve"> 016344</t>
  </si>
  <si>
    <t>PAL-Khan Younis Union Club</t>
  </si>
  <si>
    <t xml:space="preserve"> 016555</t>
  </si>
  <si>
    <t>PAL-DEIR ALGHUSOON MUNCIPALITY</t>
  </si>
  <si>
    <t xml:space="preserve"> 016556</t>
  </si>
  <si>
    <t>PAL-ATTIL MUNCIPALITY</t>
  </si>
  <si>
    <t xml:space="preserve"> 016557</t>
  </si>
  <si>
    <t>PAL-PALESTIN. NAT. SCH OF ADMI</t>
  </si>
  <si>
    <t xml:space="preserve"> 016587</t>
  </si>
  <si>
    <t>PAL-DAR ALKALIMA UNIVERSITY</t>
  </si>
  <si>
    <t xml:space="preserve"> 016591</t>
  </si>
  <si>
    <t>PAL-RAMALLAH MUNICIPALITY</t>
  </si>
  <si>
    <t xml:space="preserve"> 016592</t>
  </si>
  <si>
    <t>PAL-MINISTRY-AWQAF+ISLAMICAFFA</t>
  </si>
  <si>
    <t xml:space="preserve"> 016799</t>
  </si>
  <si>
    <t>PAL-ARAVA Institute for Enviro</t>
  </si>
  <si>
    <t xml:space="preserve"> 016919</t>
  </si>
  <si>
    <t>PAL-PAL.NON-GOV.ORG.NETW.-GAZA</t>
  </si>
  <si>
    <t xml:space="preserve"> 017010</t>
  </si>
  <si>
    <t>PAL-THE JOINT SERVICE COUNCIL</t>
  </si>
  <si>
    <t xml:space="preserve"> 017019</t>
  </si>
  <si>
    <t>PAL-WADI AL-JOUZE CHAR. ASSOC.</t>
  </si>
  <si>
    <t xml:space="preserve"> 017075</t>
  </si>
  <si>
    <t>PAL-UNIVERSITÀ IUAV DI VENEZIA</t>
  </si>
  <si>
    <t xml:space="preserve"> 017108</t>
  </si>
  <si>
    <t>PAL-Holyland Handicrafts Co</t>
  </si>
  <si>
    <t xml:space="preserve"> 017124</t>
  </si>
  <si>
    <t>PAL-Ministry of Agriculture</t>
  </si>
  <si>
    <t xml:space="preserve"> 017143</t>
  </si>
  <si>
    <t>PAL-Federation of Paper-PFPPI</t>
  </si>
  <si>
    <t xml:space="preserve"> 017161</t>
  </si>
  <si>
    <t>PAL-GENER.ADM.FOR BORD.&amp;CROSS</t>
  </si>
  <si>
    <t xml:space="preserve"> 017167</t>
  </si>
  <si>
    <t>PAL-Masafer Yatta Cl Char Ass</t>
  </si>
  <si>
    <t xml:space="preserve"> 017168</t>
  </si>
  <si>
    <t>PAL-Beth Arab Soc. for Rehab.</t>
  </si>
  <si>
    <t xml:space="preserve"> 017169</t>
  </si>
  <si>
    <t>PAL-Jer Aut. Child Care Org</t>
  </si>
  <si>
    <t xml:space="preserve"> 017170</t>
  </si>
  <si>
    <t>PAL-Saint Dimitri School</t>
  </si>
  <si>
    <t xml:space="preserve"> 017171</t>
  </si>
  <si>
    <t>PAL-The Refugees Affairs Dept</t>
  </si>
  <si>
    <t xml:space="preserve"> 017172</t>
  </si>
  <si>
    <t>PAL-Pal Cen for Comm Dev Stra.</t>
  </si>
  <si>
    <t xml:space="preserve"> 017176</t>
  </si>
  <si>
    <t>PAL-MAAN WORKERS ASSOCIATION R.A.</t>
  </si>
  <si>
    <t xml:space="preserve"> 017203</t>
  </si>
  <si>
    <t>PAL-MINISTRY OF INTERIOR</t>
  </si>
  <si>
    <t xml:space="preserve"> 017210</t>
  </si>
  <si>
    <t>PAL-Local Communities Org</t>
  </si>
  <si>
    <t xml:space="preserve"> 015006</t>
  </si>
  <si>
    <t>PAL_INTERNATIOAL LEGAL FOUND.</t>
  </si>
  <si>
    <t xml:space="preserve"> 017420</t>
  </si>
  <si>
    <t>PAL_The Refugee Affairs Department of the PLO (DORA)</t>
  </si>
  <si>
    <t xml:space="preserve"> 017434</t>
  </si>
  <si>
    <t>PAL_The Ministry of Telecommunications and Digital Economy</t>
  </si>
  <si>
    <t xml:space="preserve"> 017497</t>
  </si>
  <si>
    <t>PAL_Rural Women’s Development Society (RWDS)</t>
  </si>
  <si>
    <t xml:space="preserve"> 017498</t>
  </si>
  <si>
    <t>PAL_Tubas Chamber of Commerce, Industry, and Agriculture (TCCIA)</t>
  </si>
  <si>
    <t xml:space="preserve"> 017499</t>
  </si>
  <si>
    <t>PAL_Palestinian Youth Union (PYU)</t>
  </si>
  <si>
    <t xml:space="preserve"> 017507</t>
  </si>
  <si>
    <t>PAL_The Official Gazette Bureau</t>
  </si>
  <si>
    <t xml:space="preserve"> 017520</t>
  </si>
  <si>
    <t>PAL_The Governorate of Tulkarm</t>
  </si>
  <si>
    <t xml:space="preserve"> 017660</t>
  </si>
  <si>
    <t>PAL_Public Committee Against Torture in Israel (PCATI)</t>
  </si>
  <si>
    <t xml:space="preserve"> 017661</t>
  </si>
  <si>
    <t>PAL_Women's Studies Centre (WSC)</t>
  </si>
  <si>
    <t xml:space="preserve"> 017663</t>
  </si>
  <si>
    <t>PAL_Palestinian Industrial Estates and Free Zones Authority (PIEFZA)</t>
  </si>
  <si>
    <t xml:space="preserve"> 017727</t>
  </si>
  <si>
    <t>PAL_Nafs for Empowerment for Psychological and Social Counselling</t>
  </si>
  <si>
    <t xml:space="preserve"> 017728</t>
  </si>
  <si>
    <t>PAL_Psychosocial Counseling Center for Women (PSCCW)</t>
  </si>
  <si>
    <t xml:space="preserve"> 017975</t>
  </si>
  <si>
    <t>PAL_Environmental Quality Authority (EQA)</t>
  </si>
  <si>
    <t xml:space="preserve"> 017986</t>
  </si>
  <si>
    <t>PAL_Ministry of Education and Higher Education (MoEHE)</t>
  </si>
  <si>
    <t xml:space="preserve"> 018009</t>
  </si>
  <si>
    <t>PAL_Qarawa Bani Hassan Sports Club</t>
  </si>
  <si>
    <t xml:space="preserve"> 018062</t>
  </si>
  <si>
    <t>PAL_THE COOPERATIVE WORK AGENCY</t>
  </si>
  <si>
    <t xml:space="preserve"> 018095</t>
  </si>
  <si>
    <t>PAL_Ministry of National Economy (MoNE)</t>
  </si>
  <si>
    <t xml:space="preserve"> 018113</t>
  </si>
  <si>
    <t>PAL_Cooperative Work Agency (CWA)</t>
  </si>
  <si>
    <t xml:space="preserve"> 018143</t>
  </si>
  <si>
    <t>PAL_Ministry of Local Government (MoLG)</t>
  </si>
  <si>
    <t xml:space="preserve"> 001981</t>
  </si>
  <si>
    <t>UNDP</t>
  </si>
  <si>
    <t xml:space="preserve">UNDP_L2 </t>
  </si>
  <si>
    <t>Multiple Parties / TBC</t>
  </si>
  <si>
    <t>Activity 2.1.1:</t>
  </si>
  <si>
    <t>Support the implementation of [emergency employment through cash for work for water yards rehabilitation], including coordination, stakeholder engagement, technical assistance, operational support, and knowledge-sharing activities, as applicable. programme priorities, identify scalable climate adaptation solutions to address climate induced displacement and reduce displacement risks.</t>
  </si>
  <si>
    <t>Project Title: Relief, Employment and Vital Infrastructure for the Vulnerable in Emergencies (REVIVE II)</t>
  </si>
  <si>
    <t>Project ID: 01004536</t>
  </si>
  <si>
    <t>Duration: 12 months (15 July 2026-14 July 2027)</t>
  </si>
  <si>
    <t xml:space="preserve">PLANNED ACTIVITIES                                    
</t>
  </si>
  <si>
    <t>TIMEFRAME</t>
  </si>
  <si>
    <t>Responsible Party</t>
  </si>
  <si>
    <t>Q3</t>
  </si>
  <si>
    <t>Q4</t>
  </si>
  <si>
    <t>Q1</t>
  </si>
  <si>
    <t>Q2</t>
  </si>
  <si>
    <t>Budget Description (examples)</t>
  </si>
  <si>
    <t>Budget Account</t>
  </si>
  <si>
    <t>Cost Center/Dept ID</t>
  </si>
  <si>
    <t>Total</t>
  </si>
  <si>
    <t>Pillar I</t>
  </si>
  <si>
    <t xml:space="preserve">Output 1: Improved access to critical infrastructure and essential services </t>
  </si>
  <si>
    <r>
      <t xml:space="preserve">Activity 1.1: </t>
    </r>
    <r>
      <rPr>
        <sz val="9"/>
        <color rgb="FFFF0000"/>
        <rFont val="Cambria (Headings)"/>
      </rPr>
      <t>Community infrastructure and essential services</t>
    </r>
    <r>
      <rPr>
        <sz val="9"/>
        <color rgb="FF000000"/>
        <rFont val="Cambria"/>
        <family val="1"/>
        <scheme val="major"/>
      </rPr>
      <t xml:space="preserve">
Indicator: Number of people benefiting from improved access to community infrastructure facilities and utility networks
Target: 500000 (direct) (100000 - indirect)</t>
    </r>
  </si>
  <si>
    <r>
      <rPr>
        <sz val="9"/>
        <color rgb="FF000000"/>
        <rFont val="Cambria"/>
        <family val="1"/>
        <scheme val="major"/>
      </rPr>
      <t>Activity 1.1.1:
Support the implementation of [</t>
    </r>
    <r>
      <rPr>
        <sz val="9"/>
        <color rgb="FFFF0000"/>
        <rFont val="Cambria"/>
        <family val="1"/>
      </rPr>
      <t>20 water irrigation sources with solarization</t>
    </r>
    <r>
      <rPr>
        <sz val="9"/>
        <color rgb="FF000000"/>
        <rFont val="Cambria"/>
        <family val="1"/>
        <scheme val="major"/>
      </rPr>
      <t xml:space="preserve">], including coordination, stakeholder engagement, technical assistance, operational support, and knowledge-sharing activities, as applicable. programme priorities, identify scalable climate adaptation solutions to address climate induced displacement and reduce displacement risks. </t>
    </r>
  </si>
  <si>
    <t xml:space="preserve"> Labour Cost - International Personnel Services Agreement</t>
  </si>
  <si>
    <t>Labour Cost - National Personnel Services Agreement</t>
  </si>
  <si>
    <t>Rental&amp;Ment and other equip</t>
  </si>
  <si>
    <t>Facilities and Administration (GMS)</t>
  </si>
  <si>
    <t>Activity 1.1.1 Subtotal</t>
  </si>
  <si>
    <r>
      <t xml:space="preserve">Activity 1,2: </t>
    </r>
    <r>
      <rPr>
        <sz val="9"/>
        <color rgb="FFFF0000"/>
        <rFont val="Cambria (Headings)"/>
      </rPr>
      <t>Debris, EO and solid waste management</t>
    </r>
    <r>
      <rPr>
        <sz val="9"/>
        <color rgb="FF000000"/>
        <rFont val="Cambria"/>
        <family val="1"/>
        <scheme val="major"/>
      </rPr>
      <t xml:space="preserve">
Indicator: Number of people benefiting from area cleared
Target: 200000 (direct) (50,000 - indirect)</t>
    </r>
  </si>
  <si>
    <r>
      <rPr>
        <sz val="9"/>
        <color rgb="FF000000"/>
        <rFont val="Cambria"/>
        <family val="1"/>
        <scheme val="major"/>
      </rPr>
      <t>Activity 1.1.2:
Support the implementation of [</t>
    </r>
    <r>
      <rPr>
        <sz val="9"/>
        <color rgb="FFFF0000"/>
        <rFont val="Cambria"/>
        <family val="1"/>
      </rPr>
      <t>debris/mine risk clearance in 20 water irrigation sites</t>
    </r>
    <r>
      <rPr>
        <sz val="9"/>
        <color rgb="FF000000"/>
        <rFont val="Cambria"/>
        <family val="1"/>
        <scheme val="major"/>
      </rPr>
      <t>], including coordination, stakeholder engagement, technical assistance, operational support, and knowledge-sharing activities, as applicable.</t>
    </r>
  </si>
  <si>
    <t>Activity 1.1.2 Subtotal</t>
  </si>
  <si>
    <t>Activity 1.1 Subtotal</t>
  </si>
  <si>
    <t>Total Output  1</t>
  </si>
  <si>
    <t xml:space="preserve">Output 2: Restored livelihoods and revitalized local economies </t>
  </si>
  <si>
    <r>
      <t>Activity 2.1:</t>
    </r>
    <r>
      <rPr>
        <sz val="9"/>
        <color rgb="FFFF0000"/>
        <rFont val="Cambria (Headings)"/>
      </rPr>
      <t xml:space="preserve"> Emergency Employment and income support</t>
    </r>
    <r>
      <rPr>
        <sz val="9"/>
        <color rgb="FF000000"/>
        <rFont val="Cambria"/>
        <family val="1"/>
        <scheme val="major"/>
      </rPr>
      <t xml:space="preserve">
Indicator: Number of people benefiting from emergency employment and/or cash based assistance
Target: 1000 (direct) (6000 - indirect)</t>
    </r>
  </si>
  <si>
    <r>
      <rPr>
        <sz val="9"/>
        <color rgb="FF000000"/>
        <rFont val="Cambria"/>
        <family val="1"/>
        <scheme val="major"/>
      </rPr>
      <t>Activity 2.1.1:
Support the implementation of [</t>
    </r>
    <r>
      <rPr>
        <sz val="9"/>
        <color rgb="FFFF0000"/>
        <rFont val="Cambria"/>
        <family val="1"/>
      </rPr>
      <t>emergency employment through cash for work for water yards rehabilitation</t>
    </r>
    <r>
      <rPr>
        <sz val="9"/>
        <color rgb="FF000000"/>
        <rFont val="Cambria"/>
        <family val="1"/>
        <scheme val="major"/>
      </rPr>
      <t xml:space="preserve">], including coordination, stakeholder engagement, technical assistance, operational support, and knowledge-sharing activities, as applicable. programme priorities, identify scalable climate adaptation solutions to address climate induced displacement and reduce displacement risks. </t>
    </r>
  </si>
  <si>
    <t>Activity 2.1.1 Subtotal</t>
  </si>
  <si>
    <r>
      <t xml:space="preserve">Activity 2.2: </t>
    </r>
    <r>
      <rPr>
        <sz val="9"/>
        <color rgb="FFFF0000"/>
        <rFont val="Cambria (Headings)"/>
      </rPr>
      <t>Livelihoods, markets and productive assets</t>
    </r>
    <r>
      <rPr>
        <sz val="9"/>
        <color rgb="FF000000"/>
        <rFont val="Cambria"/>
        <family val="1"/>
        <scheme val="major"/>
      </rPr>
      <t xml:space="preserve">
Indicator: Number of productive assets and market restored to operation
Target: 10 (direct) (500 - indirect)</t>
    </r>
  </si>
  <si>
    <r>
      <t>Activity 2.1.2:
Support the implementation of [</t>
    </r>
    <r>
      <rPr>
        <sz val="9"/>
        <color rgb="FFFF0000"/>
        <rFont val="Cambria (Headings)"/>
      </rPr>
      <t>provision of 10 processing units to support the values chains to small scale farmers</t>
    </r>
    <r>
      <rPr>
        <sz val="9"/>
        <color theme="1"/>
        <rFont val="Cambria"/>
        <family val="1"/>
        <scheme val="major"/>
      </rPr>
      <t>], including coordination, stakeholder engagement, technical assistance, operational support, and knowledge-sharing activities, as applicable.</t>
    </r>
  </si>
  <si>
    <t>Labour Cost – IP Staff</t>
  </si>
  <si>
    <t>Activity 2.1.2 Subtotal</t>
  </si>
  <si>
    <t>Activity 2.1 Subtotal</t>
  </si>
  <si>
    <t>Total Output  2</t>
  </si>
  <si>
    <t xml:space="preserve">Output 3: Strengthened local capacities for early recovery planning </t>
  </si>
  <si>
    <r>
      <rPr>
        <sz val="9"/>
        <color rgb="FF000000"/>
        <rFont val="Cambria"/>
        <scheme val="major"/>
      </rPr>
      <t>Activity 3.1:[</t>
    </r>
    <r>
      <rPr>
        <sz val="9"/>
        <color rgb="FFFF0000"/>
        <rFont val="Cambria"/>
      </rPr>
      <t>Local Capacity Development</t>
    </r>
    <r>
      <rPr>
        <sz val="9"/>
        <color rgb="FF000000"/>
        <rFont val="Cambria"/>
        <scheme val="major"/>
      </rPr>
      <t>]
Indicator: [Number of men, women and youth Participating in Community Engagement process for early recovery planning and implementation].
Target: 9000 (direct) 4000 Men 3000 women and 2000 youth, (100,000-indirect)
Indicator: [Number of local officials and community leaders with strengthened capacities to support humanitarian response and recovery efforts] 
Target: [90-direct] 40 men 30 women and 20 youth, [450-indirect]</t>
    </r>
  </si>
  <si>
    <r>
      <t xml:space="preserve">Activity 3.1.1:
Support the implementation of [ </t>
    </r>
    <r>
      <rPr>
        <sz val="9"/>
        <color rgb="FFFF0000"/>
        <rFont val="Cambria (Headings)"/>
      </rPr>
      <t>Community engagement for early recovery</t>
    </r>
    <r>
      <rPr>
        <sz val="9"/>
        <rFont val="Cambria"/>
        <family val="1"/>
        <scheme val="major"/>
      </rPr>
      <t xml:space="preserve">], including coordination, stakeholder engagement, technical assistance, operational support, and knowledge-sharing activities, as applicable. programme priorities, identify scalable climate adaptation solutions to address climate induced displacement and reduce displacement risks. </t>
    </r>
  </si>
  <si>
    <t>UN volunteers</t>
  </si>
  <si>
    <t>Activity 3.1.1 Subtotal</t>
  </si>
  <si>
    <r>
      <t>Activity 3.1.2: Support the implementation of [</t>
    </r>
    <r>
      <rPr>
        <sz val="9"/>
        <color rgb="FFFF0000"/>
        <rFont val="Cambria (Headings)"/>
      </rPr>
      <t xml:space="preserve"> Local governance and public service</t>
    </r>
    <r>
      <rPr>
        <sz val="9"/>
        <color theme="1"/>
        <rFont val="Cambria"/>
        <family val="1"/>
        <scheme val="major"/>
      </rPr>
      <t>s], including coordination, stakeholder engagement, technical assistance, operational support, and knowledge-sharing activities, as applicable.</t>
    </r>
  </si>
  <si>
    <t>Grant</t>
  </si>
  <si>
    <t>Activity 3.1.2 Subtotal</t>
  </si>
  <si>
    <t>Activity 3.1 Subtotal</t>
  </si>
  <si>
    <t>Total Output  3</t>
  </si>
  <si>
    <t>Pillar II: Operational Support, Visibility and Risk Management</t>
  </si>
  <si>
    <t xml:space="preserve">CO Communication </t>
  </si>
  <si>
    <t xml:space="preserve">Monitoring and Evaluation </t>
  </si>
  <si>
    <t>Activity [] Subtotal</t>
  </si>
  <si>
    <t>CO DES (3%)</t>
  </si>
  <si>
    <t>Salary &amp; Post Adj Cost-IP Staff</t>
  </si>
  <si>
    <t>Total Operational Support, Visibility and Risk Management</t>
  </si>
  <si>
    <t>Total GMS</t>
  </si>
  <si>
    <t>Grand Total</t>
  </si>
  <si>
    <t>ACF</t>
  </si>
  <si>
    <t>SI</t>
  </si>
  <si>
    <t>PROCUREMENT PLAN - REVIVE II</t>
  </si>
  <si>
    <t>Item No.</t>
  </si>
  <si>
    <t>Procurement Category</t>
  </si>
  <si>
    <t>Non - Standard / Specialist Item (Does not fit into Categories Listed)</t>
  </si>
  <si>
    <t>Estimated Quantity</t>
  </si>
  <si>
    <t>Allocated Amount / Budget</t>
  </si>
  <si>
    <t>Reference to Project Activity</t>
  </si>
  <si>
    <t>Procurement method</t>
  </si>
  <si>
    <t>Date: Commencement of procurement action</t>
  </si>
  <si>
    <t>Date: Completion of procurement action</t>
  </si>
  <si>
    <t>Date: Contract start</t>
  </si>
  <si>
    <t>Date: Desired Delivery</t>
  </si>
  <si>
    <t>Preferred Place of Delivery</t>
  </si>
  <si>
    <t>Remarks</t>
  </si>
  <si>
    <t>1</t>
  </si>
  <si>
    <r>
      <rPr>
        <b/>
        <sz val="11"/>
        <color indexed="8"/>
        <rFont val="Calibri"/>
        <family val="2"/>
      </rPr>
      <t xml:space="preserve"> ICT</t>
    </r>
    <r>
      <rPr>
        <sz val="11"/>
        <color indexed="8"/>
        <rFont val="Calibri"/>
        <family val="2"/>
      </rPr>
      <t xml:space="preserve"> </t>
    </r>
  </si>
  <si>
    <t>Sub-Total 1 (USD)</t>
  </si>
  <si>
    <t>2</t>
  </si>
  <si>
    <t xml:space="preserve">Office Supplies &amp; Facilities </t>
  </si>
  <si>
    <t>Sub-Total 2 (USD)</t>
  </si>
  <si>
    <t>3</t>
  </si>
  <si>
    <t xml:space="preserve">Energy, Utilities &amp; Fleet </t>
  </si>
  <si>
    <t>3.1</t>
  </si>
  <si>
    <t>Provision of Processing Units for Selected Value Chain in White Nile</t>
  </si>
  <si>
    <t>2.1.2</t>
  </si>
  <si>
    <t>ITB</t>
  </si>
  <si>
    <t>Sub-Total 3 (USD)</t>
  </si>
  <si>
    <t>4</t>
  </si>
  <si>
    <t>Civil Works</t>
  </si>
  <si>
    <t>4.1</t>
  </si>
  <si>
    <t xml:space="preserve"> Solarized Water source rehabilitation </t>
  </si>
  <si>
    <t>1.1.1</t>
  </si>
  <si>
    <t>5</t>
  </si>
  <si>
    <t>Individual consultants (ICs)</t>
  </si>
  <si>
    <t>5.1</t>
  </si>
  <si>
    <t>Third Party Contractors (Civil and Livelihoods)</t>
  </si>
  <si>
    <t>LTA</t>
  </si>
  <si>
    <t>Sub-Total 5 (USD)</t>
  </si>
  <si>
    <t>UNDP/ APRP</t>
  </si>
  <si>
    <t>4.2</t>
  </si>
  <si>
    <t>4.3</t>
  </si>
  <si>
    <t>4.4</t>
  </si>
  <si>
    <t>4.5</t>
  </si>
  <si>
    <t>Communications Work Plan: REVIVE II</t>
  </si>
  <si>
    <t>Activity Category</t>
  </si>
  <si>
    <t>Communication Activities / Events</t>
  </si>
  <si>
    <t>Estimated Budget (USD)</t>
  </si>
  <si>
    <t>Responsible Person</t>
  </si>
  <si>
    <t xml:space="preserve">Indicators of Success </t>
  </si>
  <si>
    <t>Column1</t>
  </si>
  <si>
    <t>Column2</t>
  </si>
  <si>
    <t>Column3</t>
  </si>
  <si>
    <t>Column4</t>
  </si>
  <si>
    <t>Column5</t>
  </si>
  <si>
    <t>Column6</t>
  </si>
  <si>
    <t>Column7</t>
  </si>
  <si>
    <t>Column8</t>
  </si>
  <si>
    <t>Column9</t>
  </si>
  <si>
    <t>Media engagement</t>
  </si>
  <si>
    <t>Annual visits to project sites for donor and media, whether in person or virtual</t>
  </si>
  <si>
    <t>Head of Comms</t>
  </si>
  <si>
    <t>2 visits conducted</t>
  </si>
  <si>
    <t>Media briefings and press releases</t>
  </si>
  <si>
    <t>Project launch/end press releases issued/media coverage</t>
  </si>
  <si>
    <t>Project branding</t>
  </si>
  <si>
    <t>Production of Republic of Korea branded visibility materials</t>
  </si>
  <si>
    <t>No. of Materials produced and installed</t>
  </si>
  <si>
    <t>Site branding, caps, t-shirts, stickers</t>
  </si>
  <si>
    <t>No. of Branded materials visible at projects sites and in reports and stories</t>
  </si>
  <si>
    <t>Communications Support</t>
  </si>
  <si>
    <t>Photography, video, graphic design and writing/editing, including in Korean</t>
  </si>
  <si>
    <t>Production of high-quality video, photo and text content</t>
  </si>
  <si>
    <t>Site visits with photosgrapher/videographer</t>
  </si>
  <si>
    <t>Database of photos and video created</t>
  </si>
  <si>
    <t>Bi-weekly social media content showing activities and impact</t>
  </si>
  <si>
    <t>Reach of social media posts (e.g.: number of reactions, comments, reposts)</t>
  </si>
  <si>
    <t>Quarterly website story looking at activities and impact</t>
  </si>
  <si>
    <t>Reach on social media (e.g.: number of reactions, comments, reposts)</t>
  </si>
  <si>
    <t>Quarterly video in English and Korean</t>
  </si>
  <si>
    <t>Project story book in English and Korean showcasing impact and examples</t>
  </si>
  <si>
    <t>Produced and disseminated  (i.e., number of copies printed and disseminated)</t>
  </si>
  <si>
    <t>Total Budget</t>
  </si>
  <si>
    <t> </t>
  </si>
  <si>
    <t>Human Resource Plan - REVIVE II</t>
  </si>
  <si>
    <t xml:space="preserve">No. </t>
  </si>
  <si>
    <t>Post Title</t>
  </si>
  <si>
    <t>Name (if known)</t>
  </si>
  <si>
    <t>Status (Vacant/Filled)</t>
  </si>
  <si>
    <t>Number of Posts</t>
  </si>
  <si>
    <t>Contract Type</t>
  </si>
  <si>
    <t xml:space="preserve">Category (National/ International) </t>
  </si>
  <si>
    <t>Grade</t>
  </si>
  <si>
    <t>Salary/Month</t>
  </si>
  <si>
    <t>Share of salary (Percentage)</t>
  </si>
  <si>
    <t>Service Months</t>
  </si>
  <si>
    <t>Total Cost</t>
  </si>
  <si>
    <t>Budget Account Code</t>
  </si>
  <si>
    <t>Budget Description</t>
  </si>
  <si>
    <t>Reference to Project Activity  or DES</t>
  </si>
  <si>
    <t xml:space="preserve">Target Start Date </t>
  </si>
  <si>
    <t>Target End Date</t>
  </si>
  <si>
    <t>Project end date</t>
  </si>
  <si>
    <t xml:space="preserve">Project Manager </t>
  </si>
  <si>
    <t xml:space="preserve">Vacant </t>
  </si>
  <si>
    <t>IPSA</t>
  </si>
  <si>
    <t xml:space="preserve">International </t>
  </si>
  <si>
    <t xml:space="preserve">Civil Engineer </t>
  </si>
  <si>
    <t>ADAM, Ahmed</t>
  </si>
  <si>
    <t>Filled</t>
  </si>
  <si>
    <t>NPSA</t>
  </si>
  <si>
    <t>National</t>
  </si>
  <si>
    <t xml:space="preserve">Project Officer </t>
  </si>
  <si>
    <t>ABUZAID, Elfatih</t>
  </si>
  <si>
    <t>Reporting Specialist</t>
  </si>
  <si>
    <t>Gebreselassie, Marrian Haileselassie</t>
  </si>
  <si>
    <t>Specialist Category</t>
  </si>
  <si>
    <t>Civil Engineer</t>
  </si>
  <si>
    <t>THABIT AHMED HASSAN, Mustafa</t>
  </si>
  <si>
    <t>NUNV</t>
  </si>
  <si>
    <t>Ahmed, Tarig Ahmed Abdallah</t>
  </si>
  <si>
    <t>Project Coordinator UNV</t>
  </si>
  <si>
    <t> FAROUK ABDALLA SAEED, Sana</t>
  </si>
  <si>
    <t xml:space="preserve">Pillar Team Leader </t>
  </si>
  <si>
    <t>Arvind Kumar</t>
  </si>
  <si>
    <t>FTA</t>
  </si>
  <si>
    <t>P5</t>
  </si>
  <si>
    <t>Programme Finance Specialist</t>
  </si>
  <si>
    <t>Waleed Mohammed</t>
  </si>
  <si>
    <t>IUNV</t>
  </si>
  <si>
    <t xml:space="preserve">Expert Category </t>
  </si>
  <si>
    <t xml:space="preserve">MHPSS officer </t>
  </si>
  <si>
    <t>Activity 3.1</t>
  </si>
  <si>
    <t>MHPSS coordinator</t>
  </si>
  <si>
    <t>Activity 3.2</t>
  </si>
  <si>
    <t>TOTAL</t>
  </si>
  <si>
    <t>Monitoring Plan: REVIVE II</t>
  </si>
  <si>
    <t xml:space="preserve">PLANNED ACTIVITIES                                   </t>
  </si>
  <si>
    <t>Indicator</t>
  </si>
  <si>
    <t xml:space="preserve">Baseline (Year) </t>
  </si>
  <si>
    <t>Target for 2027</t>
  </si>
  <si>
    <t>Target Breakdown of Direct Beneficiaries</t>
  </si>
  <si>
    <t>Target Indirect Beneficiaries</t>
  </si>
  <si>
    <t xml:space="preserve"> M&amp;E event with Data Collection Methods</t>
  </si>
  <si>
    <t>Time or, Schedule or  Frequency</t>
  </si>
  <si>
    <t>Means of Verification: Data source and type</t>
  </si>
  <si>
    <t>Risks</t>
  </si>
  <si>
    <t>Female</t>
  </si>
  <si>
    <t>Male</t>
  </si>
  <si>
    <t>Youth</t>
  </si>
  <si>
    <t>IDPs</t>
  </si>
  <si>
    <t>Output 1: Improved access to critical infrastructure and essential services</t>
  </si>
  <si>
    <t xml:space="preserve">How is data to be obtained? Example: through record reviews, survey/assessments,, review meetings, focus group discussions, direct observation,  interviews, PRA,  field monitoring visits, etc. </t>
  </si>
  <si>
    <t>Monthly? Quarterly?  Semiannualy? Annually?              
Level of detail that csan be included would depend on the practical needs.</t>
  </si>
  <si>
    <t xml:space="preserve">Who is responsible for organizing the data collection and verifying data quality and source? E.g field staff, project manager, local partners, external consultants etc. </t>
  </si>
  <si>
    <t>Systematic source and location where you would find the identified and necessary data such as government reports (pls specify which dep/ ministry), UNDP project reports; MIS of national institutes, field reports., beneficiary reports etc</t>
  </si>
  <si>
    <t>What are the risks and assumptions for carrying out the planned monitoring activities? How may these affect the planned monitoring events and quality of data?</t>
  </si>
  <si>
    <t>Activity 1.1 Community infrastructure and essential services</t>
  </si>
  <si>
    <t>Activity 1.1.1:
Support the implementation of rehabilitating 20 renewable-energy water networks</t>
  </si>
  <si>
    <t>1.1.2 Number of community infrastructure facilities and utility networks rehabilitated (ROK Indicator) </t>
  </si>
  <si>
    <t>Progress reports, monitoring visits, FGDs, site observations</t>
  </si>
  <si>
    <t>Monthly and quarterly reports compiled on annual basis</t>
  </si>
  <si>
    <t>Engineering contractor, M&amp;E/Reporting officers, project field officer, UNDP field engineer, GIS specialist</t>
  </si>
  <si>
    <t xml:space="preserve">Contractor weekly reports and monthly reports, field monitoring visit reports for geotagged site verification, UNDP field engineer progress report; beneficiary and service-coverage estimates; community validation; </t>
  </si>
  <si>
    <t xml:space="preserve">Political instability poses  a key risk to implementation and carrying out monitoring plans due to renewed or new conflict making the target areas inaccessible for site verification. Political tensions may also cause local governments to resist GPS tagging of sites. </t>
  </si>
  <si>
    <t>1.1.3 Number of people benefitting from improved access to community infrastructure facilities and utility networks (RoK Indicator) </t>
  </si>
  <si>
    <t>Activity 1.2 Debris, explosive ordnance, and solid waste management</t>
  </si>
  <si>
    <t>Activity 1.2.1:
Support the implementation of EO risk assessments, mapping, marking, and debris clearance and solid waste managemen</t>
  </si>
  <si>
    <t>1.2.2 Number of people benefitting from areas cleared, made safe and habitable, and restored for community use (RoK Indicator) </t>
  </si>
  <si>
    <t>UNMAS counterpart, M&amp;E/Reporting officers, project field officer, UNDP field engineer, GIS specialist</t>
  </si>
  <si>
    <t xml:space="preserve">Implementing partner reports, project field office weekly updates, UNDP field monitoring visits for site verification; Debris and solid waste clearance logs ; Waste collection, transport, and disposal records </t>
  </si>
  <si>
    <t>Political instability poses  a key risk to implementation and carrying out monitoring plans due to renewed or new conflict making the target areas inaccessible. Political tensions may also cause local governments to resist GPS tagging of sites and community validation.</t>
  </si>
  <si>
    <t>Output 2: Restored livelihoods and revitalized local economies</t>
  </si>
  <si>
    <t>Acitivty 2.1 Emergency employment and income support</t>
  </si>
  <si>
    <t>Activity 2.1.1:
Support the implementation of  cash-for-work emergency employment for1,000 vulnerable youth</t>
  </si>
  <si>
    <t>2.1 Number of people benefitting from emergency employment and/or cash-based assistance  (RoK Indicator) </t>
  </si>
  <si>
    <t>Progress reports, monitoring visits, KIIs, FGDs, site observations</t>
  </si>
  <si>
    <t>M&amp;E/Reporting officers, project field officer, project manager</t>
  </si>
  <si>
    <t>Participant attendance sheets, daily wage/payroll reciept sheets, Implementing partner monthly and quarterly reports, UNDP field monitoring visits, project field office monitoring visit reports</t>
  </si>
  <si>
    <t>Social tensions between host community and IDPs pose a significant risk to the implementatin and monitoring of CfW schemes as tensions may boil over beneficiary selection.
Economic inflation due to the ongoing conflict may impact the value of CfW compensation during implementation, which may affect participation in CfW FGDs and monitoring visits.</t>
  </si>
  <si>
    <t>Activity 2.2 Livelihoods, markets, and productive assets</t>
  </si>
  <si>
    <t>Activity 2.2.1:
Support the implementation of equipping 10 productive units with inputs and climate-resilient training</t>
  </si>
  <si>
    <t>2.2.1 Number of productive assets and markets restored to operation (RoK Indicator) </t>
  </si>
  <si>
    <t>Contractor weekly reports, monthly reports, UNDP field monitoring visits for site verification, market or productive asset completion certificates, site engineer progress report</t>
  </si>
  <si>
    <t>Political instability poses  a key risk to implementation and carrying out monitoring plans due to renewed or new conflict making the target areas inaccessible. Social tensions may arise in selection of productive asset beneficiaries and groups hampering access for verification and community feedback FGDs.</t>
  </si>
  <si>
    <t>Output 3: Strengthened local capacities for early recovery planning</t>
  </si>
  <si>
    <t>Acitivty 3.1 Community enegagement for early recovery</t>
  </si>
  <si>
    <t>Activity 3.1.1:
Support the implementation of training community-based facilitators</t>
  </si>
  <si>
    <t>3.1 Number of men, women and youth  participating in community engagement processes for early recovery planning and implementation (RoK Indicator) </t>
  </si>
  <si>
    <t xml:space="preserve"> Participants attendee list and Implmenting partners progress reports </t>
  </si>
  <si>
    <t>Acitivty 3.2 Local governance and public services</t>
  </si>
  <si>
    <t>Activity 3.2.1:
Support the implementation of conducting dialogue sessions</t>
  </si>
  <si>
    <t>3.2.2.Number of Men, women and youth benefitting from civic and administrative services that facilitate crisis response and recovery (RoK Indicator) </t>
  </si>
  <si>
    <r>
      <t>RESULTS FRAMEWORK</t>
    </r>
    <r>
      <rPr>
        <sz val="11"/>
        <color rgb="FFFFFFFF"/>
        <rFont val="Aptos"/>
        <family val="2"/>
      </rPr>
      <t> </t>
    </r>
  </si>
  <si>
    <r>
      <t>UNDP Strategic Plan 2026-2029: </t>
    </r>
    <r>
      <rPr>
        <sz val="10"/>
        <rFont val="Aptos"/>
        <family val="2"/>
      </rPr>
      <t> </t>
    </r>
  </si>
  <si>
    <r>
      <rPr>
        <b/>
        <sz val="10"/>
        <color rgb="FF000000"/>
        <rFont val="Aptos"/>
        <family val="2"/>
      </rPr>
      <t xml:space="preserve">(Strategic Outcome 3) </t>
    </r>
    <r>
      <rPr>
        <sz val="10"/>
        <color rgb="FF000000"/>
        <rFont val="Aptos"/>
        <family val="2"/>
      </rPr>
      <t>by 2029, institutions and people are better prepared to prevent, respond to and recover from crises while sustaining long-term development;</t>
    </r>
    <r>
      <rPr>
        <b/>
        <sz val="10"/>
        <color rgb="FF000000"/>
        <rFont val="Aptos"/>
        <family val="2"/>
      </rPr>
      <t> </t>
    </r>
    <r>
      <rPr>
        <sz val="10"/>
        <color rgb="FF000000"/>
        <rFont val="Aptos"/>
        <family val="2"/>
      </rPr>
      <t> </t>
    </r>
  </si>
  <si>
    <r>
      <t>(Crisis Resilience Output 3) </t>
    </r>
    <r>
      <rPr>
        <sz val="10"/>
        <rFont val="Aptos"/>
        <family val="2"/>
      </rPr>
      <t>A.3.2</t>
    </r>
    <r>
      <rPr>
        <b/>
        <sz val="10"/>
        <rFont val="Aptos"/>
        <family val="2"/>
      </rPr>
      <t> </t>
    </r>
    <r>
      <rPr>
        <sz val="10"/>
        <rFont val="Aptos"/>
        <family val="2"/>
      </rPr>
      <t>Stabilization, recovery, and reconstruction efforts resulted in improved access to essential services and infrastructure, revitalized local economies, successful reintegration of ex-combatants, and reduced social tensions among crisis-affected populations  </t>
    </r>
  </si>
  <si>
    <r>
      <t>ROK’s Strategic Objective: </t>
    </r>
    <r>
      <rPr>
        <sz val="10"/>
        <rFont val="Aptos"/>
        <family val="2"/>
      </rPr>
      <t> </t>
    </r>
  </si>
  <si>
    <r>
      <t>Restore physical and economic foundations of crisis-affected communities and support sustainable recovery</t>
    </r>
    <r>
      <rPr>
        <sz val="10"/>
        <rFont val="Arial"/>
        <family val="2"/>
      </rPr>
      <t> </t>
    </r>
    <r>
      <rPr>
        <sz val="10"/>
        <rFont val="Aptos"/>
        <family val="2"/>
      </rPr>
      <t>  </t>
    </r>
  </si>
  <si>
    <r>
      <t>Expected Output</t>
    </r>
    <r>
      <rPr>
        <sz val="10"/>
        <color rgb="FFFFFFFF"/>
        <rFont val="Aptos"/>
        <family val="2"/>
      </rPr>
      <t> </t>
    </r>
  </si>
  <si>
    <r>
      <t>Activity</t>
    </r>
    <r>
      <rPr>
        <sz val="10"/>
        <color rgb="FFFFFFFF"/>
        <rFont val="Aptos"/>
        <family val="2"/>
      </rPr>
      <t> </t>
    </r>
  </si>
  <si>
    <r>
      <t>Indicator</t>
    </r>
    <r>
      <rPr>
        <sz val="10"/>
        <color rgb="FFFFFFFF"/>
        <rFont val="Aptos"/>
        <family val="2"/>
      </rPr>
      <t> </t>
    </r>
  </si>
  <si>
    <r>
      <t>2026-2029 Strategic Plan </t>
    </r>
    <r>
      <rPr>
        <sz val="10"/>
        <color rgb="FFFFFFFF"/>
        <rFont val="Aptos"/>
        <family val="2"/>
      </rPr>
      <t> </t>
    </r>
  </si>
  <si>
    <r>
      <t>Contribution COs</t>
    </r>
    <r>
      <rPr>
        <sz val="10"/>
        <color rgb="FFFFFFFF"/>
        <rFont val="Aptos"/>
        <family val="2"/>
      </rPr>
      <t> </t>
    </r>
  </si>
  <si>
    <r>
      <t>IRRF Alignment</t>
    </r>
    <r>
      <rPr>
        <sz val="10"/>
        <color rgb="FFFFFFFF"/>
        <rFont val="Aptos"/>
        <family val="2"/>
      </rPr>
      <t> </t>
    </r>
  </si>
  <si>
    <r>
      <rPr>
        <b/>
        <sz val="10"/>
        <color rgb="FF000000"/>
        <rFont val="Aptos"/>
        <family val="2"/>
      </rPr>
      <t>Output 1: Improved access to critical infrastructure and essential services </t>
    </r>
    <r>
      <rPr>
        <sz val="10"/>
        <color rgb="FF000000"/>
        <rFont val="Aptos"/>
        <family val="2"/>
      </rPr>
      <t> </t>
    </r>
  </si>
  <si>
    <t>1.1 Community infrastructure and essential services </t>
  </si>
  <si>
    <r>
      <t xml:space="preserve">1.1.1 Conducted rapid needs assessments to determine the extent of damage and target group involved </t>
    </r>
    <r>
      <rPr>
        <sz val="10"/>
        <color rgb="FF4EA72E"/>
        <rFont val="Aptos"/>
        <family val="2"/>
      </rPr>
      <t>(complementary indicator) </t>
    </r>
  </si>
  <si>
    <t>A.3.2.1. Number of people benefitting from recovery interventions in crisis or post-crisis settings: (c) Access to rehabilitated infrastructure; (d) Access to services  </t>
  </si>
  <si>
    <r>
      <t>Afghanistan, PAPP (Gaza), Syria </t>
    </r>
    <r>
      <rPr>
        <sz val="10"/>
        <rFont val="Aptos"/>
        <family val="2"/>
      </rPr>
      <t>  </t>
    </r>
  </si>
  <si>
    <r>
      <t xml:space="preserve">1.1.2 Number of community infrastructure facilities and utility networks rehabilitated </t>
    </r>
    <r>
      <rPr>
        <sz val="10"/>
        <color rgb="FF0070C0"/>
        <rFont val="Aptos"/>
        <family val="2"/>
      </rPr>
      <t>(ROK Indicator) </t>
    </r>
  </si>
  <si>
    <r>
      <t>Afghanistan, Myanmar, PAPP (Gaza), South Sudan, Sudan, Syria </t>
    </r>
    <r>
      <rPr>
        <sz val="10"/>
        <rFont val="Aptos"/>
        <family val="2"/>
      </rPr>
      <t>  </t>
    </r>
  </si>
  <si>
    <r>
      <t xml:space="preserve">1.1.3 Number of people benefitting from improved access to community infrastructure facilities and utility networks </t>
    </r>
    <r>
      <rPr>
        <sz val="10"/>
        <color rgb="FF0070C0"/>
        <rFont val="Aptos"/>
        <family val="2"/>
      </rPr>
      <t>(RoK Indicator) </t>
    </r>
  </si>
  <si>
    <r>
      <t xml:space="preserve">1.1.4 Number of people accessing clean and renewable energy </t>
    </r>
    <r>
      <rPr>
        <sz val="10"/>
        <color rgb="FF4EA72E"/>
        <rFont val="Aptos"/>
        <family val="2"/>
      </rPr>
      <t>(complementary indicator) </t>
    </r>
  </si>
  <si>
    <t>Myanmar </t>
  </si>
  <si>
    <r>
      <t xml:space="preserve">1.1.5 Number of grids or network rehabilitated </t>
    </r>
    <r>
      <rPr>
        <sz val="10"/>
        <color rgb="FF4DA62E"/>
        <rFont val="Aptos"/>
        <family val="2"/>
      </rPr>
      <t>(complementary indicator) </t>
    </r>
  </si>
  <si>
    <t>1.2 Debris, explosive ordnance, and solid waste management   </t>
  </si>
  <si>
    <r>
      <t xml:space="preserve">1.2.1.1 Volume of debris and solid waste cleared (metric tonnes) </t>
    </r>
    <r>
      <rPr>
        <sz val="10"/>
        <color rgb="FF0070C0"/>
        <rFont val="Aptos"/>
        <family val="2"/>
      </rPr>
      <t>(RoK Indicator) </t>
    </r>
  </si>
  <si>
    <t>A.3.2.1 Number of people benefitting from recovery  interventions in crisis or post-crisis settings: (b) Access to areas made safe and habitable again  </t>
  </si>
  <si>
    <t>Syria </t>
  </si>
  <si>
    <r>
      <t xml:space="preserve">1.2.1.2 Volume of debris recycled (metric tonnes) </t>
    </r>
    <r>
      <rPr>
        <sz val="10"/>
        <color rgb="FF0070C0"/>
        <rFont val="Aptos"/>
        <family val="2"/>
      </rPr>
      <t>(RoK Indicator) </t>
    </r>
  </si>
  <si>
    <r>
      <t xml:space="preserve">1.2.2 Number of people benefitting from areas cleared, made safe and habitable, and restored for community use </t>
    </r>
    <r>
      <rPr>
        <sz val="10"/>
        <color rgb="FF0070C0"/>
        <rFont val="Aptos"/>
        <family val="2"/>
      </rPr>
      <t>(RoK Indicator) </t>
    </r>
  </si>
  <si>
    <t>Sudan, Syria </t>
  </si>
  <si>
    <r>
      <t xml:space="preserve">1.2.3 Number of people benefitting from EO risk education </t>
    </r>
    <r>
      <rPr>
        <sz val="10"/>
        <color rgb="FF4EA72E"/>
        <rFont val="Aptos"/>
        <family val="2"/>
      </rPr>
      <t>(complementary indicator) </t>
    </r>
  </si>
  <si>
    <t>Afghanistan, Syria </t>
  </si>
  <si>
    <r>
      <t xml:space="preserve">1.2.4 Number of UXO hazardous areas cleared (m2) </t>
    </r>
    <r>
      <rPr>
        <sz val="10"/>
        <color rgb="FF4EA72E"/>
        <rFont val="Aptos"/>
        <family val="2"/>
      </rPr>
      <t>(complementary indicator) </t>
    </r>
  </si>
  <si>
    <t>PAPP (Gaza), Sudan, Syria </t>
  </si>
  <si>
    <r>
      <t>Output 2: Restored livelihoods and revitalized local economies  </t>
    </r>
    <r>
      <rPr>
        <sz val="10"/>
        <rFont val="Aptos"/>
        <family val="2"/>
      </rPr>
      <t> </t>
    </r>
  </si>
  <si>
    <t>2.1 Emergency employment and income support </t>
  </si>
  <si>
    <r>
      <t xml:space="preserve">2.1 Number of people benefitting from emergency employment and/or cash-based assistance  </t>
    </r>
    <r>
      <rPr>
        <sz val="10"/>
        <color rgb="FF0070C0"/>
        <rFont val="Aptos"/>
        <family val="2"/>
      </rPr>
      <t>(RoK Indicator) </t>
    </r>
  </si>
  <si>
    <t>A.3.2.1 Number of people benefitting from recovery interventions in crisis or post-crisis settings: (a) Jobs and improved livelihoods  </t>
  </si>
  <si>
    <t>2.2 Livelihoods, markets, and productive asset </t>
  </si>
  <si>
    <r>
      <t xml:space="preserve">2.2.1 Number of productive assets and markets restored to operation </t>
    </r>
    <r>
      <rPr>
        <sz val="10"/>
        <color rgb="FF0070C0"/>
        <rFont val="Aptos"/>
        <family val="2"/>
      </rPr>
      <t>(RoK Indicator) </t>
    </r>
  </si>
  <si>
    <t>Afghanistan, Myanmar, South Sudan, Sudan  </t>
  </si>
  <si>
    <r>
      <t xml:space="preserve">2.2.2 Number of people benefitting from productive units </t>
    </r>
    <r>
      <rPr>
        <sz val="10"/>
        <color rgb="FF4EA72E"/>
        <rFont val="Aptos"/>
        <family val="2"/>
      </rPr>
      <t>(complementary indicator) </t>
    </r>
  </si>
  <si>
    <t>Afghanistan, Myanmar, South Sudan, Sudan </t>
  </si>
  <si>
    <t>2.3 Economic recovery for communities </t>
  </si>
  <si>
    <r>
      <t xml:space="preserve">2.3.1 Number of households and micro- and small businesses supported to restore livelihoods </t>
    </r>
    <r>
      <rPr>
        <sz val="10"/>
        <color rgb="FF0070C0"/>
        <rFont val="Aptos"/>
        <family val="2"/>
      </rPr>
      <t>(RoK Indicator) </t>
    </r>
  </si>
  <si>
    <t>Afghanistan, South Sudan </t>
  </si>
  <si>
    <r>
      <t xml:space="preserve">2.3.2 Number of people trained in essential economic skills </t>
    </r>
    <r>
      <rPr>
        <sz val="10"/>
        <color rgb="FF4EA72E"/>
        <rFont val="Aptos"/>
        <family val="2"/>
      </rPr>
      <t>(complementary indicator) </t>
    </r>
  </si>
  <si>
    <r>
      <t>Output 3: Strengthened local capacities for early recovery planning  </t>
    </r>
    <r>
      <rPr>
        <sz val="10"/>
        <rFont val="Aptos"/>
        <family val="2"/>
      </rPr>
      <t> </t>
    </r>
  </si>
  <si>
    <t>3.1 Community engagement for early recovery  </t>
  </si>
  <si>
    <r>
      <t xml:space="preserve">3.1 Number of people participating in community engagement processes for early recovery planning and implementation </t>
    </r>
    <r>
      <rPr>
        <sz val="10"/>
        <color rgb="FF0070C0"/>
        <rFont val="Aptos"/>
        <family val="2"/>
      </rPr>
      <t>(RoK Indicator) </t>
    </r>
  </si>
  <si>
    <t>A.3.2.2 Number of institutions that adopted and began implementing recovery strategies in crisis or post-crisis settings, that include documented actions to address gender-based exclusion in access to services, decision-making, or livelihoods, and are based on published joint needs assessments: (d) Sub-national governments; (e) Private sector; (f) CSO/NGOs </t>
  </si>
  <si>
    <t>3.2 Local governance and public services  </t>
  </si>
  <si>
    <r>
      <t xml:space="preserve">3.2.1 Number of local officials and community leaders with strengthened capacities to support humanitarian response and recovery efforts </t>
    </r>
    <r>
      <rPr>
        <sz val="10"/>
        <color rgb="FF0070C0"/>
        <rFont val="Aptos"/>
        <family val="2"/>
      </rPr>
      <t>(RoK Indicator) </t>
    </r>
  </si>
  <si>
    <r>
      <t>Afghanistan, Myanmar, Syria </t>
    </r>
    <r>
      <rPr>
        <sz val="10"/>
        <rFont val="Aptos"/>
        <family val="2"/>
      </rPr>
      <t>  </t>
    </r>
  </si>
  <si>
    <r>
      <t xml:space="preserve">3.2.2.Number of people benefitting from civic and administrative services that facilitate crisis response and recovery </t>
    </r>
    <r>
      <rPr>
        <sz val="10"/>
        <color rgb="FF0070C0"/>
        <rFont val="Aptos"/>
        <family val="2"/>
      </rPr>
      <t>(RoK Indicator) </t>
    </r>
  </si>
  <si>
    <r>
      <t>Myanmar, South Sudan, Sudan </t>
    </r>
    <r>
      <rPr>
        <sz val="10"/>
        <rFont val="Aptos"/>
        <family val="2"/>
      </rPr>
      <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</si>
</sst>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44" formatCode="_(&quot;$&quot;* #,##0.00_);_(&quot;$&quot;* \(#,##0.00\);_(&quot;$&quot;* &quot;-&quot;??_);_(@_)"/>
    <numFmt numFmtId="43" formatCode="_(* #,##0.00_);_(* \(#,##0.00\);_(* &quot;-&quot;??_);_(@_)"/>
    <numFmt numFmtId="164" formatCode="_-* #,##0.00_-;\-* #,##0.00_-;_-* &quot;-&quot;??_-;_-@_-"/>
    <numFmt numFmtId="165" formatCode="_(* #,##0_);_(* \(#,##0\);_(* &quot;-&quot;??_);_(@_)"/>
    <numFmt numFmtId="166" formatCode="[$-409]d\-mmm\-yy;@"/>
    <numFmt numFmtId="167" formatCode="[$-409]dd\-mmm\-yy;@"/>
    <numFmt numFmtId="168" formatCode="&quot;$&quot;#,##0;[Red]&quot;$&quot;#,##0"/>
    <numFmt numFmtId="169" formatCode="&quot;$&quot;#,##0.00;[Red]&quot;$&quot;#,##0.00"/>
    <numFmt numFmtId="170" formatCode="#,##0;[Red]#,##0"/>
    <numFmt numFmtId="171" formatCode="_(&quot;$&quot;* #,##0_);_(&quot;$&quot;* \(#,##0\);_(&quot;$&quot;* &quot;-&quot;??_);_(@_)"/>
  </numFmts>
  <fonts count="12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MS Sans Serif"/>
      <family val="2"/>
      <charset val="178"/>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12"/>
      <color theme="1"/>
      <name val="Times New Roman"/>
      <family val="2"/>
    </font>
    <font>
      <sz val="11"/>
      <color theme="0"/>
      <name val="Calibri"/>
      <family val="2"/>
      <scheme val="minor"/>
    </font>
    <font>
      <sz val="11"/>
      <color theme="1"/>
      <name val="Calibri"/>
      <family val="2"/>
    </font>
    <font>
      <b/>
      <sz val="10"/>
      <color theme="1"/>
      <name val="Calibri"/>
      <family val="2"/>
      <scheme val="minor"/>
    </font>
    <font>
      <sz val="10"/>
      <color theme="1"/>
      <name val="Calibri"/>
      <family val="2"/>
      <scheme val="minor"/>
    </font>
    <font>
      <b/>
      <sz val="10"/>
      <name val="Arial Unicode MS"/>
      <family val="2"/>
    </font>
    <font>
      <sz val="9"/>
      <color theme="1"/>
      <name val="Arial"/>
      <family val="2"/>
    </font>
    <font>
      <sz val="8"/>
      <color theme="1"/>
      <name val="Arial"/>
      <family val="2"/>
    </font>
    <font>
      <sz val="9"/>
      <name val="Calibri"/>
      <family val="2"/>
      <scheme val="minor"/>
    </font>
    <font>
      <b/>
      <sz val="9"/>
      <color rgb="FF000000"/>
      <name val="Calibri"/>
      <family val="2"/>
      <scheme val="minor"/>
    </font>
    <font>
      <sz val="9"/>
      <color rgb="FF000000"/>
      <name val="Calibri"/>
      <family val="2"/>
      <scheme val="minor"/>
    </font>
    <font>
      <b/>
      <sz val="9"/>
      <color theme="0"/>
      <name val="Calibri"/>
      <family val="2"/>
      <scheme val="minor"/>
    </font>
    <font>
      <sz val="10"/>
      <color theme="1"/>
      <name val="Calibri"/>
      <family val="2"/>
    </font>
    <font>
      <b/>
      <sz val="11"/>
      <color theme="0"/>
      <name val="Calibri"/>
      <family val="2"/>
    </font>
    <font>
      <sz val="12"/>
      <color theme="0"/>
      <name val="Calibri"/>
      <family val="2"/>
      <scheme val="minor"/>
    </font>
    <font>
      <sz val="10"/>
      <color theme="0"/>
      <name val="Calibri"/>
      <family val="2"/>
      <scheme val="minor"/>
    </font>
    <font>
      <sz val="10"/>
      <name val="Calibri"/>
      <family val="2"/>
      <scheme val="minor"/>
    </font>
    <font>
      <b/>
      <sz val="10"/>
      <color theme="1"/>
      <name val="Calibri"/>
      <family val="2"/>
    </font>
    <font>
      <b/>
      <sz val="10"/>
      <name val="Calibri"/>
      <family val="2"/>
    </font>
    <font>
      <sz val="10"/>
      <name val="Calibri"/>
      <family val="2"/>
    </font>
    <font>
      <b/>
      <sz val="11"/>
      <color theme="1"/>
      <name val="Arial"/>
      <family val="2"/>
    </font>
    <font>
      <b/>
      <sz val="16"/>
      <color theme="1"/>
      <name val="Cambria"/>
      <family val="1"/>
      <scheme val="major"/>
    </font>
    <font>
      <sz val="11"/>
      <color theme="1"/>
      <name val="Cambria"/>
      <family val="1"/>
      <scheme val="major"/>
    </font>
    <font>
      <b/>
      <sz val="10"/>
      <color theme="1"/>
      <name val="Cambria"/>
      <family val="1"/>
      <scheme val="major"/>
    </font>
    <font>
      <b/>
      <sz val="9"/>
      <color rgb="FF000000"/>
      <name val="Cambria"/>
      <family val="1"/>
      <scheme val="major"/>
    </font>
    <font>
      <sz val="9"/>
      <color rgb="FF000000"/>
      <name val="Cambria"/>
      <family val="1"/>
      <scheme val="major"/>
    </font>
    <font>
      <sz val="9"/>
      <color theme="1"/>
      <name val="Cambria"/>
      <family val="1"/>
      <scheme val="major"/>
    </font>
    <font>
      <b/>
      <sz val="9"/>
      <color theme="1"/>
      <name val="Cambria"/>
      <family val="1"/>
      <scheme val="major"/>
    </font>
    <font>
      <b/>
      <i/>
      <sz val="9"/>
      <color theme="1"/>
      <name val="Cambria"/>
      <family val="1"/>
      <scheme val="major"/>
    </font>
    <font>
      <b/>
      <sz val="11"/>
      <color theme="1"/>
      <name val="Cambria"/>
      <family val="1"/>
      <scheme val="major"/>
    </font>
    <font>
      <sz val="11"/>
      <color rgb="FF000000"/>
      <name val="Aptos Narrow"/>
      <family val="2"/>
    </font>
    <font>
      <sz val="9"/>
      <name val="Cambria"/>
      <family val="1"/>
      <scheme val="major"/>
    </font>
    <font>
      <b/>
      <sz val="10"/>
      <name val="Proxima Nova "/>
    </font>
    <font>
      <b/>
      <sz val="10"/>
      <color rgb="FF000000"/>
      <name val="Proxima Nova "/>
    </font>
    <font>
      <i/>
      <sz val="7"/>
      <name val="Cambria"/>
      <family val="1"/>
    </font>
    <font>
      <b/>
      <sz val="10"/>
      <color rgb="FFFFFFFF"/>
      <name val="Arial"/>
      <family val="2"/>
    </font>
    <font>
      <sz val="10"/>
      <color rgb="FF000000"/>
      <name val="Arial"/>
      <family val="2"/>
    </font>
    <font>
      <b/>
      <sz val="16"/>
      <color rgb="FF000000"/>
      <name val="Arial"/>
      <family val="2"/>
    </font>
    <font>
      <b/>
      <sz val="10"/>
      <color rgb="FF000000"/>
      <name val="Arial"/>
      <family val="2"/>
    </font>
    <font>
      <b/>
      <sz val="10"/>
      <name val="Arial"/>
      <family val="2"/>
    </font>
    <font>
      <sz val="11"/>
      <color rgb="FF000000"/>
      <name val="Calibri"/>
      <family val="2"/>
    </font>
    <font>
      <sz val="11"/>
      <name val="Calibri"/>
      <family val="2"/>
    </font>
    <font>
      <b/>
      <sz val="16"/>
      <color rgb="FF000000"/>
      <name val="Calibri"/>
      <family val="2"/>
    </font>
    <font>
      <b/>
      <sz val="14"/>
      <color rgb="FF000000"/>
      <name val="Calibri"/>
      <family val="2"/>
    </font>
    <font>
      <sz val="14"/>
      <color rgb="FF000000"/>
      <name val="Calibri"/>
      <family val="2"/>
    </font>
    <font>
      <sz val="14"/>
      <name val="Calibri"/>
      <family val="2"/>
    </font>
    <font>
      <sz val="14"/>
      <name val="Arial Unicode MS"/>
      <family val="2"/>
    </font>
    <font>
      <sz val="12"/>
      <color rgb="FF000000"/>
      <name val="Calibri"/>
      <family val="2"/>
    </font>
    <font>
      <b/>
      <sz val="12"/>
      <color rgb="FF000000"/>
      <name val="Calibri"/>
      <family val="2"/>
    </font>
    <font>
      <sz val="12"/>
      <name val="Calibri"/>
      <family val="2"/>
    </font>
    <font>
      <sz val="12"/>
      <name val="Arial Unicode MS"/>
      <family val="2"/>
    </font>
    <font>
      <sz val="10"/>
      <name val="Arial"/>
      <family val="2"/>
    </font>
    <font>
      <b/>
      <sz val="16"/>
      <color indexed="8"/>
      <name val="Calibri"/>
      <family val="2"/>
    </font>
    <font>
      <sz val="11"/>
      <color indexed="8"/>
      <name val="Arial"/>
      <family val="2"/>
    </font>
    <font>
      <sz val="11"/>
      <name val="Arial"/>
      <family val="2"/>
    </font>
    <font>
      <b/>
      <sz val="11"/>
      <color indexed="8"/>
      <name val="Arial"/>
      <family val="2"/>
    </font>
    <font>
      <b/>
      <sz val="11"/>
      <color theme="1"/>
      <name val="Calibri"/>
      <family val="2"/>
      <scheme val="minor"/>
    </font>
    <font>
      <b/>
      <sz val="11"/>
      <name val="Arial"/>
      <family val="2"/>
    </font>
    <font>
      <b/>
      <sz val="11"/>
      <name val="Calibri"/>
      <family val="2"/>
    </font>
    <font>
      <b/>
      <sz val="11"/>
      <color rgb="FFFF0000"/>
      <name val="Arial"/>
      <family val="2"/>
    </font>
    <font>
      <b/>
      <sz val="14"/>
      <color theme="0"/>
      <name val="Calibri"/>
      <family val="2"/>
      <scheme val="minor"/>
    </font>
    <font>
      <b/>
      <sz val="11"/>
      <color rgb="FF000000"/>
      <name val="Calibri"/>
      <family val="2"/>
    </font>
    <font>
      <b/>
      <sz val="11"/>
      <name val="Calibri"/>
      <family val="2"/>
      <scheme val="minor"/>
    </font>
    <font>
      <b/>
      <sz val="11"/>
      <color rgb="FFFFFFFF"/>
      <name val="Aptos"/>
      <family val="2"/>
    </font>
    <font>
      <b/>
      <sz val="10"/>
      <name val="Aptos"/>
      <family val="2"/>
    </font>
    <font>
      <sz val="10"/>
      <name val="Aptos"/>
      <family val="2"/>
    </font>
    <font>
      <b/>
      <sz val="10"/>
      <color rgb="FFFFFFFF"/>
      <name val="Aptos"/>
      <family val="2"/>
    </font>
    <font>
      <sz val="10"/>
      <color rgb="FF000000"/>
      <name val="Calibri"/>
      <family val="2"/>
    </font>
    <font>
      <sz val="11"/>
      <color rgb="FFFFFFFF"/>
      <name val="Aptos"/>
      <family val="2"/>
    </font>
    <font>
      <sz val="10"/>
      <color rgb="FFFFFFFF"/>
      <name val="Aptos"/>
      <family val="2"/>
    </font>
    <font>
      <sz val="10"/>
      <color rgb="FF4EA72E"/>
      <name val="Aptos"/>
      <family val="2"/>
    </font>
    <font>
      <sz val="10"/>
      <color rgb="FF0070C0"/>
      <name val="Aptos"/>
      <family val="2"/>
    </font>
    <font>
      <sz val="10"/>
      <color rgb="FF4DA62E"/>
      <name val="Aptos"/>
      <family val="2"/>
    </font>
    <font>
      <b/>
      <sz val="10"/>
      <color rgb="FF000000"/>
      <name val="Aptos"/>
      <family val="2"/>
    </font>
    <font>
      <sz val="10"/>
      <color rgb="FF000000"/>
      <name val="Aptos"/>
      <family val="2"/>
    </font>
    <font>
      <b/>
      <sz val="10"/>
      <color theme="0"/>
      <name val="Arial"/>
      <family val="2"/>
    </font>
    <font>
      <sz val="9"/>
      <color rgb="FFFF0000"/>
      <name val="Cambria (Headings)"/>
    </font>
    <font>
      <sz val="11"/>
      <color rgb="FF000000"/>
      <name val="Cambria"/>
      <family val="1"/>
    </font>
    <font>
      <b/>
      <sz val="11"/>
      <color rgb="FF000000"/>
      <name val="Arial"/>
      <family val="2"/>
    </font>
    <font>
      <b/>
      <sz val="16"/>
      <color rgb="FF000000"/>
      <name val="Cambria"/>
      <family val="1"/>
    </font>
    <font>
      <b/>
      <sz val="9"/>
      <color rgb="FF000000"/>
      <name val="Cambria"/>
      <family val="1"/>
    </font>
    <font>
      <b/>
      <sz val="10"/>
      <color rgb="FF000000"/>
      <name val="Cambria"/>
      <family val="1"/>
    </font>
    <font>
      <sz val="9"/>
      <color rgb="FF000000"/>
      <name val="Cambria"/>
      <family val="1"/>
    </font>
    <font>
      <sz val="9"/>
      <name val="Cambria"/>
      <family val="1"/>
    </font>
    <font>
      <i/>
      <sz val="9"/>
      <color rgb="FF000000"/>
      <name val="Cambria"/>
      <family val="1"/>
    </font>
    <font>
      <b/>
      <sz val="11"/>
      <color rgb="FF000000"/>
      <name val="Cambria"/>
      <family val="1"/>
    </font>
    <font>
      <sz val="9"/>
      <color rgb="FFFF0000"/>
      <name val="Cambria"/>
      <family val="1"/>
    </font>
    <font>
      <sz val="9"/>
      <color theme="1"/>
      <name val="Cambria"/>
      <family val="1"/>
    </font>
    <font>
      <sz val="11"/>
      <color rgb="FF242424"/>
      <name val="Aptos Narrow"/>
      <family val="2"/>
    </font>
    <font>
      <sz val="12"/>
      <name val="Aptos"/>
      <family val="2"/>
    </font>
    <font>
      <sz val="9"/>
      <color rgb="FFFF0000"/>
      <name val="Cambria"/>
      <family val="1"/>
      <scheme val="major"/>
    </font>
    <font>
      <sz val="10"/>
      <name val="Arial"/>
      <family val="2"/>
    </font>
    <font>
      <sz val="9"/>
      <color rgb="FF000000"/>
      <name val="Cambria"/>
      <scheme val="major"/>
    </font>
    <font>
      <sz val="9"/>
      <color rgb="FFFF0000"/>
      <name val="Cambria"/>
    </font>
    <font>
      <sz val="9"/>
      <color rgb="FF000000"/>
      <name val="Cambria"/>
    </font>
  </fonts>
  <fills count="6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theme="5" tint="0.79998168889431442"/>
        <bgColor indexed="64"/>
      </patternFill>
    </fill>
    <fill>
      <patternFill patternType="solid">
        <fgColor indexed="22"/>
        <bgColor indexed="64"/>
      </patternFill>
    </fill>
    <fill>
      <patternFill patternType="solid">
        <fgColor rgb="FFDFEAF3"/>
      </patternFill>
    </fill>
    <fill>
      <patternFill patternType="solid">
        <fgColor rgb="FFFFFFFF"/>
      </patternFill>
    </fill>
    <fill>
      <patternFill patternType="solid">
        <fgColor theme="1" tint="0.499984740745262"/>
        <bgColor indexed="64"/>
      </patternFill>
    </fill>
    <fill>
      <patternFill patternType="solid">
        <fgColor theme="1" tint="0.34998626667073579"/>
        <bgColor indexed="64"/>
      </patternFill>
    </fill>
    <fill>
      <patternFill patternType="solid">
        <fgColor theme="1" tint="0.249977111117893"/>
        <bgColor indexed="64"/>
      </patternFill>
    </fill>
    <fill>
      <patternFill patternType="solid">
        <fgColor theme="6" tint="0.59999389629810485"/>
        <bgColor indexed="64"/>
      </patternFill>
    </fill>
    <fill>
      <patternFill patternType="solid">
        <fgColor theme="3" tint="0.89999084444715716"/>
        <bgColor indexed="64"/>
      </patternFill>
    </fill>
    <fill>
      <patternFill patternType="solid">
        <fgColor rgb="FFFFFF00"/>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rgb="FFBFBFBF"/>
        <bgColor rgb="FF000000"/>
      </patternFill>
    </fill>
    <fill>
      <patternFill patternType="solid">
        <fgColor rgb="FF156082"/>
        <bgColor rgb="FF156082"/>
      </patternFill>
    </fill>
    <fill>
      <patternFill patternType="solid">
        <fgColor rgb="FF83CCEB"/>
        <bgColor rgb="FF83CCEB"/>
      </patternFill>
    </fill>
    <fill>
      <patternFill patternType="solid">
        <fgColor rgb="FFC0E6F5"/>
        <bgColor rgb="FFC0E6F5"/>
      </patternFill>
    </fill>
    <fill>
      <patternFill patternType="solid">
        <fgColor indexed="65"/>
        <bgColor rgb="FF000000"/>
      </patternFill>
    </fill>
    <fill>
      <patternFill patternType="solid">
        <fgColor rgb="FFFFFFFF"/>
        <bgColor rgb="FF000000"/>
      </patternFill>
    </fill>
    <fill>
      <patternFill patternType="solid">
        <fgColor rgb="FF92D050"/>
        <bgColor rgb="FF000000"/>
      </patternFill>
    </fill>
    <fill>
      <patternFill patternType="solid">
        <fgColor rgb="FF99CC00"/>
        <bgColor rgb="FF000000"/>
      </patternFill>
    </fill>
    <fill>
      <patternFill patternType="solid">
        <fgColor rgb="FFFF9966"/>
        <bgColor indexed="64"/>
      </patternFill>
    </fill>
    <fill>
      <patternFill patternType="solid">
        <fgColor rgb="FFFFC000"/>
        <bgColor indexed="64"/>
      </patternFill>
    </fill>
    <fill>
      <patternFill patternType="solid">
        <fgColor indexed="9"/>
        <bgColor indexed="64"/>
      </patternFill>
    </fill>
    <fill>
      <patternFill patternType="solid">
        <fgColor theme="0" tint="-0.499984740745262"/>
        <bgColor indexed="64"/>
      </patternFill>
    </fill>
    <fill>
      <patternFill patternType="solid">
        <fgColor rgb="FF92D050"/>
        <bgColor indexed="64"/>
      </patternFill>
    </fill>
    <fill>
      <patternFill patternType="solid">
        <fgColor rgb="FF156082"/>
        <bgColor indexed="64"/>
      </patternFill>
    </fill>
    <fill>
      <patternFill patternType="solid">
        <fgColor rgb="FFFFFFFF"/>
        <bgColor indexed="64"/>
      </patternFill>
    </fill>
    <fill>
      <patternFill patternType="solid">
        <fgColor rgb="FFDAE9F7"/>
        <bgColor indexed="64"/>
      </patternFill>
    </fill>
    <fill>
      <patternFill patternType="solid">
        <fgColor rgb="FFC0E6F5"/>
        <bgColor rgb="FF000000"/>
      </patternFill>
    </fill>
    <fill>
      <patternFill patternType="solid">
        <fgColor rgb="FFCAEDFB"/>
        <bgColor rgb="FF000000"/>
      </patternFill>
    </fill>
    <fill>
      <patternFill patternType="solid">
        <fgColor rgb="FFD0D0D0"/>
        <bgColor rgb="FF000000"/>
      </patternFill>
    </fill>
  </fills>
  <borders count="9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double">
        <color indexed="64"/>
      </left>
      <right style="double">
        <color indexed="64"/>
      </right>
      <top style="thin">
        <color indexed="64"/>
      </top>
      <bottom style="double">
        <color indexed="64"/>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theme="4" tint="0.39997558519241921"/>
      </top>
      <bottom/>
      <diagonal/>
    </border>
    <border>
      <left style="thin">
        <color theme="0"/>
      </left>
      <right/>
      <top style="thin">
        <color theme="4" tint="0.39997558519241921"/>
      </top>
      <bottom/>
      <diagonal/>
    </border>
    <border>
      <left style="thin">
        <color theme="0"/>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auto="1"/>
      </left>
      <right style="thin">
        <color auto="1"/>
      </right>
      <top/>
      <bottom style="thin">
        <color auto="1"/>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rgb="FF000000"/>
      </left>
      <right style="thin">
        <color rgb="FF000000"/>
      </right>
      <top/>
      <bottom style="thin">
        <color rgb="FF000000"/>
      </bottom>
      <diagonal/>
    </border>
    <border>
      <left/>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bottom style="thick">
        <color rgb="FFFFFFFF"/>
      </bottom>
      <diagonal/>
    </border>
    <border>
      <left style="thin">
        <color rgb="FFFFFFFF"/>
      </left>
      <right style="thin">
        <color rgb="FFFFFFFF"/>
      </right>
      <top/>
      <bottom style="thick">
        <color rgb="FFFFFFFF"/>
      </bottom>
      <diagonal/>
    </border>
    <border>
      <left style="thin">
        <color rgb="FFFFFFFF"/>
      </left>
      <right/>
      <top/>
      <bottom style="thick">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thin">
        <color auto="1"/>
      </right>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indexed="64"/>
      </right>
      <top/>
      <bottom style="medium">
        <color auto="1"/>
      </bottom>
      <diagonal/>
    </border>
    <border>
      <left style="thin">
        <color indexed="64"/>
      </left>
      <right/>
      <top style="medium">
        <color indexed="64"/>
      </top>
      <bottom style="medium">
        <color indexed="64"/>
      </bottom>
      <diagonal/>
    </border>
    <border>
      <left style="thin">
        <color rgb="FF000000"/>
      </left>
      <right/>
      <top style="thin">
        <color rgb="FF000000"/>
      </top>
      <bottom style="thin">
        <color auto="1"/>
      </bottom>
      <diagonal/>
    </border>
    <border>
      <left style="thin">
        <color rgb="FF000000"/>
      </left>
      <right/>
      <top/>
      <bottom/>
      <diagonal/>
    </border>
    <border>
      <left style="thin">
        <color rgb="FF000000"/>
      </left>
      <right style="thin">
        <color auto="1"/>
      </right>
      <top style="thin">
        <color auto="1"/>
      </top>
      <bottom/>
      <diagonal/>
    </border>
    <border>
      <left style="thin">
        <color auto="1"/>
      </left>
      <right style="thin">
        <color rgb="FF000000"/>
      </right>
      <top style="thin">
        <color auto="1"/>
      </top>
      <bottom/>
      <diagonal/>
    </border>
    <border>
      <left style="thin">
        <color rgb="FF000000"/>
      </left>
      <right style="thin">
        <color auto="1"/>
      </right>
      <top/>
      <bottom style="thin">
        <color auto="1"/>
      </bottom>
      <diagonal/>
    </border>
    <border>
      <left style="thin">
        <color auto="1"/>
      </left>
      <right style="thin">
        <color rgb="FF000000"/>
      </right>
      <top/>
      <bottom style="thin">
        <color auto="1"/>
      </bottom>
      <diagonal/>
    </border>
    <border>
      <left style="thin">
        <color rgb="FF000000"/>
      </left>
      <right style="thin">
        <color auto="1"/>
      </right>
      <top/>
      <bottom/>
      <diagonal/>
    </border>
    <border>
      <left style="thin">
        <color rgb="FF000000"/>
      </left>
      <right style="thin">
        <color auto="1"/>
      </right>
      <top/>
      <bottom style="thin">
        <color rgb="FF000000"/>
      </bottom>
      <diagonal/>
    </border>
    <border>
      <left style="thin">
        <color auto="1"/>
      </left>
      <right style="thin">
        <color auto="1"/>
      </right>
      <top/>
      <bottom style="thin">
        <color rgb="FF000000"/>
      </bottom>
      <diagonal/>
    </border>
    <border>
      <left style="thin">
        <color rgb="FF000000"/>
      </left>
      <right/>
      <top style="thin">
        <color auto="1"/>
      </top>
      <bottom/>
      <diagonal/>
    </border>
    <border>
      <left style="thin">
        <color rgb="FF000000"/>
      </left>
      <right/>
      <top/>
      <bottom style="thin">
        <color auto="1"/>
      </bottom>
      <diagonal/>
    </border>
    <border>
      <left/>
      <right/>
      <top style="thin">
        <color indexed="64"/>
      </top>
      <bottom/>
      <diagonal/>
    </border>
    <border>
      <left style="thin">
        <color auto="1"/>
      </left>
      <right style="thin">
        <color rgb="FF000000"/>
      </right>
      <top style="thin">
        <color auto="1"/>
      </top>
      <bottom style="thin">
        <color rgb="FF000000"/>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medium">
        <color auto="1"/>
      </left>
      <right style="thin">
        <color auto="1"/>
      </right>
      <top style="thin">
        <color auto="1"/>
      </top>
      <bottom style="thin">
        <color auto="1"/>
      </bottom>
      <diagonal/>
    </border>
    <border>
      <left/>
      <right style="thin">
        <color indexed="64"/>
      </right>
      <top style="thin">
        <color indexed="64"/>
      </top>
      <bottom/>
      <diagonal/>
    </border>
    <border>
      <left style="thin">
        <color auto="1"/>
      </left>
      <right style="thin">
        <color auto="1"/>
      </right>
      <top style="thin">
        <color auto="1"/>
      </top>
      <bottom/>
      <diagonal/>
    </border>
    <border>
      <left style="thin">
        <color indexed="64"/>
      </left>
      <right/>
      <top style="thin">
        <color indexed="64"/>
      </top>
      <bottom/>
      <diagonal/>
    </border>
    <border>
      <left/>
      <right/>
      <top style="thin">
        <color indexed="64"/>
      </top>
      <bottom style="thin">
        <color indexed="64"/>
      </bottom>
      <diagonal/>
    </border>
    <border>
      <left style="thin">
        <color auto="1"/>
      </left>
      <right style="thin">
        <color auto="1"/>
      </right>
      <top style="thin">
        <color auto="1"/>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indexed="64"/>
      </left>
      <right style="medium">
        <color indexed="64"/>
      </right>
      <top/>
      <bottom style="thin">
        <color indexed="64"/>
      </bottom>
      <diagonal/>
    </border>
    <border>
      <left style="thin">
        <color rgb="FF000000"/>
      </left>
      <right style="thin">
        <color rgb="FF000000"/>
      </right>
      <top/>
      <bottom/>
      <diagonal/>
    </border>
    <border>
      <left style="thin">
        <color indexed="64"/>
      </left>
      <right style="thin">
        <color rgb="FF000000"/>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s>
  <cellStyleXfs count="69">
    <xf numFmtId="0"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10" fillId="3" borderId="0" applyNumberFormat="0" applyBorder="0" applyAlignment="0" applyProtection="0"/>
    <xf numFmtId="0" fontId="11" fillId="20" borderId="1" applyNumberFormat="0" applyAlignment="0" applyProtection="0"/>
    <xf numFmtId="0" fontId="12" fillId="21" borderId="2" applyNumberFormat="0" applyAlignment="0" applyProtection="0"/>
    <xf numFmtId="0" fontId="13" fillId="0" borderId="0" applyNumberFormat="0" applyFill="0" applyBorder="0" applyAlignment="0" applyProtection="0"/>
    <xf numFmtId="0" fontId="14" fillId="4"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19" fillId="0" borderId="6" applyNumberFormat="0" applyFill="0" applyAlignment="0" applyProtection="0"/>
    <xf numFmtId="0" fontId="20" fillId="22" borderId="0" applyNumberFormat="0" applyBorder="0" applyAlignment="0" applyProtection="0"/>
    <xf numFmtId="0" fontId="7" fillId="23" borderId="7" applyNumberFormat="0" applyFont="0" applyAlignment="0" applyProtection="0"/>
    <xf numFmtId="0" fontId="21" fillId="20" borderId="8" applyNumberFormat="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xf numFmtId="0" fontId="25" fillId="0" borderId="0"/>
    <xf numFmtId="164" fontId="26" fillId="0" borderId="0" applyFont="0" applyFill="0" applyBorder="0" applyAlignment="0" applyProtection="0"/>
    <xf numFmtId="9" fontId="26" fillId="0" borderId="0" applyFont="0" applyFill="0" applyBorder="0" applyAlignment="0" applyProtection="0"/>
    <xf numFmtId="44" fontId="25" fillId="0" borderId="0" applyFont="0" applyFill="0" applyBorder="0" applyAlignment="0" applyProtection="0"/>
    <xf numFmtId="0" fontId="6" fillId="0" borderId="0"/>
    <xf numFmtId="0" fontId="5" fillId="0" borderId="0"/>
    <xf numFmtId="43" fontId="25" fillId="0" borderId="0" applyFont="0" applyFill="0" applyBorder="0" applyAlignment="0" applyProtection="0"/>
    <xf numFmtId="0" fontId="4" fillId="0" borderId="0"/>
    <xf numFmtId="164" fontId="4" fillId="0" borderId="0" applyFont="0" applyFill="0" applyBorder="0" applyAlignment="0" applyProtection="0"/>
    <xf numFmtId="0" fontId="27" fillId="24" borderId="0" applyNumberFormat="0" applyBorder="0" applyAlignment="0" applyProtection="0"/>
    <xf numFmtId="0" fontId="25" fillId="0" borderId="0"/>
    <xf numFmtId="0" fontId="3" fillId="0" borderId="0"/>
    <xf numFmtId="44" fontId="3" fillId="0" borderId="0" applyFont="0" applyFill="0" applyBorder="0" applyAlignment="0" applyProtection="0"/>
    <xf numFmtId="43" fontId="3" fillId="0" borderId="0" applyFont="0" applyFill="0" applyBorder="0" applyAlignment="0" applyProtection="0"/>
    <xf numFmtId="43" fontId="28" fillId="0" borderId="0" applyFont="0" applyFill="0" applyBorder="0" applyAlignment="0" applyProtection="0"/>
    <xf numFmtId="0" fontId="28" fillId="0" borderId="0"/>
    <xf numFmtId="0" fontId="8" fillId="0" borderId="0"/>
    <xf numFmtId="0" fontId="2" fillId="0" borderId="0"/>
    <xf numFmtId="0" fontId="25" fillId="0" borderId="0"/>
    <xf numFmtId="0" fontId="28" fillId="0" borderId="0"/>
    <xf numFmtId="44" fontId="8"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4" fontId="1" fillId="0" borderId="0" applyFont="0" applyFill="0" applyBorder="0" applyAlignment="0" applyProtection="0"/>
    <xf numFmtId="43" fontId="77" fillId="0" borderId="0" applyFont="0" applyFill="0" applyBorder="0" applyAlignment="0" applyProtection="0"/>
    <xf numFmtId="44" fontId="117" fillId="0" borderId="0" applyFont="0" applyFill="0" applyBorder="0" applyAlignment="0" applyProtection="0"/>
  </cellStyleXfs>
  <cellXfs count="550">
    <xf numFmtId="0" fontId="0" fillId="0" borderId="0" xfId="0"/>
    <xf numFmtId="49" fontId="30" fillId="0" borderId="0" xfId="0" applyNumberFormat="1" applyFont="1"/>
    <xf numFmtId="0" fontId="29" fillId="29" borderId="0" xfId="0" applyFont="1" applyFill="1" applyAlignment="1">
      <alignment horizontal="center" vertical="center"/>
    </xf>
    <xf numFmtId="49" fontId="30" fillId="0" borderId="0" xfId="0" applyNumberFormat="1" applyFont="1" applyAlignment="1">
      <alignment horizontal="center"/>
    </xf>
    <xf numFmtId="0" fontId="0" fillId="0" borderId="0" xfId="0" applyAlignment="1">
      <alignment horizontal="center"/>
    </xf>
    <xf numFmtId="166" fontId="30" fillId="0" borderId="0" xfId="0" applyNumberFormat="1" applyFont="1" applyAlignment="1">
      <alignment horizontal="center"/>
    </xf>
    <xf numFmtId="49" fontId="0" fillId="0" borderId="0" xfId="0" applyNumberFormat="1"/>
    <xf numFmtId="49" fontId="31" fillId="30" borderId="13" xfId="0" applyNumberFormat="1" applyFont="1" applyFill="1" applyBorder="1"/>
    <xf numFmtId="49" fontId="31" fillId="30" borderId="0" xfId="0" applyNumberFormat="1" applyFont="1" applyFill="1"/>
    <xf numFmtId="0" fontId="33" fillId="32" borderId="14" xfId="0" applyFont="1" applyFill="1" applyBorder="1" applyAlignment="1">
      <alignment horizontal="left" vertical="top" wrapText="1"/>
    </xf>
    <xf numFmtId="0" fontId="32" fillId="31" borderId="14" xfId="0" applyFont="1" applyFill="1" applyBorder="1" applyAlignment="1">
      <alignment horizontal="left" vertical="top"/>
    </xf>
    <xf numFmtId="0" fontId="33" fillId="32" borderId="14" xfId="0" applyFont="1" applyFill="1" applyBorder="1" applyAlignment="1">
      <alignment horizontal="left" vertical="top"/>
    </xf>
    <xf numFmtId="0" fontId="34" fillId="0" borderId="0" xfId="0" applyFont="1"/>
    <xf numFmtId="49" fontId="36" fillId="0" borderId="0" xfId="0" applyNumberFormat="1" applyFont="1"/>
    <xf numFmtId="0" fontId="34" fillId="0" borderId="0" xfId="0" applyFont="1" applyAlignment="1">
      <alignment horizontal="center"/>
    </xf>
    <xf numFmtId="0" fontId="34" fillId="25" borderId="0" xfId="0" applyFont="1" applyFill="1" applyAlignment="1">
      <alignment horizontal="center"/>
    </xf>
    <xf numFmtId="0" fontId="35" fillId="29" borderId="0" xfId="0" applyFont="1" applyFill="1" applyAlignment="1">
      <alignment horizontal="center" vertical="center"/>
    </xf>
    <xf numFmtId="0" fontId="37" fillId="33" borderId="0" xfId="0" applyFont="1" applyFill="1" applyAlignment="1">
      <alignment horizontal="center" vertical="center"/>
    </xf>
    <xf numFmtId="0" fontId="39" fillId="34" borderId="0" xfId="0" applyFont="1" applyFill="1" applyAlignment="1">
      <alignment horizontal="center" vertical="center"/>
    </xf>
    <xf numFmtId="0" fontId="39" fillId="34" borderId="20" xfId="0" applyFont="1" applyFill="1" applyBorder="1" applyAlignment="1">
      <alignment horizontal="center" vertical="center"/>
    </xf>
    <xf numFmtId="0" fontId="39" fillId="34" borderId="20" xfId="0" applyFont="1" applyFill="1" applyBorder="1" applyAlignment="1">
      <alignment vertical="center"/>
    </xf>
    <xf numFmtId="0" fontId="38" fillId="0" borderId="18" xfId="0" applyFont="1" applyBorder="1" applyAlignment="1">
      <alignment horizontal="center"/>
    </xf>
    <xf numFmtId="0" fontId="38" fillId="0" borderId="19" xfId="0" applyFont="1" applyBorder="1" applyAlignment="1">
      <alignment horizontal="center"/>
    </xf>
    <xf numFmtId="0" fontId="38" fillId="0" borderId="19" xfId="0" applyFont="1" applyBorder="1"/>
    <xf numFmtId="0" fontId="41" fillId="0" borderId="29" xfId="0" applyFont="1" applyBorder="1" applyAlignment="1">
      <alignment horizontal="center"/>
    </xf>
    <xf numFmtId="0" fontId="41" fillId="0" borderId="0" xfId="0" applyFont="1" applyAlignment="1">
      <alignment horizontal="center"/>
    </xf>
    <xf numFmtId="0" fontId="42" fillId="0" borderId="0" xfId="0" applyFont="1" applyAlignment="1">
      <alignment horizontal="center"/>
    </xf>
    <xf numFmtId="0" fontId="42" fillId="0" borderId="30" xfId="0" applyFont="1" applyBorder="1" applyAlignment="1">
      <alignment horizontal="center"/>
    </xf>
    <xf numFmtId="0" fontId="43" fillId="25" borderId="27" xfId="0" applyFont="1" applyFill="1" applyBorder="1" applyAlignment="1">
      <alignment vertical="center" wrapText="1"/>
    </xf>
    <xf numFmtId="0" fontId="43" fillId="25" borderId="28" xfId="0" applyFont="1" applyFill="1" applyBorder="1" applyAlignment="1">
      <alignment horizontal="center" vertical="center" wrapText="1"/>
    </xf>
    <xf numFmtId="0" fontId="44" fillId="36" borderId="28" xfId="0" applyFont="1" applyFill="1" applyBorder="1" applyAlignment="1">
      <alignment horizontal="center" vertical="center" wrapText="1"/>
    </xf>
    <xf numFmtId="0" fontId="43" fillId="25" borderId="28" xfId="0" applyFont="1" applyFill="1" applyBorder="1" applyAlignment="1">
      <alignment vertical="center" wrapText="1"/>
    </xf>
    <xf numFmtId="0" fontId="44" fillId="36" borderId="31" xfId="0" applyFont="1" applyFill="1" applyBorder="1" applyAlignment="1">
      <alignment horizontal="center" vertical="center" wrapText="1"/>
    </xf>
    <xf numFmtId="0" fontId="43" fillId="0" borderId="11" xfId="0" applyFont="1" applyBorder="1" applyAlignment="1">
      <alignment vertical="center"/>
    </xf>
    <xf numFmtId="0" fontId="38" fillId="0" borderId="11" xfId="0" applyFont="1" applyBorder="1" applyAlignment="1">
      <alignment vertical="center" wrapText="1"/>
    </xf>
    <xf numFmtId="0" fontId="43" fillId="0" borderId="24" xfId="0" applyFont="1" applyBorder="1" applyAlignment="1">
      <alignment vertical="center" wrapText="1"/>
    </xf>
    <xf numFmtId="0" fontId="45" fillId="36" borderId="25" xfId="0" applyFont="1" applyFill="1" applyBorder="1" applyAlignment="1">
      <alignment horizontal="center" vertical="center" wrapText="1"/>
    </xf>
    <xf numFmtId="0" fontId="42" fillId="36" borderId="26" xfId="0" applyFont="1" applyFill="1" applyBorder="1" applyAlignment="1">
      <alignment horizontal="center" vertical="center"/>
    </xf>
    <xf numFmtId="0" fontId="40" fillId="0" borderId="0" xfId="0" applyFont="1" applyAlignment="1">
      <alignment horizontal="center"/>
    </xf>
    <xf numFmtId="0" fontId="44" fillId="0" borderId="0" xfId="0" applyFont="1" applyAlignment="1">
      <alignment horizontal="center" vertical="center" wrapText="1"/>
    </xf>
    <xf numFmtId="0" fontId="42" fillId="0" borderId="0" xfId="0" applyFont="1" applyAlignment="1">
      <alignment horizontal="center" vertical="center"/>
    </xf>
    <xf numFmtId="0" fontId="42" fillId="0" borderId="12" xfId="0" applyFont="1" applyBorder="1" applyAlignment="1">
      <alignment horizontal="center" vertical="center"/>
    </xf>
    <xf numFmtId="0" fontId="42" fillId="0" borderId="11" xfId="0" applyFont="1" applyBorder="1" applyAlignment="1">
      <alignment horizontal="center" vertical="center"/>
    </xf>
    <xf numFmtId="0" fontId="42" fillId="0" borderId="10" xfId="0" applyFont="1" applyBorder="1" applyAlignment="1">
      <alignment horizontal="center" vertical="center"/>
    </xf>
    <xf numFmtId="167" fontId="36" fillId="0" borderId="0" xfId="0" applyNumberFormat="1" applyFont="1" applyAlignment="1">
      <alignment horizontal="center"/>
    </xf>
    <xf numFmtId="1" fontId="34" fillId="0" borderId="0" xfId="0" applyNumberFormat="1" applyFont="1" applyAlignment="1">
      <alignment horizontal="center"/>
    </xf>
    <xf numFmtId="43" fontId="36" fillId="0" borderId="0" xfId="48" applyFont="1"/>
    <xf numFmtId="1" fontId="34" fillId="0" borderId="0" xfId="0" applyNumberFormat="1" applyFont="1"/>
    <xf numFmtId="0" fontId="30" fillId="0" borderId="0" xfId="0" applyFont="1" applyAlignment="1">
      <alignment horizontal="center"/>
    </xf>
    <xf numFmtId="0" fontId="25" fillId="0" borderId="0" xfId="0" applyFont="1" applyAlignment="1">
      <alignment horizontal="center"/>
    </xf>
    <xf numFmtId="0" fontId="25" fillId="0" borderId="0" xfId="0" applyFont="1"/>
    <xf numFmtId="0" fontId="47" fillId="0" borderId="0" xfId="63" applyFont="1" applyAlignment="1">
      <alignment horizontal="center"/>
    </xf>
    <xf numFmtId="0" fontId="48" fillId="0" borderId="0" xfId="63" applyFont="1"/>
    <xf numFmtId="0" fontId="46" fillId="0" borderId="0" xfId="64" applyFont="1" applyAlignment="1">
      <alignment horizontal="left" vertical="center"/>
    </xf>
    <xf numFmtId="0" fontId="48" fillId="28" borderId="0" xfId="63" applyFont="1" applyFill="1"/>
    <xf numFmtId="0" fontId="52" fillId="0" borderId="0" xfId="63" applyFont="1"/>
    <xf numFmtId="0" fontId="55" fillId="28" borderId="0" xfId="63" applyFont="1" applyFill="1" applyAlignment="1">
      <alignment horizontal="right" vertical="center" wrapText="1"/>
    </xf>
    <xf numFmtId="0" fontId="55" fillId="28" borderId="0" xfId="63" applyFont="1" applyFill="1" applyAlignment="1">
      <alignment vertical="center" wrapText="1"/>
    </xf>
    <xf numFmtId="0" fontId="49" fillId="0" borderId="0" xfId="63" applyFont="1"/>
    <xf numFmtId="0" fontId="49" fillId="0" borderId="0" xfId="63" applyFont="1" applyAlignment="1">
      <alignment horizontal="left"/>
    </xf>
    <xf numFmtId="0" fontId="58" fillId="0" borderId="34" xfId="48" applyNumberFormat="1" applyFont="1" applyBorder="1" applyAlignment="1">
      <alignment horizontal="center" vertical="center" wrapText="1"/>
    </xf>
    <xf numFmtId="0" fontId="55" fillId="0" borderId="0" xfId="63" applyFont="1" applyAlignment="1">
      <alignment horizontal="right" vertical="center" wrapText="1"/>
    </xf>
    <xf numFmtId="0" fontId="55" fillId="0" borderId="0" xfId="63" applyFont="1" applyAlignment="1">
      <alignment vertical="center" wrapText="1"/>
    </xf>
    <xf numFmtId="0" fontId="62" fillId="43" borderId="46" xfId="0" applyFont="1" applyFill="1" applyBorder="1"/>
    <xf numFmtId="0" fontId="62" fillId="43" borderId="47" xfId="0" applyFont="1" applyFill="1" applyBorder="1"/>
    <xf numFmtId="0" fontId="62" fillId="44" borderId="46" xfId="0" applyFont="1" applyFill="1" applyBorder="1"/>
    <xf numFmtId="0" fontId="62" fillId="44" borderId="47" xfId="0" applyFont="1" applyFill="1" applyBorder="1"/>
    <xf numFmtId="0" fontId="63" fillId="0" borderId="0" xfId="0" applyFont="1"/>
    <xf numFmtId="0" fontId="64" fillId="43" borderId="48" xfId="0" applyFont="1" applyFill="1" applyBorder="1"/>
    <xf numFmtId="0" fontId="62" fillId="43" borderId="49" xfId="0" applyFont="1" applyFill="1" applyBorder="1"/>
    <xf numFmtId="0" fontId="62" fillId="43" borderId="50" xfId="0" applyFont="1" applyFill="1" applyBorder="1"/>
    <xf numFmtId="0" fontId="64" fillId="0" borderId="0" xfId="0" applyFont="1"/>
    <xf numFmtId="0" fontId="0" fillId="0" borderId="0" xfId="0" applyAlignment="1">
      <alignment wrapText="1"/>
    </xf>
    <xf numFmtId="0" fontId="66" fillId="45" borderId="0" xfId="0" applyFont="1" applyFill="1"/>
    <xf numFmtId="0" fontId="66" fillId="46" borderId="0" xfId="0" applyFont="1" applyFill="1"/>
    <xf numFmtId="0" fontId="67" fillId="45" borderId="0" xfId="0" applyFont="1" applyFill="1"/>
    <xf numFmtId="0" fontId="66" fillId="0" borderId="0" xfId="0" applyFont="1"/>
    <xf numFmtId="0" fontId="74" fillId="0" borderId="0" xfId="0" applyFont="1"/>
    <xf numFmtId="0" fontId="73" fillId="0" borderId="0" xfId="0" applyFont="1"/>
    <xf numFmtId="0" fontId="73" fillId="0" borderId="0" xfId="0" applyFont="1" applyAlignment="1">
      <alignment wrapText="1"/>
    </xf>
    <xf numFmtId="0" fontId="75" fillId="46" borderId="0" xfId="0" applyFont="1" applyFill="1"/>
    <xf numFmtId="0" fontId="73" fillId="46" borderId="0" xfId="0" applyFont="1" applyFill="1"/>
    <xf numFmtId="0" fontId="74" fillId="46" borderId="0" xfId="0" applyFont="1" applyFill="1"/>
    <xf numFmtId="0" fontId="76" fillId="0" borderId="0" xfId="0" applyFont="1" applyAlignment="1">
      <alignment wrapText="1"/>
    </xf>
    <xf numFmtId="0" fontId="76" fillId="46" borderId="0" xfId="0" applyFont="1" applyFill="1"/>
    <xf numFmtId="0" fontId="75" fillId="46" borderId="0" xfId="0" applyFont="1" applyFill="1" applyAlignment="1">
      <alignment wrapText="1"/>
    </xf>
    <xf numFmtId="0" fontId="8" fillId="50" borderId="51" xfId="0" applyFont="1" applyFill="1" applyBorder="1" applyAlignment="1">
      <alignment horizontal="left" vertical="center" indent="4"/>
    </xf>
    <xf numFmtId="49" fontId="23" fillId="50" borderId="51" xfId="0" applyNumberFormat="1" applyFont="1" applyFill="1" applyBorder="1" applyAlignment="1">
      <alignment vertical="center" wrapText="1"/>
    </xf>
    <xf numFmtId="49" fontId="23" fillId="50" borderId="51" xfId="0" applyNumberFormat="1" applyFont="1" applyFill="1" applyBorder="1" applyAlignment="1">
      <alignment horizontal="center" vertical="center" wrapText="1"/>
    </xf>
    <xf numFmtId="49" fontId="23" fillId="50" borderId="51" xfId="0" applyNumberFormat="1" applyFont="1" applyFill="1" applyBorder="1" applyAlignment="1">
      <alignment horizontal="right" vertical="center" wrapText="1"/>
    </xf>
    <xf numFmtId="0" fontId="23" fillId="50" borderId="51" xfId="0" applyFont="1" applyFill="1" applyBorder="1" applyAlignment="1">
      <alignment horizontal="center" vertical="center" wrapText="1"/>
    </xf>
    <xf numFmtId="0" fontId="79" fillId="51" borderId="52" xfId="0" applyFont="1" applyFill="1" applyBorder="1" applyAlignment="1">
      <alignment horizontal="left" vertical="center" wrapText="1"/>
    </xf>
    <xf numFmtId="0" fontId="80" fillId="51" borderId="52" xfId="0" applyFont="1" applyFill="1" applyBorder="1" applyAlignment="1">
      <alignment vertical="center" wrapText="1"/>
    </xf>
    <xf numFmtId="0" fontId="80" fillId="51" borderId="52" xfId="60" applyFont="1" applyFill="1" applyBorder="1" applyAlignment="1">
      <alignment horizontal="center" vertical="center" wrapText="1"/>
    </xf>
    <xf numFmtId="169" fontId="80" fillId="51" borderId="52" xfId="0" applyNumberFormat="1" applyFont="1" applyFill="1" applyBorder="1" applyAlignment="1">
      <alignment horizontal="right" vertical="center" wrapText="1"/>
    </xf>
    <xf numFmtId="49" fontId="28" fillId="0" borderId="52" xfId="61" applyNumberFormat="1" applyBorder="1" applyAlignment="1">
      <alignment horizontal="left" vertical="center" wrapText="1"/>
    </xf>
    <xf numFmtId="0" fontId="67" fillId="0" borderId="33" xfId="0" applyFont="1" applyBorder="1" applyAlignment="1">
      <alignment horizontal="center" vertical="center" wrapText="1"/>
    </xf>
    <xf numFmtId="15" fontId="80" fillId="51" borderId="53" xfId="0" applyNumberFormat="1" applyFont="1" applyFill="1" applyBorder="1" applyAlignment="1">
      <alignment horizontal="center" vertical="center" wrapText="1"/>
    </xf>
    <xf numFmtId="4" fontId="80" fillId="51" borderId="52" xfId="0" applyNumberFormat="1" applyFont="1" applyFill="1" applyBorder="1" applyAlignment="1">
      <alignment horizontal="center" vertical="center" wrapText="1"/>
    </xf>
    <xf numFmtId="168" fontId="0" fillId="0" borderId="0" xfId="0" applyNumberFormat="1"/>
    <xf numFmtId="0" fontId="67" fillId="0" borderId="11" xfId="0" applyFont="1" applyBorder="1" applyAlignment="1">
      <alignment horizontal="center" vertical="center" wrapText="1"/>
    </xf>
    <xf numFmtId="15" fontId="80" fillId="51" borderId="11" xfId="0" applyNumberFormat="1" applyFont="1" applyFill="1" applyBorder="1" applyAlignment="1">
      <alignment horizontal="center" vertical="center" wrapText="1"/>
    </xf>
    <xf numFmtId="169" fontId="82" fillId="0" borderId="25" xfId="0" applyNumberFormat="1" applyFont="1" applyBorder="1" applyAlignment="1">
      <alignment horizontal="right"/>
    </xf>
    <xf numFmtId="49" fontId="28" fillId="0" borderId="25" xfId="61" applyNumberFormat="1" applyBorder="1" applyAlignment="1">
      <alignment horizontal="left" vertical="center" wrapText="1"/>
    </xf>
    <xf numFmtId="0" fontId="80" fillId="51" borderId="25" xfId="62" applyNumberFormat="1" applyFont="1" applyFill="1" applyBorder="1" applyAlignment="1">
      <alignment horizontal="center" vertical="center" wrapText="1"/>
    </xf>
    <xf numFmtId="0" fontId="80" fillId="51" borderId="33" xfId="62" applyNumberFormat="1" applyFont="1" applyFill="1" applyBorder="1" applyAlignment="1">
      <alignment horizontal="center" vertical="center" wrapText="1"/>
    </xf>
    <xf numFmtId="4" fontId="80" fillId="51" borderId="25" xfId="0" applyNumberFormat="1" applyFont="1" applyFill="1" applyBorder="1" applyAlignment="1">
      <alignment wrapText="1"/>
    </xf>
    <xf numFmtId="0" fontId="23" fillId="50" borderId="54" xfId="0" applyFont="1" applyFill="1" applyBorder="1" applyAlignment="1">
      <alignment horizontal="left" vertical="center" indent="4"/>
    </xf>
    <xf numFmtId="0" fontId="83" fillId="50" borderId="54" xfId="0" applyFont="1" applyFill="1" applyBorder="1" applyAlignment="1">
      <alignment wrapText="1"/>
    </xf>
    <xf numFmtId="0" fontId="83" fillId="50" borderId="54" xfId="60" applyFont="1" applyFill="1" applyBorder="1" applyAlignment="1">
      <alignment horizontal="center" wrapText="1"/>
    </xf>
    <xf numFmtId="168" fontId="84" fillId="50" borderId="54" xfId="0" applyNumberFormat="1" applyFont="1" applyFill="1" applyBorder="1" applyAlignment="1">
      <alignment horizontal="right" vertical="center" wrapText="1"/>
    </xf>
    <xf numFmtId="0" fontId="83" fillId="50" borderId="54" xfId="62" applyNumberFormat="1" applyFont="1" applyFill="1" applyBorder="1" applyAlignment="1">
      <alignment horizontal="center" vertical="center" wrapText="1"/>
    </xf>
    <xf numFmtId="15" fontId="83" fillId="50" borderId="54" xfId="0" applyNumberFormat="1" applyFont="1" applyFill="1" applyBorder="1" applyAlignment="1">
      <alignment horizontal="center" wrapText="1"/>
    </xf>
    <xf numFmtId="4" fontId="83" fillId="50" borderId="54" xfId="0" applyNumberFormat="1" applyFont="1" applyFill="1" applyBorder="1" applyAlignment="1">
      <alignment wrapText="1"/>
    </xf>
    <xf numFmtId="0" fontId="0" fillId="50" borderId="54" xfId="0" applyFill="1" applyBorder="1"/>
    <xf numFmtId="0" fontId="8" fillId="51" borderId="52" xfId="0" applyFont="1" applyFill="1" applyBorder="1" applyAlignment="1">
      <alignment horizontal="left" vertical="center"/>
    </xf>
    <xf numFmtId="0" fontId="80" fillId="51" borderId="52" xfId="0" applyFont="1" applyFill="1" applyBorder="1" applyAlignment="1">
      <alignment horizontal="center" vertical="center" wrapText="1"/>
    </xf>
    <xf numFmtId="168" fontId="67" fillId="51" borderId="52" xfId="0" applyNumberFormat="1" applyFont="1" applyFill="1" applyBorder="1" applyAlignment="1">
      <alignment horizontal="right" vertical="center" wrapText="1"/>
    </xf>
    <xf numFmtId="0" fontId="80" fillId="28" borderId="52" xfId="62" applyNumberFormat="1" applyFont="1" applyFill="1" applyBorder="1" applyAlignment="1">
      <alignment horizontal="center" vertical="center" wrapText="1"/>
    </xf>
    <xf numFmtId="0" fontId="80" fillId="28" borderId="11" xfId="62" applyNumberFormat="1" applyFont="1" applyFill="1" applyBorder="1" applyAlignment="1">
      <alignment horizontal="center" vertical="center" wrapText="1"/>
    </xf>
    <xf numFmtId="168" fontId="82" fillId="0" borderId="25" xfId="0" applyNumberFormat="1" applyFont="1" applyBorder="1" applyAlignment="1">
      <alignment horizontal="right"/>
    </xf>
    <xf numFmtId="0" fontId="83" fillId="28" borderId="25" xfId="62" applyNumberFormat="1" applyFont="1" applyFill="1" applyBorder="1" applyAlignment="1">
      <alignment horizontal="center" vertical="center" wrapText="1"/>
    </xf>
    <xf numFmtId="15" fontId="83" fillId="51" borderId="25" xfId="0" applyNumberFormat="1" applyFont="1" applyFill="1" applyBorder="1" applyAlignment="1">
      <alignment horizontal="center" wrapText="1"/>
    </xf>
    <xf numFmtId="4" fontId="83" fillId="51" borderId="25" xfId="0" applyNumberFormat="1" applyFont="1" applyFill="1" applyBorder="1" applyAlignment="1">
      <alignment wrapText="1"/>
    </xf>
    <xf numFmtId="0" fontId="23" fillId="50" borderId="51" xfId="0" applyFont="1" applyFill="1" applyBorder="1" applyAlignment="1">
      <alignment horizontal="left" vertical="center" indent="4"/>
    </xf>
    <xf numFmtId="0" fontId="81" fillId="50" borderId="54" xfId="0" applyFont="1" applyFill="1" applyBorder="1" applyAlignment="1">
      <alignment horizontal="center" vertical="center" wrapText="1"/>
    </xf>
    <xf numFmtId="170" fontId="81" fillId="50" borderId="54" xfId="0" applyNumberFormat="1" applyFont="1" applyFill="1" applyBorder="1" applyAlignment="1">
      <alignment horizontal="right" vertical="center" wrapText="1"/>
    </xf>
    <xf numFmtId="0" fontId="81" fillId="50" borderId="54" xfId="62" applyNumberFormat="1" applyFont="1" applyFill="1" applyBorder="1" applyAlignment="1">
      <alignment horizontal="center" vertical="center" wrapText="1"/>
    </xf>
    <xf numFmtId="15" fontId="83" fillId="50" borderId="54" xfId="0" applyNumberFormat="1" applyFont="1" applyFill="1" applyBorder="1" applyAlignment="1">
      <alignment horizontal="center" vertical="center" wrapText="1"/>
    </xf>
    <xf numFmtId="4" fontId="83" fillId="50" borderId="54" xfId="0" applyNumberFormat="1" applyFont="1" applyFill="1" applyBorder="1" applyAlignment="1">
      <alignment horizontal="center" vertical="center" wrapText="1"/>
    </xf>
    <xf numFmtId="49" fontId="79" fillId="51" borderId="51" xfId="0" applyNumberFormat="1" applyFont="1" applyFill="1" applyBorder="1" applyAlignment="1">
      <alignment horizontal="center" wrapText="1"/>
    </xf>
    <xf numFmtId="49" fontId="79" fillId="51" borderId="54" xfId="0" applyNumberFormat="1" applyFont="1" applyFill="1" applyBorder="1" applyAlignment="1">
      <alignment horizontal="center" wrapText="1"/>
    </xf>
    <xf numFmtId="168" fontId="0" fillId="0" borderId="54" xfId="0" applyNumberFormat="1" applyBorder="1"/>
    <xf numFmtId="43" fontId="0" fillId="0" borderId="54" xfId="0" applyNumberFormat="1" applyBorder="1"/>
    <xf numFmtId="0" fontId="8" fillId="0" borderId="54" xfId="0" applyFont="1" applyBorder="1" applyAlignment="1">
      <alignment horizontal="center" vertical="center" wrapText="1"/>
    </xf>
    <xf numFmtId="49" fontId="8" fillId="0" borderId="54" xfId="0" applyNumberFormat="1" applyFont="1" applyBorder="1" applyAlignment="1">
      <alignment horizontal="center" wrapText="1"/>
    </xf>
    <xf numFmtId="0" fontId="0" fillId="51" borderId="54" xfId="0" applyFill="1" applyBorder="1"/>
    <xf numFmtId="0" fontId="23" fillId="0" borderId="51" xfId="0" applyFont="1" applyBorder="1" applyAlignment="1">
      <alignment horizontal="left" vertical="center" indent="4"/>
    </xf>
    <xf numFmtId="0" fontId="81" fillId="0" borderId="54" xfId="0" applyFont="1" applyBorder="1" applyAlignment="1">
      <alignment horizontal="center" vertical="center" wrapText="1"/>
    </xf>
    <xf numFmtId="43" fontId="81" fillId="0" borderId="54" xfId="0" applyNumberFormat="1" applyFont="1" applyBorder="1" applyAlignment="1">
      <alignment horizontal="right" vertical="center" wrapText="1"/>
    </xf>
    <xf numFmtId="0" fontId="83" fillId="0" borderId="54" xfId="0" applyFont="1" applyBorder="1" applyAlignment="1">
      <alignment horizontal="center" vertical="center" wrapText="1"/>
    </xf>
    <xf numFmtId="15" fontId="83" fillId="0" borderId="54" xfId="0" applyNumberFormat="1" applyFont="1" applyBorder="1" applyAlignment="1">
      <alignment horizontal="center" vertical="center" wrapText="1"/>
    </xf>
    <xf numFmtId="4" fontId="83" fillId="0" borderId="54" xfId="0" applyNumberFormat="1" applyFont="1" applyBorder="1" applyAlignment="1">
      <alignment horizontal="center" vertical="center" wrapText="1"/>
    </xf>
    <xf numFmtId="0" fontId="85" fillId="51" borderId="25" xfId="62" applyNumberFormat="1" applyFont="1" applyFill="1" applyBorder="1" applyAlignment="1">
      <alignment horizontal="center" vertical="center" wrapText="1"/>
    </xf>
    <xf numFmtId="0" fontId="8" fillId="0" borderId="11" xfId="0" applyFont="1" applyBorder="1" applyAlignment="1">
      <alignment horizontal="left" vertical="center" indent="4"/>
    </xf>
    <xf numFmtId="0" fontId="79" fillId="51" borderId="11" xfId="0" applyFont="1" applyFill="1" applyBorder="1" applyAlignment="1">
      <alignment horizontal="center" vertical="center" wrapText="1"/>
    </xf>
    <xf numFmtId="43" fontId="79" fillId="51" borderId="11" xfId="0" applyNumberFormat="1" applyFont="1" applyFill="1" applyBorder="1" applyAlignment="1">
      <alignment horizontal="right" vertical="center" wrapText="1"/>
    </xf>
    <xf numFmtId="0" fontId="80" fillId="51" borderId="11" xfId="0" applyFont="1" applyFill="1" applyBorder="1" applyAlignment="1">
      <alignment horizontal="center" vertical="center" wrapText="1"/>
    </xf>
    <xf numFmtId="0" fontId="0" fillId="51" borderId="11" xfId="0" applyFill="1" applyBorder="1"/>
    <xf numFmtId="43" fontId="82" fillId="0" borderId="36" xfId="0" applyNumberFormat="1" applyFont="1" applyBorder="1"/>
    <xf numFmtId="0" fontId="79" fillId="51" borderId="33" xfId="62" applyNumberFormat="1" applyFont="1" applyFill="1" applyBorder="1" applyAlignment="1">
      <alignment horizontal="center" vertical="center" wrapText="1"/>
    </xf>
    <xf numFmtId="15" fontId="80" fillId="51" borderId="33" xfId="0" applyNumberFormat="1" applyFont="1" applyFill="1" applyBorder="1" applyAlignment="1">
      <alignment horizontal="center" wrapText="1"/>
    </xf>
    <xf numFmtId="4" fontId="80" fillId="51" borderId="33" xfId="0" applyNumberFormat="1" applyFont="1" applyFill="1" applyBorder="1" applyAlignment="1">
      <alignment wrapText="1"/>
    </xf>
    <xf numFmtId="0" fontId="0" fillId="51" borderId="33" xfId="0" applyFill="1" applyBorder="1"/>
    <xf numFmtId="165" fontId="0" fillId="0" borderId="0" xfId="67" applyNumberFormat="1" applyFont="1" applyAlignment="1">
      <alignment horizontal="right"/>
    </xf>
    <xf numFmtId="169" fontId="86" fillId="52" borderId="11" xfId="0" applyNumberFormat="1" applyFont="1" applyFill="1" applyBorder="1" applyAlignment="1">
      <alignment horizontal="right" vertical="center"/>
    </xf>
    <xf numFmtId="169" fontId="86" fillId="52" borderId="38" xfId="0" applyNumberFormat="1" applyFont="1" applyFill="1" applyBorder="1" applyAlignment="1">
      <alignment horizontal="right" vertical="center"/>
    </xf>
    <xf numFmtId="169" fontId="86" fillId="52" borderId="12" xfId="0" applyNumberFormat="1" applyFont="1" applyFill="1" applyBorder="1" applyAlignment="1">
      <alignment horizontal="right" vertical="center"/>
    </xf>
    <xf numFmtId="0" fontId="0" fillId="0" borderId="0" xfId="0" applyAlignment="1">
      <alignment horizontal="right"/>
    </xf>
    <xf numFmtId="49" fontId="23" fillId="50" borderId="54" xfId="0" applyNumberFormat="1" applyFont="1" applyFill="1" applyBorder="1" applyAlignment="1">
      <alignment horizontal="center" vertical="center" wrapText="1"/>
    </xf>
    <xf numFmtId="49" fontId="23" fillId="50" borderId="58" xfId="0" applyNumberFormat="1" applyFont="1" applyFill="1" applyBorder="1" applyAlignment="1">
      <alignment vertical="center" wrapText="1"/>
    </xf>
    <xf numFmtId="49" fontId="79" fillId="51" borderId="52" xfId="0" applyNumberFormat="1" applyFont="1" applyFill="1" applyBorder="1" applyAlignment="1">
      <alignment horizontal="center" vertical="center" wrapText="1"/>
    </xf>
    <xf numFmtId="0" fontId="79" fillId="51" borderId="52" xfId="0" applyFont="1" applyFill="1" applyBorder="1" applyAlignment="1">
      <alignment vertical="center"/>
    </xf>
    <xf numFmtId="0" fontId="0" fillId="0" borderId="35" xfId="0" applyBorder="1" applyAlignment="1">
      <alignment horizontal="center"/>
    </xf>
    <xf numFmtId="0" fontId="79" fillId="51" borderId="25" xfId="0" applyFont="1" applyFill="1" applyBorder="1"/>
    <xf numFmtId="49" fontId="23" fillId="50" borderId="54" xfId="0" applyNumberFormat="1" applyFont="1" applyFill="1" applyBorder="1" applyAlignment="1">
      <alignment horizontal="center" wrapText="1"/>
    </xf>
    <xf numFmtId="49" fontId="8" fillId="51" borderId="52" xfId="0" applyNumberFormat="1" applyFont="1" applyFill="1" applyBorder="1" applyAlignment="1">
      <alignment horizontal="center" vertical="center" wrapText="1"/>
    </xf>
    <xf numFmtId="0" fontId="0" fillId="51" borderId="52" xfId="0" applyFill="1" applyBorder="1" applyAlignment="1">
      <alignment horizontal="center" vertical="center"/>
    </xf>
    <xf numFmtId="0" fontId="0" fillId="51" borderId="25" xfId="0" applyFill="1" applyBorder="1"/>
    <xf numFmtId="49" fontId="81" fillId="50" borderId="54" xfId="0" applyNumberFormat="1" applyFont="1" applyFill="1" applyBorder="1" applyAlignment="1">
      <alignment horizontal="center" vertical="center" wrapText="1"/>
    </xf>
    <xf numFmtId="49" fontId="81" fillId="51" borderId="54" xfId="0" applyNumberFormat="1" applyFont="1" applyFill="1" applyBorder="1" applyAlignment="1">
      <alignment horizontal="center" wrapText="1"/>
    </xf>
    <xf numFmtId="49" fontId="81" fillId="0" borderId="54" xfId="0" applyNumberFormat="1" applyFont="1" applyBorder="1" applyAlignment="1">
      <alignment horizontal="center" vertical="center" wrapText="1"/>
    </xf>
    <xf numFmtId="0" fontId="0" fillId="0" borderId="54" xfId="0" applyBorder="1"/>
    <xf numFmtId="0" fontId="0" fillId="0" borderId="35" xfId="0" applyBorder="1"/>
    <xf numFmtId="0" fontId="0" fillId="0" borderId="36" xfId="0" applyBorder="1"/>
    <xf numFmtId="49" fontId="79" fillId="51" borderId="11" xfId="0" applyNumberFormat="1" applyFont="1" applyFill="1" applyBorder="1" applyAlignment="1">
      <alignment horizontal="center" vertical="center" wrapText="1"/>
    </xf>
    <xf numFmtId="49" fontId="81" fillId="28" borderId="54" xfId="0" applyNumberFormat="1" applyFont="1" applyFill="1" applyBorder="1" applyAlignment="1">
      <alignment horizontal="center" vertical="center" wrapText="1"/>
    </xf>
    <xf numFmtId="0" fontId="23" fillId="28" borderId="51" xfId="0" applyFont="1" applyFill="1" applyBorder="1" applyAlignment="1">
      <alignment horizontal="left" vertical="center" indent="4"/>
    </xf>
    <xf numFmtId="0" fontId="81" fillId="28" borderId="54" xfId="0" applyFont="1" applyFill="1" applyBorder="1" applyAlignment="1">
      <alignment horizontal="center" vertical="center" wrapText="1"/>
    </xf>
    <xf numFmtId="170" fontId="81" fillId="28" borderId="54" xfId="0" applyNumberFormat="1" applyFont="1" applyFill="1" applyBorder="1" applyAlignment="1">
      <alignment horizontal="right" vertical="center" wrapText="1"/>
    </xf>
    <xf numFmtId="0" fontId="81" fillId="28" borderId="54" xfId="62" applyNumberFormat="1" applyFont="1" applyFill="1" applyBorder="1" applyAlignment="1">
      <alignment horizontal="center" vertical="center" wrapText="1"/>
    </xf>
    <xf numFmtId="15" fontId="83" fillId="28" borderId="54" xfId="0" applyNumberFormat="1" applyFont="1" applyFill="1" applyBorder="1" applyAlignment="1">
      <alignment horizontal="center" vertical="center" wrapText="1"/>
    </xf>
    <xf numFmtId="4" fontId="83" fillId="28" borderId="54" xfId="0" applyNumberFormat="1" applyFont="1" applyFill="1" applyBorder="1" applyAlignment="1">
      <alignment horizontal="center" vertical="center" wrapText="1"/>
    </xf>
    <xf numFmtId="0" fontId="0" fillId="28" borderId="54" xfId="0" applyFill="1" applyBorder="1"/>
    <xf numFmtId="49" fontId="81" fillId="50" borderId="57" xfId="0" applyNumberFormat="1" applyFont="1" applyFill="1" applyBorder="1" applyAlignment="1">
      <alignment horizontal="center" vertical="center" wrapText="1"/>
    </xf>
    <xf numFmtId="0" fontId="23" fillId="50" borderId="55" xfId="0" applyFont="1" applyFill="1" applyBorder="1" applyAlignment="1">
      <alignment horizontal="left" vertical="center" indent="4"/>
    </xf>
    <xf numFmtId="0" fontId="81" fillId="50" borderId="57" xfId="0" applyFont="1" applyFill="1" applyBorder="1" applyAlignment="1">
      <alignment horizontal="center" vertical="center" wrapText="1"/>
    </xf>
    <xf numFmtId="43" fontId="81" fillId="50" borderId="57" xfId="0" applyNumberFormat="1" applyFont="1" applyFill="1" applyBorder="1" applyAlignment="1">
      <alignment horizontal="right" vertical="center" wrapText="1"/>
    </xf>
    <xf numFmtId="0" fontId="83" fillId="50" borderId="57" xfId="0" applyFont="1" applyFill="1" applyBorder="1" applyAlignment="1">
      <alignment horizontal="center" vertical="center" wrapText="1"/>
    </xf>
    <xf numFmtId="15" fontId="83" fillId="50" borderId="57" xfId="0" applyNumberFormat="1" applyFont="1" applyFill="1" applyBorder="1" applyAlignment="1">
      <alignment horizontal="center" vertical="center" wrapText="1"/>
    </xf>
    <xf numFmtId="4" fontId="83" fillId="50" borderId="57" xfId="0" applyNumberFormat="1" applyFont="1" applyFill="1" applyBorder="1" applyAlignment="1">
      <alignment horizontal="center" vertical="center" wrapText="1"/>
    </xf>
    <xf numFmtId="0" fontId="0" fillId="50" borderId="57" xfId="0" applyFill="1" applyBorder="1"/>
    <xf numFmtId="0" fontId="70" fillId="0" borderId="11" xfId="0" applyFont="1" applyBorder="1" applyAlignment="1">
      <alignment vertical="top" wrapText="1"/>
    </xf>
    <xf numFmtId="0" fontId="71" fillId="0" borderId="12" xfId="0" applyFont="1" applyBorder="1" applyAlignment="1">
      <alignment vertical="top" wrapText="1"/>
    </xf>
    <xf numFmtId="0" fontId="70" fillId="0" borderId="12" xfId="0" applyFont="1" applyBorder="1" applyAlignment="1">
      <alignment vertical="top"/>
    </xf>
    <xf numFmtId="0" fontId="70" fillId="0" borderId="12" xfId="0" applyFont="1" applyBorder="1" applyAlignment="1">
      <alignment vertical="top" wrapText="1"/>
    </xf>
    <xf numFmtId="0" fontId="72" fillId="0" borderId="12" xfId="0" applyFont="1" applyBorder="1" applyAlignment="1">
      <alignment vertical="top" wrapText="1"/>
    </xf>
    <xf numFmtId="0" fontId="71" fillId="0" borderId="12" xfId="0" applyFont="1" applyBorder="1" applyAlignment="1">
      <alignment vertical="top"/>
    </xf>
    <xf numFmtId="0" fontId="69" fillId="48" borderId="12" xfId="0" applyFont="1" applyFill="1" applyBorder="1" applyAlignment="1">
      <alignment vertical="top" wrapText="1"/>
    </xf>
    <xf numFmtId="0" fontId="69" fillId="46" borderId="11" xfId="0" applyFont="1" applyFill="1" applyBorder="1" applyAlignment="1">
      <alignment vertical="top" wrapText="1"/>
    </xf>
    <xf numFmtId="0" fontId="87" fillId="0" borderId="0" xfId="0" applyFont="1" applyAlignment="1">
      <alignment vertical="top"/>
    </xf>
    <xf numFmtId="0" fontId="65" fillId="0" borderId="0" xfId="0" applyFont="1" applyAlignment="1">
      <alignment vertical="top"/>
    </xf>
    <xf numFmtId="0" fontId="43" fillId="0" borderId="54" xfId="0" applyFont="1" applyBorder="1" applyAlignment="1">
      <alignment vertical="center"/>
    </xf>
    <xf numFmtId="0" fontId="38" fillId="0" borderId="54" xfId="0" applyFont="1" applyBorder="1" applyAlignment="1">
      <alignment vertical="center" wrapText="1"/>
    </xf>
    <xf numFmtId="0" fontId="87" fillId="47" borderId="11" xfId="0" applyFont="1" applyFill="1" applyBorder="1" applyAlignment="1">
      <alignment horizontal="center" vertical="center" wrapText="1"/>
    </xf>
    <xf numFmtId="0" fontId="87" fillId="53" borderId="12" xfId="0" applyFont="1" applyFill="1" applyBorder="1" applyAlignment="1">
      <alignment horizontal="center" vertical="center" wrapText="1"/>
    </xf>
    <xf numFmtId="0" fontId="87" fillId="53" borderId="12" xfId="0" applyFont="1" applyFill="1" applyBorder="1" applyAlignment="1">
      <alignment horizontal="center" vertical="center"/>
    </xf>
    <xf numFmtId="0" fontId="66" fillId="46" borderId="0" xfId="0" applyFont="1" applyFill="1" applyAlignment="1">
      <alignment horizontal="center" vertical="center"/>
    </xf>
    <xf numFmtId="4" fontId="66" fillId="46" borderId="0" xfId="0" applyNumberFormat="1" applyFont="1" applyFill="1" applyAlignment="1">
      <alignment horizontal="center" vertical="center"/>
    </xf>
    <xf numFmtId="0" fontId="0" fillId="0" borderId="0" xfId="0" applyAlignment="1">
      <alignment horizontal="center" vertical="center"/>
    </xf>
    <xf numFmtId="0" fontId="0" fillId="0" borderId="0" xfId="0" applyAlignment="1">
      <alignment horizontal="left"/>
    </xf>
    <xf numFmtId="0" fontId="92" fillId="54" borderId="62" xfId="0" applyFont="1" applyFill="1" applyBorder="1" applyAlignment="1">
      <alignment wrapText="1" readingOrder="1"/>
    </xf>
    <xf numFmtId="0" fontId="0" fillId="54" borderId="64" xfId="0" applyFill="1" applyBorder="1" applyAlignment="1">
      <alignment wrapText="1"/>
    </xf>
    <xf numFmtId="0" fontId="92" fillId="54" borderId="11" xfId="0" applyFont="1" applyFill="1" applyBorder="1" applyAlignment="1">
      <alignment wrapText="1"/>
    </xf>
    <xf numFmtId="0" fontId="92" fillId="54" borderId="63" xfId="0" applyFont="1" applyFill="1" applyBorder="1" applyAlignment="1">
      <alignment horizontal="center" vertical="center" wrapText="1" readingOrder="1"/>
    </xf>
    <xf numFmtId="0" fontId="0" fillId="54" borderId="65" xfId="0" applyFill="1" applyBorder="1" applyAlignment="1">
      <alignment horizontal="center" vertical="center" wrapText="1"/>
    </xf>
    <xf numFmtId="0" fontId="93" fillId="55" borderId="63" xfId="0" applyFont="1" applyFill="1" applyBorder="1" applyAlignment="1">
      <alignment horizontal="center" vertical="center" wrapText="1" readingOrder="1"/>
    </xf>
    <xf numFmtId="0" fontId="91" fillId="55" borderId="63" xfId="0" applyFont="1" applyFill="1" applyBorder="1" applyAlignment="1">
      <alignment horizontal="center" vertical="center" wrapText="1" readingOrder="1"/>
    </xf>
    <xf numFmtId="0" fontId="93" fillId="55" borderId="63" xfId="0" applyFont="1" applyFill="1" applyBorder="1" applyAlignment="1">
      <alignment horizontal="center" vertical="center" wrapText="1"/>
    </xf>
    <xf numFmtId="0" fontId="0" fillId="0" borderId="0" xfId="0" applyAlignment="1">
      <alignment horizontal="center" vertical="center" wrapText="1"/>
    </xf>
    <xf numFmtId="0" fontId="0" fillId="54" borderId="11" xfId="0" applyFill="1" applyBorder="1" applyAlignment="1">
      <alignment horizontal="center" vertical="center" wrapText="1"/>
    </xf>
    <xf numFmtId="0" fontId="93" fillId="55" borderId="72" xfId="0" applyFont="1" applyFill="1" applyBorder="1" applyAlignment="1">
      <alignment horizontal="center" vertical="center" wrapText="1" readingOrder="1"/>
    </xf>
    <xf numFmtId="0" fontId="0" fillId="39" borderId="0" xfId="0" applyFill="1"/>
    <xf numFmtId="0" fontId="42" fillId="36" borderId="73" xfId="0" applyFont="1" applyFill="1" applyBorder="1" applyAlignment="1">
      <alignment horizontal="center" vertical="center"/>
    </xf>
    <xf numFmtId="0" fontId="42" fillId="0" borderId="74" xfId="0" applyFont="1" applyBorder="1" applyAlignment="1">
      <alignment horizontal="center" vertical="center"/>
    </xf>
    <xf numFmtId="0" fontId="42" fillId="0" borderId="75" xfId="0" applyFont="1" applyBorder="1" applyAlignment="1">
      <alignment horizontal="center" vertical="center"/>
    </xf>
    <xf numFmtId="0" fontId="42" fillId="0" borderId="76" xfId="0" applyFont="1" applyBorder="1" applyAlignment="1">
      <alignment horizontal="center" vertical="center"/>
    </xf>
    <xf numFmtId="0" fontId="42" fillId="0" borderId="78" xfId="0" applyFont="1" applyBorder="1" applyAlignment="1">
      <alignment horizontal="center" vertical="center"/>
    </xf>
    <xf numFmtId="0" fontId="42" fillId="0" borderId="79" xfId="0" applyFont="1" applyBorder="1" applyAlignment="1">
      <alignment horizontal="center" vertical="center"/>
    </xf>
    <xf numFmtId="0" fontId="42" fillId="0" borderId="80" xfId="0" applyFont="1" applyBorder="1" applyAlignment="1">
      <alignment horizontal="center" vertical="center"/>
    </xf>
    <xf numFmtId="0" fontId="52" fillId="0" borderId="74" xfId="63" applyFont="1" applyBorder="1" applyAlignment="1">
      <alignment horizontal="center" vertical="center" wrapText="1"/>
    </xf>
    <xf numFmtId="0" fontId="52" fillId="0" borderId="75" xfId="63" applyFont="1" applyBorder="1" applyAlignment="1">
      <alignment vertical="center" wrapText="1"/>
    </xf>
    <xf numFmtId="0" fontId="58" fillId="0" borderId="80" xfId="48" applyNumberFormat="1" applyFont="1" applyBorder="1" applyAlignment="1">
      <alignment horizontal="center" vertical="center" wrapText="1"/>
    </xf>
    <xf numFmtId="0" fontId="52" fillId="0" borderId="76" xfId="63" applyFont="1" applyBorder="1" applyAlignment="1">
      <alignment vertical="center" wrapText="1"/>
    </xf>
    <xf numFmtId="0" fontId="52" fillId="0" borderId="75" xfId="63" applyFont="1" applyBorder="1" applyAlignment="1">
      <alignment horizontal="left" vertical="center" wrapText="1"/>
    </xf>
    <xf numFmtId="0" fontId="58" fillId="0" borderId="76" xfId="48" applyNumberFormat="1" applyFont="1" applyBorder="1" applyAlignment="1">
      <alignment horizontal="center" vertical="center" wrapText="1"/>
    </xf>
    <xf numFmtId="0" fontId="59" fillId="0" borderId="76" xfId="48" applyNumberFormat="1" applyFont="1" applyBorder="1" applyAlignment="1">
      <alignment horizontal="center" vertical="center" wrapText="1"/>
    </xf>
    <xf numFmtId="0" fontId="53" fillId="25" borderId="80" xfId="63" applyFont="1" applyFill="1" applyBorder="1" applyAlignment="1">
      <alignment vertical="center"/>
    </xf>
    <xf numFmtId="0" fontId="54" fillId="25" borderId="78" xfId="63" applyFont="1" applyFill="1" applyBorder="1" applyAlignment="1">
      <alignment vertical="center"/>
    </xf>
    <xf numFmtId="0" fontId="54" fillId="25" borderId="75" xfId="63" applyFont="1" applyFill="1" applyBorder="1" applyAlignment="1">
      <alignment vertical="center"/>
    </xf>
    <xf numFmtId="0" fontId="54" fillId="25" borderId="75" xfId="63" applyFont="1" applyFill="1" applyBorder="1" applyAlignment="1">
      <alignment horizontal="center" vertical="center"/>
    </xf>
    <xf numFmtId="0" fontId="52" fillId="0" borderId="75" xfId="63" applyFont="1" applyBorder="1" applyAlignment="1">
      <alignment horizontal="center" vertical="center"/>
    </xf>
    <xf numFmtId="0" fontId="52" fillId="0" borderId="81" xfId="63" applyFont="1" applyBorder="1" applyAlignment="1">
      <alignment horizontal="center" vertical="center"/>
    </xf>
    <xf numFmtId="0" fontId="58" fillId="0" borderId="75" xfId="48" applyNumberFormat="1" applyFont="1" applyBorder="1" applyAlignment="1">
      <alignment horizontal="center" vertical="center" wrapText="1"/>
    </xf>
    <xf numFmtId="49" fontId="23" fillId="49" borderId="75" xfId="0" applyNumberFormat="1" applyFont="1" applyFill="1" applyBorder="1" applyAlignment="1">
      <alignment horizontal="center" vertical="center" wrapText="1"/>
    </xf>
    <xf numFmtId="0" fontId="23" fillId="49" borderId="75" xfId="60" applyFont="1" applyFill="1" applyBorder="1" applyAlignment="1">
      <alignment horizontal="center" vertical="center" wrapText="1"/>
    </xf>
    <xf numFmtId="0" fontId="23" fillId="49" borderId="75" xfId="0" applyFont="1" applyFill="1" applyBorder="1" applyAlignment="1">
      <alignment horizontal="center" vertical="center" wrapText="1"/>
    </xf>
    <xf numFmtId="168" fontId="23" fillId="49" borderId="75" xfId="0" applyNumberFormat="1" applyFont="1" applyFill="1" applyBorder="1" applyAlignment="1">
      <alignment horizontal="center" vertical="center" wrapText="1"/>
    </xf>
    <xf numFmtId="4" fontId="23" fillId="49" borderId="75" xfId="0" applyNumberFormat="1" applyFont="1" applyFill="1" applyBorder="1" applyAlignment="1">
      <alignment horizontal="center" vertical="center" wrapText="1"/>
    </xf>
    <xf numFmtId="0" fontId="67" fillId="0" borderId="75" xfId="0" applyFont="1" applyBorder="1" applyAlignment="1">
      <alignment horizontal="center" vertical="center" wrapText="1"/>
    </xf>
    <xf numFmtId="49" fontId="79" fillId="51" borderId="75" xfId="0" applyNumberFormat="1" applyFont="1" applyFill="1" applyBorder="1" applyAlignment="1">
      <alignment horizontal="center" vertical="center" wrapText="1"/>
    </xf>
    <xf numFmtId="0" fontId="79" fillId="51" borderId="75" xfId="0" applyFont="1" applyFill="1" applyBorder="1" applyAlignment="1">
      <alignment horizontal="left" vertical="center" wrapText="1"/>
    </xf>
    <xf numFmtId="0" fontId="80" fillId="51" borderId="75" xfId="0" applyFont="1" applyFill="1" applyBorder="1" applyAlignment="1">
      <alignment vertical="center" wrapText="1"/>
    </xf>
    <xf numFmtId="0" fontId="80" fillId="51" borderId="75" xfId="60" applyFont="1" applyFill="1" applyBorder="1" applyAlignment="1">
      <alignment horizontal="center" vertical="center" wrapText="1"/>
    </xf>
    <xf numFmtId="169" fontId="80" fillId="51" borderId="75" xfId="0" applyNumberFormat="1" applyFont="1" applyFill="1" applyBorder="1" applyAlignment="1">
      <alignment horizontal="right" vertical="center" wrapText="1"/>
    </xf>
    <xf numFmtId="49" fontId="28" fillId="0" borderId="75" xfId="61" applyNumberFormat="1" applyBorder="1" applyAlignment="1">
      <alignment horizontal="left" vertical="center" wrapText="1"/>
    </xf>
    <xf numFmtId="4" fontId="80" fillId="51" borderId="75" xfId="0" applyNumberFormat="1" applyFont="1" applyFill="1" applyBorder="1" applyAlignment="1">
      <alignment horizontal="center" vertical="center" wrapText="1"/>
    </xf>
    <xf numFmtId="0" fontId="79" fillId="51" borderId="75" xfId="0" applyFont="1" applyFill="1" applyBorder="1" applyAlignment="1">
      <alignment vertical="center"/>
    </xf>
    <xf numFmtId="49" fontId="8" fillId="0" borderId="75" xfId="0" applyNumberFormat="1" applyFont="1" applyBorder="1" applyAlignment="1">
      <alignment horizontal="left" wrapText="1"/>
    </xf>
    <xf numFmtId="49" fontId="8" fillId="0" borderId="75" xfId="0" applyNumberFormat="1" applyFont="1" applyBorder="1" applyAlignment="1">
      <alignment horizontal="center" wrapText="1"/>
    </xf>
    <xf numFmtId="168" fontId="67" fillId="51" borderId="75" xfId="0" applyNumberFormat="1" applyFont="1" applyFill="1" applyBorder="1" applyAlignment="1">
      <alignment horizontal="right" vertical="center" wrapText="1"/>
    </xf>
    <xf numFmtId="15" fontId="80" fillId="51" borderId="75" xfId="0" applyNumberFormat="1" applyFont="1" applyFill="1" applyBorder="1" applyAlignment="1">
      <alignment horizontal="center" vertical="center" wrapText="1"/>
    </xf>
    <xf numFmtId="0" fontId="79" fillId="51" borderId="75" xfId="0" applyFont="1" applyFill="1" applyBorder="1" applyAlignment="1">
      <alignment horizontal="left" wrapText="1"/>
    </xf>
    <xf numFmtId="0" fontId="80" fillId="51" borderId="75" xfId="0" applyFont="1" applyFill="1" applyBorder="1" applyAlignment="1">
      <alignment wrapText="1"/>
    </xf>
    <xf numFmtId="0" fontId="80" fillId="51" borderId="75" xfId="60" applyFont="1" applyFill="1" applyBorder="1" applyAlignment="1">
      <alignment horizontal="center" wrapText="1"/>
    </xf>
    <xf numFmtId="0" fontId="79" fillId="51" borderId="75" xfId="0" applyFont="1" applyFill="1" applyBorder="1"/>
    <xf numFmtId="49" fontId="8" fillId="51" borderId="75" xfId="0" applyNumberFormat="1" applyFont="1" applyFill="1" applyBorder="1" applyAlignment="1">
      <alignment horizontal="center" vertical="center" wrapText="1"/>
    </xf>
    <xf numFmtId="0" fontId="8" fillId="51" borderId="75" xfId="0" applyFont="1" applyFill="1" applyBorder="1" applyAlignment="1">
      <alignment horizontal="left" vertical="center"/>
    </xf>
    <xf numFmtId="0" fontId="80" fillId="51" borderId="75" xfId="0" applyFont="1" applyFill="1" applyBorder="1" applyAlignment="1">
      <alignment horizontal="center" vertical="center" wrapText="1"/>
    </xf>
    <xf numFmtId="0" fontId="80" fillId="28" borderId="75" xfId="62" applyNumberFormat="1" applyFont="1" applyFill="1" applyBorder="1" applyAlignment="1">
      <alignment horizontal="center" vertical="center" wrapText="1"/>
    </xf>
    <xf numFmtId="0" fontId="0" fillId="51" borderId="75" xfId="0" applyFill="1" applyBorder="1" applyAlignment="1">
      <alignment horizontal="center" vertical="center"/>
    </xf>
    <xf numFmtId="0" fontId="8" fillId="0" borderId="75" xfId="0" applyFont="1" applyBorder="1" applyAlignment="1">
      <alignment horizontal="left" vertical="center" indent="4"/>
    </xf>
    <xf numFmtId="0" fontId="79" fillId="51" borderId="75" xfId="0" applyFont="1" applyFill="1" applyBorder="1" applyAlignment="1">
      <alignment horizontal="center" vertical="center" wrapText="1"/>
    </xf>
    <xf numFmtId="43" fontId="79" fillId="51" borderId="75" xfId="0" applyNumberFormat="1" applyFont="1" applyFill="1" applyBorder="1" applyAlignment="1">
      <alignment horizontal="right" vertical="center" wrapText="1"/>
    </xf>
    <xf numFmtId="0" fontId="0" fillId="51" borderId="75" xfId="0" applyFill="1" applyBorder="1"/>
    <xf numFmtId="43" fontId="79" fillId="51" borderId="75" xfId="48" applyFont="1" applyFill="1" applyBorder="1" applyAlignment="1">
      <alignment horizontal="right" vertical="center" wrapText="1"/>
    </xf>
    <xf numFmtId="0" fontId="79" fillId="51" borderId="75" xfId="62" applyNumberFormat="1" applyFont="1" applyFill="1" applyBorder="1" applyAlignment="1">
      <alignment horizontal="center" vertical="center" wrapText="1"/>
    </xf>
    <xf numFmtId="15" fontId="80" fillId="51" borderId="75" xfId="0" applyNumberFormat="1" applyFont="1" applyFill="1" applyBorder="1" applyAlignment="1">
      <alignment horizontal="center" wrapText="1"/>
    </xf>
    <xf numFmtId="4" fontId="80" fillId="51" borderId="75" xfId="0" applyNumberFormat="1" applyFont="1" applyFill="1" applyBorder="1" applyAlignment="1">
      <alignment wrapText="1"/>
    </xf>
    <xf numFmtId="43" fontId="82" fillId="0" borderId="74" xfId="0" applyNumberFormat="1" applyFont="1" applyBorder="1"/>
    <xf numFmtId="0" fontId="87" fillId="53" borderId="74" xfId="0" applyFont="1" applyFill="1" applyBorder="1" applyAlignment="1">
      <alignment horizontal="center" vertical="center" wrapText="1"/>
    </xf>
    <xf numFmtId="0" fontId="87" fillId="53" borderId="74" xfId="0" applyFont="1" applyFill="1" applyBorder="1" applyAlignment="1">
      <alignment horizontal="center" vertical="center"/>
    </xf>
    <xf numFmtId="0" fontId="88" fillId="53" borderId="74" xfId="0" applyFont="1" applyFill="1" applyBorder="1" applyAlignment="1">
      <alignment horizontal="center" vertical="center" wrapText="1"/>
    </xf>
    <xf numFmtId="0" fontId="87" fillId="47" borderId="74" xfId="0" applyFont="1" applyFill="1" applyBorder="1" applyAlignment="1">
      <alignment horizontal="center" vertical="center" wrapText="1"/>
    </xf>
    <xf numFmtId="0" fontId="73" fillId="0" borderId="75" xfId="0" applyFont="1" applyBorder="1" applyAlignment="1">
      <alignment vertical="top" wrapText="1"/>
    </xf>
    <xf numFmtId="0" fontId="73" fillId="0" borderId="82" xfId="0" applyFont="1" applyBorder="1" applyAlignment="1">
      <alignment vertical="top" wrapText="1"/>
    </xf>
    <xf numFmtId="0" fontId="45" fillId="36" borderId="75" xfId="0" applyFont="1" applyFill="1" applyBorder="1" applyAlignment="1">
      <alignment horizontal="center" vertical="center" wrapText="1"/>
    </xf>
    <xf numFmtId="0" fontId="67" fillId="0" borderId="79" xfId="0" applyFont="1" applyBorder="1" applyAlignment="1">
      <alignment horizontal="center" vertical="center" wrapText="1"/>
    </xf>
    <xf numFmtId="15" fontId="80" fillId="51" borderId="79" xfId="0" applyNumberFormat="1" applyFont="1" applyFill="1" applyBorder="1" applyAlignment="1">
      <alignment horizontal="center" vertical="center" wrapText="1"/>
    </xf>
    <xf numFmtId="49" fontId="79" fillId="51" borderId="79" xfId="0" applyNumberFormat="1" applyFont="1" applyFill="1" applyBorder="1" applyAlignment="1">
      <alignment horizontal="center" wrapText="1"/>
    </xf>
    <xf numFmtId="0" fontId="79" fillId="51" borderId="79" xfId="0" applyFont="1" applyFill="1" applyBorder="1" applyAlignment="1">
      <alignment horizontal="left" wrapText="1"/>
    </xf>
    <xf numFmtId="0" fontId="79" fillId="51" borderId="79" xfId="0" applyFont="1" applyFill="1" applyBorder="1" applyAlignment="1">
      <alignment wrapText="1"/>
    </xf>
    <xf numFmtId="0" fontId="79" fillId="51" borderId="79" xfId="0" applyFont="1" applyFill="1" applyBorder="1" applyAlignment="1">
      <alignment horizontal="center" wrapText="1"/>
    </xf>
    <xf numFmtId="0" fontId="92" fillId="54" borderId="79" xfId="0" applyFont="1" applyFill="1" applyBorder="1" applyAlignment="1">
      <alignment horizontal="center" vertical="center" wrapText="1" readingOrder="1"/>
    </xf>
    <xf numFmtId="0" fontId="92" fillId="54" borderId="79" xfId="0" applyFont="1" applyFill="1" applyBorder="1" applyAlignment="1">
      <alignment wrapText="1"/>
    </xf>
    <xf numFmtId="0" fontId="91" fillId="55" borderId="79" xfId="0" applyFont="1" applyFill="1" applyBorder="1" applyAlignment="1">
      <alignment horizontal="center" vertical="center" wrapText="1" readingOrder="1"/>
    </xf>
    <xf numFmtId="0" fontId="91" fillId="55" borderId="75" xfId="0" applyFont="1" applyFill="1" applyBorder="1" applyAlignment="1">
      <alignment horizontal="center" vertical="center" wrapText="1" readingOrder="1"/>
    </xf>
    <xf numFmtId="0" fontId="91" fillId="55" borderId="82" xfId="0" applyFont="1" applyFill="1" applyBorder="1" applyAlignment="1">
      <alignment horizontal="center" vertical="center" wrapText="1" readingOrder="1"/>
    </xf>
    <xf numFmtId="0" fontId="58" fillId="0" borderId="37" xfId="48" applyNumberFormat="1" applyFont="1" applyBorder="1" applyAlignment="1">
      <alignment horizontal="center" vertical="center" wrapText="1"/>
    </xf>
    <xf numFmtId="0" fontId="58" fillId="0" borderId="71" xfId="48" applyNumberFormat="1" applyFont="1" applyBorder="1" applyAlignment="1">
      <alignment horizontal="center" vertical="center" wrapText="1"/>
    </xf>
    <xf numFmtId="0" fontId="34" fillId="28" borderId="74" xfId="45" applyNumberFormat="1" applyFont="1" applyFill="1" applyBorder="1" applyAlignment="1">
      <alignment vertical="center"/>
    </xf>
    <xf numFmtId="0" fontId="34" fillId="28" borderId="75" xfId="45" applyNumberFormat="1" applyFont="1" applyFill="1" applyBorder="1" applyAlignment="1">
      <alignment vertical="center"/>
    </xf>
    <xf numFmtId="0" fontId="59" fillId="0" borderId="75" xfId="48" applyNumberFormat="1" applyFont="1" applyBorder="1" applyAlignment="1">
      <alignment horizontal="center" vertical="center" wrapText="1"/>
    </xf>
    <xf numFmtId="0" fontId="103" fillId="0" borderId="0" xfId="0" applyFont="1"/>
    <xf numFmtId="0" fontId="103" fillId="0" borderId="0" xfId="0" applyFont="1" applyAlignment="1">
      <alignment wrapText="1"/>
    </xf>
    <xf numFmtId="0" fontId="104" fillId="0" borderId="0" xfId="0" applyFont="1"/>
    <xf numFmtId="0" fontId="105" fillId="0" borderId="0" xfId="0" applyFont="1"/>
    <xf numFmtId="0" fontId="107" fillId="58" borderId="83" xfId="0" applyFont="1" applyFill="1" applyBorder="1" applyAlignment="1">
      <alignment wrapText="1"/>
    </xf>
    <xf numFmtId="0" fontId="103" fillId="46" borderId="0" xfId="0" applyFont="1" applyFill="1"/>
    <xf numFmtId="0" fontId="106" fillId="59" borderId="61" xfId="0" applyFont="1" applyFill="1" applyBorder="1" applyAlignment="1">
      <alignment wrapText="1"/>
    </xf>
    <xf numFmtId="0" fontId="106" fillId="59" borderId="84" xfId="0" applyFont="1" applyFill="1" applyBorder="1" applyAlignment="1">
      <alignment wrapText="1"/>
    </xf>
    <xf numFmtId="0" fontId="60" fillId="41" borderId="74" xfId="0" applyFont="1" applyFill="1" applyBorder="1" applyAlignment="1">
      <alignment wrapText="1"/>
    </xf>
    <xf numFmtId="0" fontId="60" fillId="41" borderId="85" xfId="0" applyFont="1" applyFill="1" applyBorder="1" applyAlignment="1">
      <alignment wrapText="1"/>
    </xf>
    <xf numFmtId="0" fontId="108" fillId="0" borderId="0" xfId="0" applyFont="1"/>
    <xf numFmtId="0" fontId="108" fillId="0" borderId="39" xfId="0" applyFont="1" applyBorder="1" applyAlignment="1">
      <alignment wrapText="1"/>
    </xf>
    <xf numFmtId="0" fontId="109" fillId="0" borderId="83" xfId="0" applyFont="1" applyBorder="1" applyAlignment="1">
      <alignment wrapText="1"/>
    </xf>
    <xf numFmtId="0" fontId="108" fillId="0" borderId="83" xfId="0" applyFont="1" applyBorder="1"/>
    <xf numFmtId="3" fontId="108" fillId="0" borderId="83" xfId="0" applyNumberFormat="1" applyFont="1" applyBorder="1"/>
    <xf numFmtId="0" fontId="108" fillId="0" borderId="84" xfId="0" applyFont="1" applyBorder="1"/>
    <xf numFmtId="0" fontId="108" fillId="0" borderId="12" xfId="0" applyFont="1" applyBorder="1" applyAlignment="1">
      <alignment wrapText="1"/>
    </xf>
    <xf numFmtId="0" fontId="108" fillId="0" borderId="74" xfId="0" applyFont="1" applyBorder="1" applyAlignment="1">
      <alignment wrapText="1"/>
    </xf>
    <xf numFmtId="0" fontId="108" fillId="0" borderId="83" xfId="0" applyFont="1" applyBorder="1" applyAlignment="1">
      <alignment wrapText="1"/>
    </xf>
    <xf numFmtId="0" fontId="108" fillId="0" borderId="11" xfId="0" applyFont="1" applyBorder="1" applyAlignment="1">
      <alignment wrapText="1"/>
    </xf>
    <xf numFmtId="0" fontId="108" fillId="0" borderId="34" xfId="0" applyFont="1" applyBorder="1" applyAlignment="1">
      <alignment wrapText="1"/>
    </xf>
    <xf numFmtId="0" fontId="108" fillId="0" borderId="42" xfId="0" applyFont="1" applyBorder="1" applyAlignment="1">
      <alignment wrapText="1"/>
    </xf>
    <xf numFmtId="0" fontId="108" fillId="0" borderId="86" xfId="0" applyFont="1" applyBorder="1" applyAlignment="1">
      <alignment wrapText="1"/>
    </xf>
    <xf numFmtId="0" fontId="108" fillId="0" borderId="75" xfId="0" applyFont="1" applyBorder="1" applyAlignment="1">
      <alignment wrapText="1"/>
    </xf>
    <xf numFmtId="0" fontId="108" fillId="0" borderId="37" xfId="0" applyFont="1" applyBorder="1" applyAlignment="1">
      <alignment wrapText="1"/>
    </xf>
    <xf numFmtId="0" fontId="111" fillId="0" borderId="0" xfId="0" applyFont="1" applyAlignment="1">
      <alignment wrapText="1"/>
    </xf>
    <xf numFmtId="0" fontId="107" fillId="0" borderId="0" xfId="0" applyFont="1"/>
    <xf numFmtId="0" fontId="107" fillId="0" borderId="0" xfId="0" quotePrefix="1" applyFont="1"/>
    <xf numFmtId="0" fontId="107" fillId="0" borderId="0" xfId="0" applyFont="1" applyAlignment="1">
      <alignment wrapText="1"/>
    </xf>
    <xf numFmtId="171" fontId="48" fillId="0" borderId="0" xfId="63" applyNumberFormat="1" applyFont="1"/>
    <xf numFmtId="171" fontId="34" fillId="28" borderId="75" xfId="45" applyNumberFormat="1" applyFont="1" applyFill="1" applyBorder="1" applyAlignment="1">
      <alignment horizontal="right" vertical="center"/>
    </xf>
    <xf numFmtId="171" fontId="34" fillId="37" borderId="75" xfId="45" applyNumberFormat="1" applyFont="1" applyFill="1" applyBorder="1" applyAlignment="1">
      <alignment horizontal="right" vertical="center"/>
    </xf>
    <xf numFmtId="171" fontId="34" fillId="37" borderId="74" xfId="45" applyNumberFormat="1" applyFont="1" applyFill="1" applyBorder="1" applyAlignment="1">
      <alignment horizontal="right" vertical="center"/>
    </xf>
    <xf numFmtId="171" fontId="34" fillId="40" borderId="75" xfId="45" applyNumberFormat="1" applyFont="1" applyFill="1" applyBorder="1" applyAlignment="1">
      <alignment horizontal="right" vertical="center"/>
    </xf>
    <xf numFmtId="171" fontId="53" fillId="37" borderId="75" xfId="65" applyNumberFormat="1" applyFont="1" applyFill="1" applyBorder="1" applyAlignment="1">
      <alignment horizontal="justify" vertical="center" wrapText="1"/>
    </xf>
    <xf numFmtId="171" fontId="53" fillId="40" borderId="75" xfId="65" applyNumberFormat="1" applyFont="1" applyFill="1" applyBorder="1" applyAlignment="1">
      <alignment horizontal="justify" vertical="center" wrapText="1"/>
    </xf>
    <xf numFmtId="171" fontId="54" fillId="25" borderId="75" xfId="63" applyNumberFormat="1" applyFont="1" applyFill="1" applyBorder="1" applyAlignment="1">
      <alignment vertical="center"/>
    </xf>
    <xf numFmtId="171" fontId="34" fillId="40" borderId="74" xfId="45" applyNumberFormat="1" applyFont="1" applyFill="1" applyBorder="1" applyAlignment="1">
      <alignment horizontal="right" vertical="center"/>
    </xf>
    <xf numFmtId="171" fontId="53" fillId="38" borderId="75" xfId="45" applyNumberFormat="1" applyFont="1" applyFill="1" applyBorder="1" applyAlignment="1">
      <alignment horizontal="justify" vertical="center" wrapText="1"/>
    </xf>
    <xf numFmtId="171" fontId="48" fillId="28" borderId="0" xfId="65" applyNumberFormat="1" applyFont="1" applyFill="1" applyAlignment="1">
      <alignment horizontal="justify" vertical="center" wrapText="1"/>
    </xf>
    <xf numFmtId="171" fontId="56" fillId="0" borderId="0" xfId="63" applyNumberFormat="1" applyFont="1"/>
    <xf numFmtId="171" fontId="49" fillId="0" borderId="0" xfId="63" applyNumberFormat="1" applyFont="1"/>
    <xf numFmtId="0" fontId="34" fillId="28" borderId="12" xfId="45" applyNumberFormat="1" applyFont="1" applyFill="1" applyBorder="1" applyAlignment="1">
      <alignment vertical="center"/>
    </xf>
    <xf numFmtId="0" fontId="34" fillId="28" borderId="34" xfId="45" applyNumberFormat="1" applyFont="1" applyFill="1" applyBorder="1" applyAlignment="1">
      <alignment vertical="center"/>
    </xf>
    <xf numFmtId="0" fontId="34" fillId="28" borderId="37" xfId="45" applyNumberFormat="1" applyFont="1" applyFill="1" applyBorder="1" applyAlignment="1">
      <alignment vertical="center"/>
    </xf>
    <xf numFmtId="0" fontId="52" fillId="0" borderId="40" xfId="63" applyFont="1" applyBorder="1" applyAlignment="1">
      <alignment vertical="center" wrapText="1"/>
    </xf>
    <xf numFmtId="0" fontId="0" fillId="39" borderId="0" xfId="0" applyFill="1" applyAlignment="1">
      <alignment wrapText="1"/>
    </xf>
    <xf numFmtId="0" fontId="62" fillId="43" borderId="49" xfId="0" applyFont="1" applyFill="1" applyBorder="1" applyAlignment="1">
      <alignment wrapText="1"/>
    </xf>
    <xf numFmtId="0" fontId="65" fillId="0" borderId="0" xfId="0" applyFont="1" applyAlignment="1">
      <alignment vertical="center"/>
    </xf>
    <xf numFmtId="0" fontId="61" fillId="42" borderId="43" xfId="0" applyFont="1" applyFill="1" applyBorder="1" applyAlignment="1">
      <alignment vertical="center"/>
    </xf>
    <xf numFmtId="0" fontId="61" fillId="42" borderId="44" xfId="0" applyFont="1" applyFill="1" applyBorder="1" applyAlignment="1">
      <alignment vertical="center" wrapText="1"/>
    </xf>
    <xf numFmtId="0" fontId="61" fillId="42" borderId="44" xfId="0" applyFont="1" applyFill="1" applyBorder="1" applyAlignment="1">
      <alignment vertical="center"/>
    </xf>
    <xf numFmtId="0" fontId="61" fillId="42" borderId="45" xfId="0" applyFont="1" applyFill="1" applyBorder="1" applyAlignment="1">
      <alignment vertical="center"/>
    </xf>
    <xf numFmtId="0" fontId="0" fillId="0" borderId="0" xfId="0" applyAlignment="1">
      <alignment vertical="center"/>
    </xf>
    <xf numFmtId="16" fontId="70" fillId="0" borderId="12" xfId="0" applyNumberFormat="1" applyFont="1" applyBorder="1" applyAlignment="1">
      <alignment vertical="top" wrapText="1"/>
    </xf>
    <xf numFmtId="0" fontId="51" fillId="37" borderId="35" xfId="63" applyFont="1" applyFill="1" applyBorder="1" applyAlignment="1">
      <alignment vertical="center" wrapText="1"/>
    </xf>
    <xf numFmtId="0" fontId="51" fillId="37" borderId="10" xfId="63" applyFont="1" applyFill="1" applyBorder="1" applyAlignment="1">
      <alignment vertical="center" wrapText="1"/>
    </xf>
    <xf numFmtId="0" fontId="51" fillId="37" borderId="75" xfId="63" applyFont="1" applyFill="1" applyBorder="1" applyAlignment="1">
      <alignment vertical="center" wrapText="1"/>
    </xf>
    <xf numFmtId="171" fontId="52" fillId="0" borderId="0" xfId="63" applyNumberFormat="1" applyFont="1"/>
    <xf numFmtId="0" fontId="114" fillId="55" borderId="0" xfId="0" applyFont="1" applyFill="1"/>
    <xf numFmtId="0" fontId="65" fillId="0" borderId="0" xfId="0" applyFont="1" applyAlignment="1">
      <alignment vertical="center" wrapText="1"/>
    </xf>
    <xf numFmtId="0" fontId="25" fillId="0" borderId="0" xfId="0" applyFont="1" applyAlignment="1">
      <alignment wrapText="1"/>
    </xf>
    <xf numFmtId="6" fontId="52" fillId="0" borderId="0" xfId="63" applyNumberFormat="1" applyFont="1"/>
    <xf numFmtId="43" fontId="52" fillId="0" borderId="0" xfId="67" applyFont="1"/>
    <xf numFmtId="43" fontId="52" fillId="0" borderId="0" xfId="63" applyNumberFormat="1" applyFont="1"/>
    <xf numFmtId="44" fontId="52" fillId="0" borderId="0" xfId="63" applyNumberFormat="1" applyFont="1"/>
    <xf numFmtId="3" fontId="103" fillId="0" borderId="0" xfId="0" applyNumberFormat="1" applyFont="1"/>
    <xf numFmtId="0" fontId="57" fillId="0" borderId="78" xfId="0" applyFont="1" applyBorder="1" applyAlignment="1">
      <alignment vertical="center" wrapText="1"/>
    </xf>
    <xf numFmtId="0" fontId="57" fillId="0" borderId="12" xfId="0" applyFont="1" applyBorder="1" applyAlignment="1">
      <alignment vertical="center" wrapText="1"/>
    </xf>
    <xf numFmtId="3" fontId="115" fillId="0" borderId="0" xfId="0" applyNumberFormat="1" applyFont="1"/>
    <xf numFmtId="3" fontId="52" fillId="0" borderId="0" xfId="63" applyNumberFormat="1" applyFont="1"/>
    <xf numFmtId="43" fontId="70" fillId="0" borderId="12" xfId="67" applyFont="1" applyBorder="1" applyAlignment="1">
      <alignment vertical="top" wrapText="1"/>
    </xf>
    <xf numFmtId="0" fontId="116" fillId="0" borderId="0" xfId="63" applyFont="1"/>
    <xf numFmtId="0" fontId="107" fillId="58" borderId="88" xfId="0" applyFont="1" applyFill="1" applyBorder="1" applyAlignment="1">
      <alignment wrapText="1"/>
    </xf>
    <xf numFmtId="9" fontId="70" fillId="0" borderId="12" xfId="0" applyNumberFormat="1" applyFont="1" applyBorder="1" applyAlignment="1">
      <alignment vertical="top" wrapText="1"/>
    </xf>
    <xf numFmtId="43" fontId="70" fillId="0" borderId="12" xfId="67" applyFont="1" applyBorder="1" applyAlignment="1">
      <alignment vertical="top"/>
    </xf>
    <xf numFmtId="0" fontId="70" fillId="0" borderId="75" xfId="0" applyFont="1" applyBorder="1" applyAlignment="1">
      <alignment vertical="top" wrapText="1"/>
    </xf>
    <xf numFmtId="0" fontId="71" fillId="0" borderId="75" xfId="0" applyFont="1" applyBorder="1" applyAlignment="1">
      <alignment vertical="top" wrapText="1"/>
    </xf>
    <xf numFmtId="0" fontId="70" fillId="0" borderId="75" xfId="0" applyFont="1" applyBorder="1" applyAlignment="1">
      <alignment vertical="top"/>
    </xf>
    <xf numFmtId="43" fontId="70" fillId="0" borderId="75" xfId="67" applyFont="1" applyBorder="1" applyAlignment="1">
      <alignment vertical="top"/>
    </xf>
    <xf numFmtId="9" fontId="70" fillId="0" borderId="75" xfId="0" applyNumberFormat="1" applyFont="1" applyBorder="1" applyAlignment="1">
      <alignment vertical="top" wrapText="1"/>
    </xf>
    <xf numFmtId="43" fontId="70" fillId="0" borderId="75" xfId="67" applyFont="1" applyBorder="1" applyAlignment="1">
      <alignment vertical="top" wrapText="1"/>
    </xf>
    <xf numFmtId="0" fontId="72" fillId="0" borderId="75" xfId="0" applyFont="1" applyBorder="1" applyAlignment="1">
      <alignment vertical="top" wrapText="1"/>
    </xf>
    <xf numFmtId="16" fontId="70" fillId="0" borderId="75" xfId="0" applyNumberFormat="1" applyFont="1" applyBorder="1" applyAlignment="1">
      <alignment vertical="top" wrapText="1"/>
    </xf>
    <xf numFmtId="0" fontId="0" fillId="0" borderId="75" xfId="0" applyBorder="1"/>
    <xf numFmtId="0" fontId="71" fillId="0" borderId="75" xfId="0" applyFont="1" applyBorder="1" applyAlignment="1">
      <alignment vertical="top"/>
    </xf>
    <xf numFmtId="43" fontId="69" fillId="48" borderId="12" xfId="0" applyNumberFormat="1" applyFont="1" applyFill="1" applyBorder="1" applyAlignment="1">
      <alignment vertical="top" wrapText="1"/>
    </xf>
    <xf numFmtId="0" fontId="108" fillId="0" borderId="34" xfId="0" applyFont="1" applyBorder="1"/>
    <xf numFmtId="0" fontId="106" fillId="59" borderId="89" xfId="0" applyFont="1" applyFill="1" applyBorder="1" applyAlignment="1">
      <alignment wrapText="1"/>
    </xf>
    <xf numFmtId="0" fontId="108" fillId="0" borderId="37" xfId="0" applyFont="1" applyBorder="1"/>
    <xf numFmtId="0" fontId="106" fillId="59" borderId="0" xfId="0" applyFont="1" applyFill="1" applyAlignment="1">
      <alignment wrapText="1"/>
    </xf>
    <xf numFmtId="0" fontId="52" fillId="0" borderId="34" xfId="63" applyFont="1" applyBorder="1"/>
    <xf numFmtId="0" fontId="110" fillId="0" borderId="34" xfId="0" applyFont="1" applyBorder="1" applyAlignment="1">
      <alignment wrapText="1"/>
    </xf>
    <xf numFmtId="3" fontId="108" fillId="0" borderId="34" xfId="0" applyNumberFormat="1" applyFont="1" applyBorder="1"/>
    <xf numFmtId="0" fontId="106" fillId="59" borderId="90" xfId="0" applyFont="1" applyFill="1" applyBorder="1" applyAlignment="1">
      <alignment wrapText="1"/>
    </xf>
    <xf numFmtId="0" fontId="106" fillId="59" borderId="39" xfId="0" applyFont="1" applyFill="1" applyBorder="1" applyAlignment="1">
      <alignment wrapText="1"/>
    </xf>
    <xf numFmtId="0" fontId="52" fillId="0" borderId="34" xfId="63" applyFont="1" applyBorder="1" applyAlignment="1">
      <alignment wrapText="1"/>
    </xf>
    <xf numFmtId="0" fontId="108" fillId="0" borderId="40" xfId="0" applyFont="1" applyBorder="1"/>
    <xf numFmtId="0" fontId="108" fillId="0" borderId="71" xfId="0" applyFont="1" applyBorder="1" applyAlignment="1">
      <alignment wrapText="1"/>
    </xf>
    <xf numFmtId="0" fontId="60" fillId="41" borderId="78" xfId="0" applyFont="1" applyFill="1" applyBorder="1" applyAlignment="1">
      <alignment wrapText="1"/>
    </xf>
    <xf numFmtId="0" fontId="58" fillId="0" borderId="10" xfId="48" applyNumberFormat="1" applyFont="1" applyBorder="1" applyAlignment="1">
      <alignment horizontal="center" vertical="center" wrapText="1"/>
    </xf>
    <xf numFmtId="0" fontId="57" fillId="0" borderId="74" xfId="63" applyFont="1" applyBorder="1" applyAlignment="1">
      <alignment horizontal="center" vertical="center" wrapText="1"/>
    </xf>
    <xf numFmtId="0" fontId="57" fillId="0" borderId="76" xfId="63" applyFont="1" applyBorder="1" applyAlignment="1">
      <alignment vertical="center" wrapText="1"/>
    </xf>
    <xf numFmtId="43" fontId="48" fillId="0" borderId="0" xfId="67" applyFont="1"/>
    <xf numFmtId="43" fontId="48" fillId="28" borderId="0" xfId="67" applyFont="1" applyFill="1"/>
    <xf numFmtId="43" fontId="116" fillId="0" borderId="0" xfId="67" applyFont="1"/>
    <xf numFmtId="165" fontId="34" fillId="28" borderId="75" xfId="67" applyNumberFormat="1" applyFont="1" applyFill="1" applyBorder="1" applyAlignment="1">
      <alignment horizontal="right" vertical="center"/>
    </xf>
    <xf numFmtId="165" fontId="34" fillId="37" borderId="75" xfId="67" applyNumberFormat="1" applyFont="1" applyFill="1" applyBorder="1" applyAlignment="1">
      <alignment horizontal="right" vertical="center"/>
    </xf>
    <xf numFmtId="165" fontId="34" fillId="28" borderId="74" xfId="67" applyNumberFormat="1" applyFont="1" applyFill="1" applyBorder="1" applyAlignment="1">
      <alignment vertical="center"/>
    </xf>
    <xf numFmtId="165" fontId="34" fillId="37" borderId="74" xfId="67" applyNumberFormat="1" applyFont="1" applyFill="1" applyBorder="1" applyAlignment="1">
      <alignment horizontal="right" vertical="center"/>
    </xf>
    <xf numFmtId="165" fontId="34" fillId="40" borderId="75" xfId="67" applyNumberFormat="1" applyFont="1" applyFill="1" applyBorder="1" applyAlignment="1">
      <alignment horizontal="right" vertical="center"/>
    </xf>
    <xf numFmtId="165" fontId="53" fillId="37" borderId="75" xfId="67" applyNumberFormat="1" applyFont="1" applyFill="1" applyBorder="1" applyAlignment="1">
      <alignment horizontal="justify" vertical="center" wrapText="1"/>
    </xf>
    <xf numFmtId="165" fontId="53" fillId="40" borderId="75" xfId="67" applyNumberFormat="1" applyFont="1" applyFill="1" applyBorder="1" applyAlignment="1">
      <alignment horizontal="justify" vertical="center" wrapText="1"/>
    </xf>
    <xf numFmtId="44" fontId="34" fillId="28" borderId="75" xfId="68" applyFont="1" applyFill="1" applyBorder="1" applyAlignment="1">
      <alignment horizontal="right" vertical="center"/>
    </xf>
    <xf numFmtId="44" fontId="34" fillId="28" borderId="74" xfId="68" applyFont="1" applyFill="1" applyBorder="1" applyAlignment="1">
      <alignment horizontal="right" vertical="center"/>
    </xf>
    <xf numFmtId="0" fontId="57" fillId="0" borderId="75" xfId="63" applyFont="1" applyBorder="1" applyAlignment="1">
      <alignment horizontal="left" vertical="center" wrapText="1"/>
    </xf>
    <xf numFmtId="0" fontId="62" fillId="43" borderId="0" xfId="0" applyFont="1" applyFill="1"/>
    <xf numFmtId="171" fontId="116" fillId="0" borderId="0" xfId="63" applyNumberFormat="1" applyFont="1"/>
    <xf numFmtId="44" fontId="81" fillId="0" borderId="54" xfId="68" applyFont="1" applyBorder="1" applyAlignment="1">
      <alignment horizontal="right" vertical="center" wrapText="1"/>
    </xf>
    <xf numFmtId="43" fontId="116" fillId="0" borderId="0" xfId="63" applyNumberFormat="1" applyFont="1"/>
    <xf numFmtId="170" fontId="81" fillId="28" borderId="54" xfId="0" applyNumberFormat="1" applyFont="1" applyFill="1" applyBorder="1" applyAlignment="1">
      <alignment horizontal="left" vertical="center" wrapText="1"/>
    </xf>
    <xf numFmtId="43" fontId="81" fillId="0" borderId="54" xfId="0" applyNumberFormat="1" applyFont="1" applyBorder="1" applyAlignment="1">
      <alignment horizontal="left" vertical="center" wrapText="1"/>
    </xf>
    <xf numFmtId="0" fontId="23" fillId="0" borderId="54" xfId="0" applyFont="1" applyBorder="1" applyAlignment="1">
      <alignment horizontal="center" vertical="center" wrapText="1"/>
    </xf>
    <xf numFmtId="16" fontId="81" fillId="28" borderId="54" xfId="62" applyNumberFormat="1" applyFont="1" applyFill="1" applyBorder="1" applyAlignment="1">
      <alignment horizontal="center" vertical="center" wrapText="1"/>
    </xf>
    <xf numFmtId="16" fontId="8" fillId="0" borderId="54" xfId="0" applyNumberFormat="1" applyFont="1" applyBorder="1" applyAlignment="1">
      <alignment horizontal="center" vertical="center" wrapText="1"/>
    </xf>
    <xf numFmtId="49" fontId="81" fillId="51" borderId="51" xfId="0" applyNumberFormat="1" applyFont="1" applyFill="1" applyBorder="1" applyAlignment="1">
      <alignment horizontal="center" wrapText="1"/>
    </xf>
    <xf numFmtId="0" fontId="106" fillId="57" borderId="40" xfId="0" applyFont="1" applyFill="1" applyBorder="1" applyAlignment="1">
      <alignment wrapText="1"/>
    </xf>
    <xf numFmtId="0" fontId="106" fillId="57" borderId="41" xfId="0" applyFont="1" applyFill="1" applyBorder="1" applyAlignment="1">
      <alignment wrapText="1"/>
    </xf>
    <xf numFmtId="0" fontId="106" fillId="57" borderId="42" xfId="0" applyFont="1" applyFill="1" applyBorder="1" applyAlignment="1">
      <alignment wrapText="1"/>
    </xf>
    <xf numFmtId="0" fontId="106" fillId="59" borderId="40" xfId="0" applyFont="1" applyFill="1" applyBorder="1" applyAlignment="1">
      <alignment wrapText="1"/>
    </xf>
    <xf numFmtId="0" fontId="106" fillId="59" borderId="41" xfId="0" applyFont="1" applyFill="1" applyBorder="1" applyAlignment="1">
      <alignment wrapText="1"/>
    </xf>
    <xf numFmtId="0" fontId="106" fillId="59" borderId="89" xfId="0" applyFont="1" applyFill="1" applyBorder="1" applyAlignment="1">
      <alignment wrapText="1"/>
    </xf>
    <xf numFmtId="0" fontId="106" fillId="59" borderId="42" xfId="0" applyFont="1" applyFill="1" applyBorder="1" applyAlignment="1">
      <alignment wrapText="1"/>
    </xf>
    <xf numFmtId="0" fontId="106" fillId="59" borderId="84" xfId="0" applyFont="1" applyFill="1" applyBorder="1" applyAlignment="1">
      <alignment wrapText="1"/>
    </xf>
    <xf numFmtId="0" fontId="109" fillId="0" borderId="90" xfId="0" applyFont="1" applyBorder="1" applyAlignment="1">
      <alignment horizontal="center" wrapText="1"/>
    </xf>
    <xf numFmtId="0" fontId="109" fillId="0" borderId="91" xfId="0" applyFont="1" applyBorder="1" applyAlignment="1">
      <alignment horizontal="center" wrapText="1"/>
    </xf>
    <xf numFmtId="0" fontId="107" fillId="58" borderId="39" xfId="0" applyFont="1" applyFill="1" applyBorder="1" applyAlignment="1">
      <alignment wrapText="1"/>
    </xf>
    <xf numFmtId="0" fontId="107" fillId="58" borderId="37" xfId="0" applyFont="1" applyFill="1" applyBorder="1" applyAlignment="1">
      <alignment wrapText="1"/>
    </xf>
    <xf numFmtId="0" fontId="106" fillId="57" borderId="39" xfId="0" applyFont="1" applyFill="1" applyBorder="1" applyAlignment="1">
      <alignment wrapText="1"/>
    </xf>
    <xf numFmtId="0" fontId="106" fillId="57" borderId="37" xfId="0" applyFont="1" applyFill="1" applyBorder="1" applyAlignment="1">
      <alignment wrapText="1"/>
    </xf>
    <xf numFmtId="0" fontId="107" fillId="58" borderId="41" xfId="0" applyFont="1" applyFill="1" applyBorder="1" applyAlignment="1">
      <alignment wrapText="1"/>
    </xf>
    <xf numFmtId="0" fontId="107" fillId="58" borderId="42" xfId="0" applyFont="1" applyFill="1" applyBorder="1" applyAlignment="1">
      <alignment wrapText="1"/>
    </xf>
    <xf numFmtId="0" fontId="40" fillId="35" borderId="21" xfId="0" applyFont="1" applyFill="1" applyBorder="1" applyAlignment="1">
      <alignment horizontal="center"/>
    </xf>
    <xf numFmtId="0" fontId="40" fillId="35" borderId="22" xfId="0" applyFont="1" applyFill="1" applyBorder="1" applyAlignment="1">
      <alignment horizontal="center"/>
    </xf>
    <xf numFmtId="0" fontId="40" fillId="35" borderId="23" xfId="0" applyFont="1" applyFill="1" applyBorder="1" applyAlignment="1">
      <alignment horizontal="center"/>
    </xf>
    <xf numFmtId="0" fontId="43" fillId="0" borderId="32" xfId="0" applyFont="1" applyBorder="1" applyAlignment="1">
      <alignment vertical="center" wrapText="1"/>
    </xf>
    <xf numFmtId="0" fontId="43" fillId="0" borderId="77" xfId="0" applyFont="1" applyBorder="1" applyAlignment="1">
      <alignment vertical="center" wrapText="1"/>
    </xf>
    <xf numFmtId="0" fontId="33" fillId="32" borderId="15" xfId="0" applyFont="1" applyFill="1" applyBorder="1" applyAlignment="1">
      <alignment horizontal="left" vertical="top" wrapText="1"/>
    </xf>
    <xf numFmtId="0" fontId="33" fillId="32" borderId="16" xfId="0" applyFont="1" applyFill="1" applyBorder="1" applyAlignment="1">
      <alignment horizontal="left" vertical="top" wrapText="1"/>
    </xf>
    <xf numFmtId="0" fontId="33" fillId="32" borderId="17" xfId="0" applyFont="1" applyFill="1" applyBorder="1" applyAlignment="1">
      <alignment horizontal="left" vertical="top" wrapText="1"/>
    </xf>
    <xf numFmtId="0" fontId="33" fillId="32" borderId="15" xfId="0" applyFont="1" applyFill="1" applyBorder="1" applyAlignment="1">
      <alignment horizontal="left" vertical="top"/>
    </xf>
    <xf numFmtId="0" fontId="33" fillId="32" borderId="16" xfId="0" applyFont="1" applyFill="1" applyBorder="1" applyAlignment="1">
      <alignment horizontal="left" vertical="top"/>
    </xf>
    <xf numFmtId="0" fontId="33" fillId="32" borderId="17" xfId="0" applyFont="1" applyFill="1" applyBorder="1" applyAlignment="1">
      <alignment horizontal="left" vertical="top"/>
    </xf>
    <xf numFmtId="0" fontId="32" fillId="31" borderId="15" xfId="0" applyFont="1" applyFill="1" applyBorder="1" applyAlignment="1">
      <alignment horizontal="left" vertical="top"/>
    </xf>
    <xf numFmtId="0" fontId="32" fillId="31" borderId="16" xfId="0" applyFont="1" applyFill="1" applyBorder="1" applyAlignment="1">
      <alignment horizontal="left" vertical="top"/>
    </xf>
    <xf numFmtId="0" fontId="32" fillId="31" borderId="17" xfId="0" applyFont="1" applyFill="1" applyBorder="1" applyAlignment="1">
      <alignment horizontal="left" vertical="top"/>
    </xf>
    <xf numFmtId="0" fontId="51" fillId="0" borderId="75" xfId="63" applyFont="1" applyBorder="1" applyAlignment="1">
      <alignment horizontal="center" vertical="center" wrapText="1"/>
    </xf>
    <xf numFmtId="0" fontId="52" fillId="0" borderId="34" xfId="63" applyFont="1" applyBorder="1" applyAlignment="1">
      <alignment horizontal="center" vertical="center" wrapText="1"/>
    </xf>
    <xf numFmtId="171" fontId="53" fillId="39" borderId="75" xfId="63" applyNumberFormat="1" applyFont="1" applyFill="1" applyBorder="1" applyAlignment="1">
      <alignment horizontal="center" vertical="center" wrapText="1"/>
    </xf>
    <xf numFmtId="0" fontId="50" fillId="26" borderId="75" xfId="63" applyFont="1" applyFill="1" applyBorder="1" applyAlignment="1">
      <alignment horizontal="center" vertical="center" wrapText="1"/>
    </xf>
    <xf numFmtId="0" fontId="50" fillId="26" borderId="75" xfId="63" applyFont="1" applyFill="1" applyBorder="1" applyAlignment="1">
      <alignment horizontal="left" vertical="center" wrapText="1"/>
    </xf>
    <xf numFmtId="0" fontId="53" fillId="26" borderId="75" xfId="63" applyFont="1" applyFill="1" applyBorder="1" applyAlignment="1">
      <alignment horizontal="center" vertical="center" wrapText="1"/>
    </xf>
    <xf numFmtId="0" fontId="53" fillId="26" borderId="75" xfId="63" applyFont="1" applyFill="1" applyBorder="1" applyAlignment="1">
      <alignment horizontal="center" vertical="center" textRotation="90" wrapText="1"/>
    </xf>
    <xf numFmtId="0" fontId="52" fillId="26" borderId="75" xfId="63" applyFont="1" applyFill="1" applyBorder="1" applyAlignment="1">
      <alignment horizontal="center" vertical="center" wrapText="1"/>
    </xf>
    <xf numFmtId="0" fontId="53" fillId="26" borderId="79" xfId="63" applyFont="1" applyFill="1" applyBorder="1" applyAlignment="1">
      <alignment horizontal="center" vertical="center" wrapText="1"/>
    </xf>
    <xf numFmtId="0" fontId="53" fillId="26" borderId="33" xfId="63" applyFont="1" applyFill="1" applyBorder="1" applyAlignment="1">
      <alignment horizontal="center" vertical="center" wrapText="1"/>
    </xf>
    <xf numFmtId="0" fontId="53" fillId="26" borderId="11" xfId="63" applyFont="1" applyFill="1" applyBorder="1" applyAlignment="1">
      <alignment horizontal="center" vertical="center" wrapText="1"/>
    </xf>
    <xf numFmtId="0" fontId="50" fillId="26" borderId="76" xfId="63" applyFont="1" applyFill="1" applyBorder="1" applyAlignment="1">
      <alignment horizontal="left" vertical="center" wrapText="1"/>
    </xf>
    <xf numFmtId="0" fontId="50" fillId="26" borderId="81" xfId="63" applyFont="1" applyFill="1" applyBorder="1" applyAlignment="1">
      <alignment horizontal="left" vertical="center" wrapText="1"/>
    </xf>
    <xf numFmtId="0" fontId="50" fillId="26" borderId="74" xfId="63" applyFont="1" applyFill="1" applyBorder="1" applyAlignment="1">
      <alignment horizontal="left" vertical="center" wrapText="1"/>
    </xf>
    <xf numFmtId="0" fontId="53" fillId="27" borderId="75" xfId="63" applyFont="1" applyFill="1" applyBorder="1" applyAlignment="1">
      <alignment horizontal="left" vertical="center" wrapText="1"/>
    </xf>
    <xf numFmtId="0" fontId="53" fillId="27" borderId="79" xfId="63" applyFont="1" applyFill="1" applyBorder="1" applyAlignment="1">
      <alignment horizontal="left" vertical="center" wrapText="1"/>
    </xf>
    <xf numFmtId="0" fontId="109" fillId="0" borderId="42" xfId="0" applyFont="1" applyBorder="1" applyAlignment="1">
      <alignment horizontal="left" vertical="center" wrapText="1"/>
    </xf>
    <xf numFmtId="0" fontId="57" fillId="0" borderId="42" xfId="0" applyFont="1" applyBorder="1" applyAlignment="1">
      <alignment horizontal="left" vertical="center" wrapText="1"/>
    </xf>
    <xf numFmtId="0" fontId="52" fillId="37" borderId="35" xfId="63" applyFont="1" applyFill="1" applyBorder="1" applyAlignment="1">
      <alignment horizontal="center" vertical="center" wrapText="1"/>
    </xf>
    <xf numFmtId="0" fontId="52" fillId="37" borderId="0" xfId="63" applyFont="1" applyFill="1" applyAlignment="1">
      <alignment horizontal="center" vertical="center" wrapText="1"/>
    </xf>
    <xf numFmtId="0" fontId="52" fillId="37" borderId="36" xfId="63" applyFont="1" applyFill="1" applyBorder="1" applyAlignment="1">
      <alignment horizontal="center" vertical="center" wrapText="1"/>
    </xf>
    <xf numFmtId="0" fontId="113" fillId="0" borderId="42" xfId="63" applyFont="1" applyBorder="1" applyAlignment="1">
      <alignment horizontal="left" vertical="center" wrapText="1"/>
    </xf>
    <xf numFmtId="0" fontId="52" fillId="0" borderId="42" xfId="63" applyFont="1" applyBorder="1" applyAlignment="1">
      <alignment horizontal="left" vertical="center" wrapText="1"/>
    </xf>
    <xf numFmtId="0" fontId="52" fillId="37" borderId="34" xfId="63" applyFont="1" applyFill="1" applyBorder="1" applyAlignment="1">
      <alignment horizontal="center" vertical="center" wrapText="1"/>
    </xf>
    <xf numFmtId="0" fontId="54" fillId="37" borderId="10" xfId="63" applyFont="1" applyFill="1" applyBorder="1" applyAlignment="1">
      <alignment horizontal="center" vertical="center"/>
    </xf>
    <xf numFmtId="0" fontId="54" fillId="37" borderId="38" xfId="63" applyFont="1" applyFill="1" applyBorder="1" applyAlignment="1">
      <alignment horizontal="center" vertical="center"/>
    </xf>
    <xf numFmtId="0" fontId="54" fillId="37" borderId="12" xfId="63" applyFont="1" applyFill="1" applyBorder="1" applyAlignment="1">
      <alignment horizontal="center" vertical="center"/>
    </xf>
    <xf numFmtId="0" fontId="52" fillId="37" borderId="37" xfId="63" applyFont="1" applyFill="1" applyBorder="1" applyAlignment="1">
      <alignment horizontal="center" vertical="center" wrapText="1"/>
    </xf>
    <xf numFmtId="0" fontId="109" fillId="0" borderId="34" xfId="0" applyFont="1" applyBorder="1" applyAlignment="1">
      <alignment horizontal="left" vertical="center" wrapText="1"/>
    </xf>
    <xf numFmtId="0" fontId="57" fillId="0" borderId="34" xfId="0" applyFont="1" applyBorder="1" applyAlignment="1">
      <alignment horizontal="left" vertical="center" wrapText="1"/>
    </xf>
    <xf numFmtId="0" fontId="52" fillId="0" borderId="34" xfId="63" applyFont="1" applyBorder="1" applyAlignment="1">
      <alignment horizontal="left" vertical="center" wrapText="1"/>
    </xf>
    <xf numFmtId="0" fontId="51" fillId="0" borderId="63" xfId="63" applyFont="1" applyBorder="1" applyAlignment="1">
      <alignment horizontal="center" vertical="center" wrapText="1"/>
    </xf>
    <xf numFmtId="0" fontId="51" fillId="0" borderId="87" xfId="63" applyFont="1" applyBorder="1" applyAlignment="1">
      <alignment horizontal="center" vertical="center" wrapText="1"/>
    </xf>
    <xf numFmtId="0" fontId="51" fillId="0" borderId="65" xfId="63" applyFont="1" applyBorder="1" applyAlignment="1">
      <alignment horizontal="center" vertical="center" wrapText="1"/>
    </xf>
    <xf numFmtId="0" fontId="120" fillId="0" borderId="80" xfId="63" applyFont="1" applyBorder="1" applyAlignment="1">
      <alignment horizontal="left" vertical="center" wrapText="1"/>
    </xf>
    <xf numFmtId="0" fontId="51" fillId="0" borderId="35" xfId="63" applyFont="1" applyBorder="1" applyAlignment="1">
      <alignment horizontal="left" vertical="center" wrapText="1"/>
    </xf>
    <xf numFmtId="0" fontId="51" fillId="0" borderId="10" xfId="63" applyFont="1" applyBorder="1" applyAlignment="1">
      <alignment horizontal="left" vertical="center" wrapText="1"/>
    </xf>
    <xf numFmtId="0" fontId="52" fillId="0" borderId="74" xfId="63" applyFont="1" applyBorder="1" applyAlignment="1">
      <alignment horizontal="center" vertical="center" wrapText="1"/>
    </xf>
    <xf numFmtId="0" fontId="52" fillId="0" borderId="39" xfId="63" applyFont="1" applyBorder="1" applyAlignment="1">
      <alignment horizontal="center" vertical="center" wrapText="1"/>
    </xf>
    <xf numFmtId="0" fontId="57" fillId="40" borderId="69" xfId="0" applyFont="1" applyFill="1" applyBorder="1" applyAlignment="1">
      <alignment horizontal="center" vertical="center" wrapText="1"/>
    </xf>
    <xf numFmtId="0" fontId="57" fillId="40" borderId="71" xfId="0" applyFont="1" applyFill="1" applyBorder="1" applyAlignment="1">
      <alignment horizontal="center" vertical="center" wrapText="1"/>
    </xf>
    <xf numFmtId="0" fontId="57" fillId="40" borderId="78" xfId="0" applyFont="1" applyFill="1" applyBorder="1" applyAlignment="1">
      <alignment horizontal="center" vertical="center" wrapText="1"/>
    </xf>
    <xf numFmtId="0" fontId="52" fillId="0" borderId="79" xfId="63" applyFont="1" applyBorder="1" applyAlignment="1">
      <alignment horizontal="center" vertical="center" wrapText="1"/>
    </xf>
    <xf numFmtId="0" fontId="52" fillId="0" borderId="33" xfId="63" applyFont="1" applyBorder="1" applyAlignment="1">
      <alignment horizontal="center" vertical="center" wrapText="1"/>
    </xf>
    <xf numFmtId="0" fontId="52" fillId="0" borderId="11" xfId="63" applyFont="1" applyBorder="1" applyAlignment="1">
      <alignment horizontal="center" vertical="center" wrapText="1"/>
    </xf>
    <xf numFmtId="0" fontId="57" fillId="40" borderId="81" xfId="0" applyFont="1" applyFill="1" applyBorder="1" applyAlignment="1">
      <alignment horizontal="center" vertical="center" wrapText="1"/>
    </xf>
    <xf numFmtId="0" fontId="57" fillId="40" borderId="74" xfId="0" applyFont="1" applyFill="1" applyBorder="1" applyAlignment="1">
      <alignment horizontal="center" vertical="center" wrapText="1"/>
    </xf>
    <xf numFmtId="0" fontId="57" fillId="0" borderId="78" xfId="0" applyFont="1" applyBorder="1" applyAlignment="1">
      <alignment horizontal="left" vertical="center" wrapText="1"/>
    </xf>
    <xf numFmtId="0" fontId="57" fillId="0" borderId="12" xfId="0" applyFont="1" applyBorder="1" applyAlignment="1">
      <alignment horizontal="left" vertical="center" wrapText="1"/>
    </xf>
    <xf numFmtId="0" fontId="54" fillId="38" borderId="76" xfId="63" applyFont="1" applyFill="1" applyBorder="1" applyAlignment="1">
      <alignment horizontal="center" vertical="center" wrapText="1"/>
    </xf>
    <xf numFmtId="0" fontId="54" fillId="38" borderId="81" xfId="63" applyFont="1" applyFill="1" applyBorder="1" applyAlignment="1">
      <alignment horizontal="center" vertical="center" wrapText="1"/>
    </xf>
    <xf numFmtId="0" fontId="54" fillId="38" borderId="74" xfId="63" applyFont="1" applyFill="1" applyBorder="1" applyAlignment="1">
      <alignment horizontal="center" vertical="center" wrapText="1"/>
    </xf>
    <xf numFmtId="0" fontId="52" fillId="0" borderId="79" xfId="63" applyFont="1" applyBorder="1" applyAlignment="1">
      <alignment horizontal="center"/>
    </xf>
    <xf numFmtId="0" fontId="52" fillId="0" borderId="11" xfId="63" applyFont="1" applyBorder="1" applyAlignment="1">
      <alignment horizontal="center"/>
    </xf>
    <xf numFmtId="0" fontId="53" fillId="40" borderId="34" xfId="63" applyFont="1" applyFill="1" applyBorder="1" applyAlignment="1">
      <alignment horizontal="center" vertical="center" wrapText="1"/>
    </xf>
    <xf numFmtId="49" fontId="81" fillId="51" borderId="75" xfId="0" applyNumberFormat="1" applyFont="1" applyFill="1" applyBorder="1" applyAlignment="1">
      <alignment horizontal="center" wrapText="1"/>
    </xf>
    <xf numFmtId="0" fontId="86" fillId="52" borderId="11" xfId="0" applyFont="1" applyFill="1" applyBorder="1" applyAlignment="1">
      <alignment horizontal="center" vertical="center"/>
    </xf>
    <xf numFmtId="0" fontId="78" fillId="0" borderId="76" xfId="0" applyFont="1" applyBorder="1" applyAlignment="1">
      <alignment horizontal="left"/>
    </xf>
    <xf numFmtId="0" fontId="0" fillId="0" borderId="81" xfId="0" applyBorder="1" applyAlignment="1">
      <alignment horizontal="left"/>
    </xf>
    <xf numFmtId="49" fontId="81" fillId="51" borderId="25" xfId="0" applyNumberFormat="1" applyFont="1" applyFill="1" applyBorder="1" applyAlignment="1">
      <alignment horizontal="center" wrapText="1"/>
    </xf>
    <xf numFmtId="49" fontId="81" fillId="51" borderId="59" xfId="0" applyNumberFormat="1" applyFont="1" applyFill="1" applyBorder="1" applyAlignment="1">
      <alignment horizontal="center" wrapText="1"/>
    </xf>
    <xf numFmtId="49" fontId="81" fillId="51" borderId="55" xfId="0" applyNumberFormat="1" applyFont="1" applyFill="1" applyBorder="1" applyAlignment="1">
      <alignment horizontal="center" wrapText="1"/>
    </xf>
    <xf numFmtId="49" fontId="81" fillId="51" borderId="56" xfId="0" applyNumberFormat="1" applyFont="1" applyFill="1" applyBorder="1" applyAlignment="1">
      <alignment horizontal="center" wrapText="1"/>
    </xf>
    <xf numFmtId="0" fontId="101" fillId="39" borderId="0" xfId="0" applyFont="1" applyFill="1" applyAlignment="1">
      <alignment horizontal="center" vertical="top"/>
    </xf>
    <xf numFmtId="0" fontId="89" fillId="54" borderId="60" xfId="0" applyFont="1" applyFill="1" applyBorder="1" applyAlignment="1">
      <alignment readingOrder="1"/>
    </xf>
    <xf numFmtId="0" fontId="91" fillId="55" borderId="79" xfId="0" applyFont="1" applyFill="1" applyBorder="1" applyAlignment="1">
      <alignment horizontal="center" vertical="center" wrapText="1" readingOrder="1"/>
    </xf>
    <xf numFmtId="0" fontId="91" fillId="55" borderId="33" xfId="0" applyFont="1" applyFill="1" applyBorder="1" applyAlignment="1">
      <alignment horizontal="center" vertical="center" wrapText="1" readingOrder="1"/>
    </xf>
    <xf numFmtId="0" fontId="90" fillId="56" borderId="62" xfId="0" applyFont="1" applyFill="1" applyBorder="1" applyAlignment="1">
      <alignment horizontal="center" vertical="center" wrapText="1" readingOrder="1"/>
    </xf>
    <xf numFmtId="0" fontId="90" fillId="55" borderId="66" xfId="0" applyFont="1" applyFill="1" applyBorder="1" applyAlignment="1">
      <alignment horizontal="center" vertical="center" wrapText="1" readingOrder="1"/>
    </xf>
    <xf numFmtId="0" fontId="91" fillId="55" borderId="11" xfId="0" applyFont="1" applyFill="1" applyBorder="1" applyAlignment="1">
      <alignment horizontal="center" vertical="center" wrapText="1" readingOrder="1"/>
    </xf>
    <xf numFmtId="0" fontId="90" fillId="55" borderId="69" xfId="0" applyFont="1" applyFill="1" applyBorder="1" applyAlignment="1">
      <alignment horizontal="center" wrapText="1"/>
    </xf>
    <xf numFmtId="0" fontId="99" fillId="55" borderId="61" xfId="0" applyFont="1" applyFill="1" applyBorder="1" applyAlignment="1">
      <alignment horizontal="center" wrapText="1"/>
    </xf>
    <xf numFmtId="0" fontId="90" fillId="55" borderId="61" xfId="0" applyFont="1" applyFill="1" applyBorder="1" applyAlignment="1">
      <alignment horizontal="center" wrapText="1"/>
    </xf>
    <xf numFmtId="0" fontId="91" fillId="55" borderId="70" xfId="0" applyFont="1" applyFill="1" applyBorder="1" applyAlignment="1">
      <alignment horizontal="center" wrapText="1"/>
    </xf>
    <xf numFmtId="0" fontId="91" fillId="55" borderId="79" xfId="0" applyFont="1" applyFill="1" applyBorder="1" applyAlignment="1">
      <alignment horizontal="center" vertical="center" wrapText="1"/>
    </xf>
    <xf numFmtId="0" fontId="91" fillId="55" borderId="34" xfId="0" applyFont="1" applyFill="1" applyBorder="1" applyAlignment="1">
      <alignment horizontal="center" vertical="center" wrapText="1"/>
    </xf>
    <xf numFmtId="0" fontId="99" fillId="37" borderId="69" xfId="0" applyFont="1" applyFill="1" applyBorder="1" applyAlignment="1">
      <alignment horizontal="center" vertical="center" wrapText="1"/>
    </xf>
    <xf numFmtId="0" fontId="99" fillId="37" borderId="61" xfId="0" applyFont="1" applyFill="1" applyBorder="1" applyAlignment="1">
      <alignment horizontal="center" vertical="center" wrapText="1"/>
    </xf>
    <xf numFmtId="0" fontId="99" fillId="37" borderId="70" xfId="0" applyFont="1" applyFill="1" applyBorder="1" applyAlignment="1">
      <alignment horizontal="center" vertical="center" wrapText="1"/>
    </xf>
    <xf numFmtId="0" fontId="90" fillId="56" borderId="66" xfId="0" applyFont="1" applyFill="1" applyBorder="1" applyAlignment="1">
      <alignment horizontal="center" vertical="center" wrapText="1" readingOrder="1"/>
    </xf>
    <xf numFmtId="0" fontId="90" fillId="56" borderId="67" xfId="0" applyFont="1" applyFill="1" applyBorder="1" applyAlignment="1">
      <alignment horizontal="center" vertical="center" wrapText="1" readingOrder="1"/>
    </xf>
    <xf numFmtId="0" fontId="91" fillId="55" borderId="79" xfId="0" applyFont="1" applyFill="1" applyBorder="1" applyAlignment="1">
      <alignment wrapText="1" readingOrder="1"/>
    </xf>
    <xf numFmtId="0" fontId="91" fillId="55" borderId="33" xfId="0" applyFont="1" applyFill="1" applyBorder="1" applyAlignment="1">
      <alignment wrapText="1" readingOrder="1"/>
    </xf>
    <xf numFmtId="0" fontId="91" fillId="55" borderId="68" xfId="0" applyFont="1" applyFill="1" applyBorder="1" applyAlignment="1">
      <alignment wrapText="1" readingOrder="1"/>
    </xf>
    <xf numFmtId="0" fontId="91" fillId="55" borderId="68" xfId="0" applyFont="1" applyFill="1" applyBorder="1" applyAlignment="1">
      <alignment horizontal="center" vertical="center" wrapText="1" readingOrder="1"/>
    </xf>
    <xf numFmtId="0" fontId="49" fillId="0" borderId="0" xfId="63" applyFont="1" applyAlignment="1"/>
    <xf numFmtId="0" fontId="48" fillId="0" borderId="0" xfId="63" applyFont="1" applyAlignment="1"/>
    <xf numFmtId="0" fontId="68" fillId="0" borderId="0" xfId="0" applyFont="1" applyAlignment="1"/>
    <xf numFmtId="0" fontId="63" fillId="0" borderId="0" xfId="0" applyFont="1" applyAlignment="1"/>
    <xf numFmtId="0" fontId="107" fillId="0" borderId="0" xfId="0" applyFont="1" applyAlignment="1"/>
    <xf numFmtId="0" fontId="103" fillId="0" borderId="0" xfId="0" applyFont="1" applyAlignment="1"/>
  </cellXfs>
  <cellStyles count="6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1 2" xfId="51" xr:uid="{992ABA67-56E7-452D-AECC-2937DC66BD56}"/>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67" builtinId="3"/>
    <cellStyle name="Comma 2" xfId="48" xr:uid="{82F8058B-5C48-4B11-89FB-4AF1C33DDCCD}"/>
    <cellStyle name="Comma 3" xfId="43" xr:uid="{00000000-0005-0000-0000-00001C000000}"/>
    <cellStyle name="Comma 4" xfId="50" xr:uid="{8912A70A-ACAA-4FE9-9066-5E7BB6D05036}"/>
    <cellStyle name="Comma 5" xfId="55" xr:uid="{59E719E5-B0F0-4913-8D11-7B199E759B56}"/>
    <cellStyle name="Comma 6" xfId="56" xr:uid="{0D4686F8-8CA3-4057-8033-1E26F7135625}"/>
    <cellStyle name="Comma 7" xfId="65" xr:uid="{812BFA96-FAA0-4609-83FA-790FFEBC075A}"/>
    <cellStyle name="Currency" xfId="68" builtinId="4"/>
    <cellStyle name="Currency 2" xfId="45" xr:uid="{00000000-0005-0000-0000-00001E000000}"/>
    <cellStyle name="Currency 2 2" xfId="62" xr:uid="{0D7D3E31-69C1-4B8B-8E5E-1C016DC2ED48}"/>
    <cellStyle name="Currency 3" xfId="54" xr:uid="{C77E61AD-28CD-4960-BBF0-EFB16E4CB273}"/>
    <cellStyle name="Currency 4" xfId="66" xr:uid="{16362F8F-CD7A-4ED6-8E41-EA6A3752DFDC}"/>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46" xr:uid="{00000000-0005-0000-0000-00002A000000}"/>
    <cellStyle name="Normal 2 3" xfId="58" xr:uid="{EA69078B-A7B6-48E2-B92E-740C377987E5}"/>
    <cellStyle name="Normal 3" xfId="47" xr:uid="{747BD253-15CD-49B3-A0B6-7A9A60DD8D08}"/>
    <cellStyle name="Normal 3 2" xfId="52" xr:uid="{AC861EB4-F9EA-4ECC-B49A-34DC967A4B07}"/>
    <cellStyle name="Normal 3 3" xfId="61" xr:uid="{ED549121-B605-4280-AE17-93ABD24223DC}"/>
    <cellStyle name="Normal 4" xfId="49" xr:uid="{FB5EFB8F-E531-4E75-A554-9142D2CA6204}"/>
    <cellStyle name="Normal 4 2" xfId="60" xr:uid="{256F53DE-7A7F-41D7-BC7F-00BD59578613}"/>
    <cellStyle name="Normal 4 2 2" xfId="64" xr:uid="{86CA30F4-5E8B-4101-984A-A8CD283872D6}"/>
    <cellStyle name="Normal 5" xfId="42" xr:uid="{00000000-0005-0000-0000-00002B000000}"/>
    <cellStyle name="Normal 6" xfId="53" xr:uid="{C5841FB2-2CA8-4715-91CA-B8FF9FEC3A60}"/>
    <cellStyle name="Normal 7" xfId="57" xr:uid="{DFD31FD1-23FD-4880-9E7D-2AE3E83A9CA7}"/>
    <cellStyle name="Normal 8" xfId="59" xr:uid="{D965F636-5C98-49B7-A12B-448CF6E7F29E}"/>
    <cellStyle name="Normal 9" xfId="63" xr:uid="{396E26E9-E441-4768-99F2-DEB7116FD08B}"/>
    <cellStyle name="Note" xfId="37" builtinId="10" customBuiltin="1"/>
    <cellStyle name="Output" xfId="38" builtinId="21" customBuiltin="1"/>
    <cellStyle name="Percent 2" xfId="44" xr:uid="{00000000-0005-0000-0000-000030000000}"/>
    <cellStyle name="Title" xfId="39" builtinId="15" customBuiltin="1"/>
    <cellStyle name="Total" xfId="40" builtinId="25" customBuiltin="1"/>
    <cellStyle name="Warning Text" xfId="41" builtinId="11" customBuiltin="1"/>
  </cellStyles>
  <dxfs count="23">
    <dxf>
      <alignment wrapText="1"/>
    </dxf>
    <dxf>
      <border outline="0">
        <bottom style="thin">
          <color rgb="FFFFFFFF"/>
        </bottom>
      </border>
    </dxf>
    <dxf>
      <border outline="0">
        <top style="thin">
          <color rgb="FFFFFFFF"/>
        </top>
      </border>
    </dxf>
    <dxf>
      <font>
        <b val="0"/>
        <i val="0"/>
        <strike val="0"/>
        <condense val="0"/>
        <extend val="0"/>
        <outline val="0"/>
        <shadow val="0"/>
        <u val="none"/>
        <vertAlign val="baseline"/>
        <sz val="10"/>
        <color rgb="FF000000"/>
        <name val="Arial"/>
        <scheme val="none"/>
      </font>
      <fill>
        <patternFill patternType="solid">
          <fgColor rgb="FF83CCEB"/>
          <bgColor rgb="FF83CCEB"/>
        </patternFill>
      </fill>
      <alignment horizontal="general" vertical="bottom" textRotation="0" wrapText="0"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family val="2"/>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theme="0"/>
        </left>
        <right/>
        <top style="thin">
          <color theme="4" tint="0.39997558519241921"/>
        </top>
        <bottom/>
      </border>
    </dxf>
    <dxf>
      <font>
        <b val="0"/>
        <i val="0"/>
        <strike val="0"/>
        <condense val="0"/>
        <extend val="0"/>
        <outline val="0"/>
        <shadow val="0"/>
        <u val="none"/>
        <vertAlign val="baseline"/>
        <sz val="10"/>
        <color theme="1"/>
        <name val="Calibri"/>
        <family val="2"/>
        <scheme val="none"/>
      </font>
      <fill>
        <patternFill patternType="none">
          <fgColor indexed="64"/>
          <bgColor auto="1"/>
        </patternFill>
      </fill>
      <border diagonalUp="0" diagonalDown="0" outline="0">
        <left style="thin">
          <color theme="0"/>
        </left>
        <right/>
        <top style="thin">
          <color theme="4" tint="0.39997558519241921"/>
        </top>
        <bottom/>
      </border>
    </dxf>
    <dxf>
      <font>
        <b val="0"/>
        <i val="0"/>
        <strike val="0"/>
        <condense val="0"/>
        <extend val="0"/>
        <outline val="0"/>
        <shadow val="0"/>
        <u val="none"/>
        <vertAlign val="baseline"/>
        <sz val="10"/>
        <color theme="1"/>
        <name val="Calibri"/>
        <family val="2"/>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theme="0"/>
        </left>
        <right/>
        <top style="thin">
          <color theme="4" tint="0.39997558519241921"/>
        </top>
        <bottom/>
      </border>
    </dxf>
    <dxf>
      <font>
        <b val="0"/>
        <i val="0"/>
        <strike val="0"/>
        <condense val="0"/>
        <extend val="0"/>
        <outline val="0"/>
        <shadow val="0"/>
        <u val="none"/>
        <vertAlign val="baseline"/>
        <sz val="10"/>
        <color theme="1"/>
        <name val="Calibri"/>
        <family val="2"/>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theme="0"/>
        </left>
        <right/>
        <top style="thin">
          <color theme="4" tint="0.39997558519241921"/>
        </top>
        <bottom/>
      </border>
    </dxf>
    <dxf>
      <font>
        <b val="0"/>
        <i val="0"/>
        <strike val="0"/>
        <condense val="0"/>
        <extend val="0"/>
        <outline val="0"/>
        <shadow val="0"/>
        <u val="none"/>
        <vertAlign val="baseline"/>
        <sz val="10"/>
        <color theme="1"/>
        <name val="Calibri"/>
        <family val="2"/>
        <scheme val="none"/>
      </font>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libri"/>
        <family val="2"/>
        <scheme val="none"/>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1" tint="0.34998626667073579"/>
        </patternFill>
      </fill>
      <alignment horizontal="center" vertical="center" textRotation="0" wrapText="0" indent="0" justifyLastLine="0" shrinkToFit="0" readingOrder="0"/>
      <border diagonalUp="0" diagonalDown="0" outline="0">
        <left style="thin">
          <color theme="0"/>
        </left>
        <right style="thin">
          <color theme="0"/>
        </right>
        <top/>
        <bottom/>
      </border>
    </dxf>
  </dxfs>
  <tableStyles count="0" defaultTableStyle="TableStyleMedium9" defaultPivotStyle="PivotStyleLight16"/>
  <colors>
    <mruColors>
      <color rgb="FF83CCEB"/>
      <color rgb="FFC0E6F5"/>
      <color rgb="FFFFE766"/>
      <color rgb="FFCBE7D0"/>
      <color rgb="FF0596D5"/>
      <color rgb="FFB5E6A2"/>
      <color rgb="FFC8FF00"/>
      <color rgb="FFADE917"/>
      <color rgb="FFFFD266"/>
      <color rgb="FFFFD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257175</xdr:colOff>
      <xdr:row>0</xdr:row>
      <xdr:rowOff>0</xdr:rowOff>
    </xdr:from>
    <xdr:to>
      <xdr:col>13</xdr:col>
      <xdr:colOff>841376</xdr:colOff>
      <xdr:row>3</xdr:row>
      <xdr:rowOff>156206</xdr:rowOff>
    </xdr:to>
    <xdr:pic>
      <xdr:nvPicPr>
        <xdr:cNvPr id="2" name="Picture 1">
          <a:extLst>
            <a:ext uri="{FF2B5EF4-FFF2-40B4-BE49-F238E27FC236}">
              <a16:creationId xmlns:a16="http://schemas.microsoft.com/office/drawing/2014/main" id="{653258FD-14B5-4B88-A2FA-9883A5B72E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49475" y="0"/>
          <a:ext cx="584201" cy="8858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1800225</xdr:colOff>
      <xdr:row>0</xdr:row>
      <xdr:rowOff>53975</xdr:rowOff>
    </xdr:from>
    <xdr:to>
      <xdr:col>14</xdr:col>
      <xdr:colOff>2371725</xdr:colOff>
      <xdr:row>1</xdr:row>
      <xdr:rowOff>92075</xdr:rowOff>
    </xdr:to>
    <xdr:pic>
      <xdr:nvPicPr>
        <xdr:cNvPr id="2" name="Picture 1" descr="undplogo2">
          <a:extLst>
            <a:ext uri="{FF2B5EF4-FFF2-40B4-BE49-F238E27FC236}">
              <a16:creationId xmlns:a16="http://schemas.microsoft.com/office/drawing/2014/main" id="{51120018-01D0-4976-9A25-B7E6F2F8012F}"/>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846550" y="53975"/>
          <a:ext cx="571500" cy="30480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1724025</xdr:colOff>
      <xdr:row>0</xdr:row>
      <xdr:rowOff>0</xdr:rowOff>
    </xdr:from>
    <xdr:to>
      <xdr:col>15</xdr:col>
      <xdr:colOff>2213610</xdr:colOff>
      <xdr:row>3</xdr:row>
      <xdr:rowOff>76200</xdr:rowOff>
    </xdr:to>
    <xdr:pic>
      <xdr:nvPicPr>
        <xdr:cNvPr id="2" name="Picture 1">
          <a:extLst>
            <a:ext uri="{FF2B5EF4-FFF2-40B4-BE49-F238E27FC236}">
              <a16:creationId xmlns:a16="http://schemas.microsoft.com/office/drawing/2014/main" id="{BA3FF6C2-CDC6-48A8-84EC-1458981AD6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412450" y="0"/>
          <a:ext cx="495300" cy="762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teams/MMR/spu/pawp/Shared%20Documents/9.11%202025%20AWPs/AWP%20Fromat%20and%20Guideline/For%20Reveiw%20and%20Clearance/New%20Risk%20Mangement%20Mitigation%20Plan%20format.xlsx" TargetMode="External"/><Relationship Id="rId1" Type="http://schemas.openxmlformats.org/officeDocument/2006/relationships/externalLinkPath" Target="/teams/MMR/spu/pawp/Shared%20Documents/9.11%202025%20AWPs/AWP%20Fromat%20and%20Guideline/For%20Reveiw%20and%20Clearance/New%20Risk%20Mangement%20Mitigation%20Plan%20form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isk Mitigation (Revise)"/>
      <sheetName val="Sheet1"/>
    </sheetNames>
    <sheetDataSet>
      <sheetData sheetId="0"/>
      <sheetData sheetId="1"/>
    </sheetDataSet>
  </externalBook>
</externalLink>
</file>

<file path=xl/persons/person.xml><?xml version="1.0" encoding="utf-8"?>
<personList xmlns="http://schemas.microsoft.com/office/spreadsheetml/2018/threadedcomments" xmlns:x="http://schemas.openxmlformats.org/spreadsheetml/2006/main">
  <person displayName="Ali Muntasir" id="{797E0B8B-0C9F-4C47-9161-03A39C9F9340}" userId="ali.muntasir@undp.org" providerId="PeoplePicker"/>
  <person displayName="Khattab Badr" id="{64E73BAB-2C25-47C6-8253-C29037B72A0E}" userId="khattab.badr@undp.org" providerId="PeoplePicker"/>
  <person displayName="Joelle Seme Park" id="{3D9B8158-F572-43B7-8736-2B0D37797428}" userId="S::joelle-seme.park@undp.org::61c594a8-4ed9-4b76-84dc-07ca23069bd7" providerId="AD"/>
  <person displayName="Marrian Gebreselassie" id="{DD9BFE03-6C28-4E49-BD2F-B4897265873F}" userId="S::marrian.gebreselassie@undp.org::a958bc1d-bd72-465b-aabf-d5afe6e4dcc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3335D1-AA35-47F0-A57C-694F87EC7F20}" name="Table3" displayName="Table3" ref="A1:E247" totalsRowShown="0" headerRowDxfId="22" dataDxfId="21" tableBorderDxfId="20">
  <autoFilter ref="A1:E247" xr:uid="{DD3335D1-AA35-47F0-A57C-694F87EC7F20}"/>
  <tableColumns count="5">
    <tableColumn id="1" xr3:uid="{FA4ABC7B-1FFB-4C08-842C-DF29F02D8BE8}" name="Project#" dataDxfId="19"/>
    <tableColumn id="2" xr3:uid="{E0DAA551-90F4-4501-A7E4-B8204837C1CE}" name="Award No" dataDxfId="18"/>
    <tableColumn id="3" xr3:uid="{7D8A2ED3-A035-4EC4-96A1-EA5AC748FB26}" name="     Donor Code" dataDxfId="17"/>
    <tableColumn id="4" xr3:uid="{C1D5BB06-71BA-48CC-A4A0-C2D32525A046}" name="Donor Name" dataDxfId="16"/>
    <tableColumn id="5" xr3:uid="{0A565738-FBCE-4A12-BB55-939E4C248F6A}" name="Fund Code" dataDxfId="1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AB75C2-EA8F-47A2-944B-EF2EB85022E1}" name="Table2" displayName="Table2" ref="G3:L15" totalsRowShown="0" headerRowDxfId="14" dataDxfId="13" headerRowBorderDxfId="11" tableBorderDxfId="12" totalsRowBorderDxfId="10">
  <autoFilter ref="G3:L15" xr:uid="{CCAB75C2-EA8F-47A2-944B-EF2EB85022E1}"/>
  <tableColumns count="6">
    <tableColumn id="1" xr3:uid="{A5FF0EB8-B07A-4025-A92F-66F901745B5B}" name="Project" dataDxfId="9"/>
    <tableColumn id="2" xr3:uid="{D9182367-35B7-4DF4-9C23-282FFFBED34C}" name="Award" dataDxfId="8"/>
    <tableColumn id="3" xr3:uid="{3239A1DA-E36A-482D-943A-1A4800E6F1DD}" name="Donor#" dataDxfId="7"/>
    <tableColumn id="4" xr3:uid="{DF966541-EACB-411C-BF8B-E0744EBDC688}" name="Donor Name" dataDxfId="6"/>
    <tableColumn id="5" xr3:uid="{5098354A-DF11-4861-AE5E-FCF1545DDCBB}" name="Fund#" dataDxfId="5"/>
    <tableColumn id="6" xr3:uid="{0F973206-EDEF-4E60-B261-E7A94301ED1D}" name="Code" dataDxfId="4">
      <calculatedColumnFormula>C4&amp;"_"&amp;E4</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6A35EA-7E9D-3242-9D26-DA04EEE0DBD6}" name="Table15" displayName="Table15" ref="B7:J18" totalsRowShown="0" headerRowDxfId="3" headerRowBorderDxfId="1" tableBorderDxfId="2">
  <autoFilter ref="B7:J18" xr:uid="{D66A35EA-7E9D-3242-9D26-DA04EEE0DBD6}"/>
  <tableColumns count="9">
    <tableColumn id="1" xr3:uid="{8DEFC13F-C68C-B04B-A4CC-EBD726F56C68}" name="Column1"/>
    <tableColumn id="2" xr3:uid="{5FCFF006-C68F-8E40-BFCF-51C44434195B}" name="Column2" dataDxfId="0"/>
    <tableColumn id="3" xr3:uid="{FC2D2F7A-9D11-7A47-BA42-72B14C26F910}" name="Column3"/>
    <tableColumn id="4" xr3:uid="{39023BA2-12AC-9C44-9A79-752FEA9B36DF}" name="Column4"/>
    <tableColumn id="5" xr3:uid="{132CBF16-1CE9-554E-B0B7-C1310AC8E7E0}" name="Column5"/>
    <tableColumn id="6" xr3:uid="{8CB834D9-1B6B-CF47-A88F-E851836DB59C}" name="Column6"/>
    <tableColumn id="7" xr3:uid="{013863D0-CD2F-4F45-83CF-1D82AC2FA16D}" name="Column7"/>
    <tableColumn id="8" xr3:uid="{A64914E3-FD7E-EB4E-8A0B-7CE60B41F554}" name="Column8"/>
    <tableColumn id="9" xr3:uid="{5B7C0751-F198-A346-B7DF-9F56BEF40E21}" name="Column9"/>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5" dT="2026-06-22T20:42:31.47" personId="{3D9B8158-F572-43B7-8736-2B0D37797428}" id="{204A68A3-3668-41F0-920C-4D0B6331C678}">
    <text xml:space="preserve">For Sudan and South Sudan, the baseline is 0.
For Afghanistan, Myanmar, PAPP (Gaza) and Syria, please use the final results of REVIVE 1 as baseline, where applicable. </text>
  </threadedComment>
  <threadedComment ref="D17" dT="2026-07-26T08:10:47.35" personId="{DD9BFE03-6C28-4E49-BD2F-B4897265873F}" id="{DEA63C76-E5E0-42A1-98FA-8030A2583476}" done="1">
    <text>@Khattab Badr / @Ali Muntasir please provide dis-aggregation of beneficiaries under output 3</text>
    <mentions>
      <mention mentionpersonId="{64E73BAB-2C25-47C6-8253-C29037B72A0E}" mentionId="{465A372B-88AD-40AE-958E-9FCEB9B5B21E}" startIndex="0" length="13"/>
      <mention mentionpersonId="{797E0B8B-0C9F-4C47-9161-03A39C9F9340}" mentionId="{888206BE-42F2-43FE-AA33-4DDAD2FDE91A}" startIndex="16" length="13"/>
    </mentions>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3D40D9B-7788-44B5-83AD-F14406FA8FBF}">
  <we:reference id="c001ba1d-deed-ab1e-fa57-beefab8d5eed" version="1.0.0.0" store="EXCatalog" storeType="EXCatalog"/>
  <we:alternateReferences>
    <we:reference id="WA104381504" version="1.0.0.0" store="da-DK"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88E67-9310-4CB4-B0A8-7F09EE9B2A75}">
  <sheetPr codeName="Sheet1" filterMode="1">
    <tabColor theme="0" tint="-0.249977111117893"/>
  </sheetPr>
  <dimension ref="A1:I49"/>
  <sheetViews>
    <sheetView workbookViewId="0">
      <selection activeCell="H48" sqref="H48"/>
    </sheetView>
  </sheetViews>
  <sheetFormatPr defaultColWidth="8.7109375" defaultRowHeight="12.95"/>
  <cols>
    <col min="1" max="1" width="18.42578125" style="4" bestFit="1" customWidth="1"/>
    <col min="2" max="2" width="88.42578125" customWidth="1"/>
    <col min="3" max="3" width="22.42578125" style="4" hidden="1" customWidth="1"/>
    <col min="4" max="4" width="11.7109375" style="4" bestFit="1" customWidth="1"/>
    <col min="5" max="5" width="28.42578125" style="4" bestFit="1" customWidth="1"/>
    <col min="6" max="6" width="17.140625" style="4" customWidth="1"/>
    <col min="7" max="7" width="16.42578125" style="4" customWidth="1"/>
  </cols>
  <sheetData>
    <row r="1" spans="1:9" ht="14.1">
      <c r="A1" s="2" t="s">
        <v>0</v>
      </c>
      <c r="B1" s="2" t="s">
        <v>1</v>
      </c>
      <c r="C1" s="2" t="s">
        <v>2</v>
      </c>
      <c r="D1" s="2" t="s">
        <v>3</v>
      </c>
      <c r="E1" s="2" t="s">
        <v>4</v>
      </c>
      <c r="F1" s="2" t="s">
        <v>5</v>
      </c>
      <c r="G1" s="2" t="s">
        <v>6</v>
      </c>
      <c r="H1" s="2" t="s">
        <v>7</v>
      </c>
    </row>
    <row r="2" spans="1:9" ht="14.1" hidden="1">
      <c r="A2" s="3">
        <v>14145</v>
      </c>
      <c r="B2" s="1" t="s">
        <v>8</v>
      </c>
      <c r="C2" s="3" t="s">
        <v>9</v>
      </c>
      <c r="D2" s="3" t="s">
        <v>10</v>
      </c>
      <c r="E2" s="3" t="s">
        <v>11</v>
      </c>
      <c r="F2" s="5">
        <v>18629</v>
      </c>
      <c r="G2" s="5">
        <v>46022</v>
      </c>
      <c r="H2" t="s">
        <v>12</v>
      </c>
    </row>
    <row r="3" spans="1:9" ht="14.1" hidden="1">
      <c r="A3" s="3">
        <v>20377</v>
      </c>
      <c r="B3" s="1" t="s">
        <v>13</v>
      </c>
      <c r="C3" s="3" t="s">
        <v>14</v>
      </c>
      <c r="D3" s="3" t="s">
        <v>10</v>
      </c>
      <c r="E3" s="3" t="s">
        <v>15</v>
      </c>
      <c r="F3" s="5">
        <v>37987</v>
      </c>
      <c r="G3" s="5">
        <v>46022</v>
      </c>
      <c r="H3" t="s">
        <v>12</v>
      </c>
    </row>
    <row r="4" spans="1:9" ht="14.1" hidden="1">
      <c r="A4" s="3">
        <v>37867</v>
      </c>
      <c r="B4" s="1" t="s">
        <v>16</v>
      </c>
      <c r="C4" s="3" t="s">
        <v>17</v>
      </c>
      <c r="D4" s="3" t="s">
        <v>10</v>
      </c>
      <c r="E4" s="3" t="s">
        <v>15</v>
      </c>
      <c r="F4" s="5">
        <v>38152</v>
      </c>
      <c r="G4" s="5">
        <v>46022</v>
      </c>
      <c r="H4" t="s">
        <v>12</v>
      </c>
    </row>
    <row r="5" spans="1:9" ht="14.1" hidden="1">
      <c r="A5" s="3">
        <v>40513</v>
      </c>
      <c r="B5" s="1" t="s">
        <v>18</v>
      </c>
      <c r="C5" s="3" t="s">
        <v>19</v>
      </c>
      <c r="D5" s="3" t="s">
        <v>10</v>
      </c>
      <c r="E5" s="3" t="s">
        <v>20</v>
      </c>
      <c r="F5" s="5">
        <v>38282</v>
      </c>
      <c r="G5" s="5">
        <v>46022</v>
      </c>
      <c r="H5" t="s">
        <v>12</v>
      </c>
    </row>
    <row r="6" spans="1:9" ht="14.1" hidden="1">
      <c r="A6" s="3">
        <v>40830</v>
      </c>
      <c r="B6" s="1" t="s">
        <v>21</v>
      </c>
      <c r="C6" s="3" t="s">
        <v>22</v>
      </c>
      <c r="D6" s="3" t="s">
        <v>10</v>
      </c>
      <c r="E6" s="3" t="s">
        <v>15</v>
      </c>
      <c r="F6" s="5">
        <v>38292</v>
      </c>
      <c r="G6" s="5">
        <v>48213</v>
      </c>
      <c r="H6" t="s">
        <v>12</v>
      </c>
    </row>
    <row r="7" spans="1:9" ht="14.1" hidden="1">
      <c r="A7" s="3">
        <v>49333</v>
      </c>
      <c r="B7" s="1" t="s">
        <v>23</v>
      </c>
      <c r="C7" s="3" t="s">
        <v>24</v>
      </c>
      <c r="D7" s="3" t="s">
        <v>10</v>
      </c>
      <c r="E7" s="3" t="s">
        <v>15</v>
      </c>
      <c r="F7" s="5">
        <v>38718</v>
      </c>
      <c r="G7" s="5">
        <v>47848</v>
      </c>
      <c r="H7" t="s">
        <v>12</v>
      </c>
    </row>
    <row r="8" spans="1:9" ht="14.1" hidden="1">
      <c r="A8" s="3">
        <v>49334</v>
      </c>
      <c r="B8" s="1" t="s">
        <v>25</v>
      </c>
      <c r="C8" s="3" t="s">
        <v>26</v>
      </c>
      <c r="D8" s="3" t="s">
        <v>10</v>
      </c>
      <c r="E8" s="3" t="s">
        <v>15</v>
      </c>
      <c r="F8" s="5">
        <v>38718</v>
      </c>
      <c r="G8" s="5">
        <v>47848</v>
      </c>
      <c r="H8" t="s">
        <v>12</v>
      </c>
    </row>
    <row r="9" spans="1:9" ht="14.1" hidden="1">
      <c r="A9" s="3">
        <v>52919</v>
      </c>
      <c r="B9" s="1" t="s">
        <v>27</v>
      </c>
      <c r="C9" s="3" t="s">
        <v>28</v>
      </c>
      <c r="D9" s="3" t="s">
        <v>10</v>
      </c>
      <c r="E9" s="3" t="s">
        <v>20</v>
      </c>
      <c r="F9" s="5">
        <v>38946</v>
      </c>
      <c r="G9" s="5">
        <v>47118</v>
      </c>
      <c r="H9" t="s">
        <v>12</v>
      </c>
    </row>
    <row r="10" spans="1:9" ht="14.1" hidden="1">
      <c r="A10" s="3">
        <v>88974</v>
      </c>
      <c r="B10" s="1" t="s">
        <v>29</v>
      </c>
      <c r="C10" s="3" t="s">
        <v>30</v>
      </c>
      <c r="D10" s="3" t="s">
        <v>10</v>
      </c>
      <c r="E10" s="3" t="s">
        <v>31</v>
      </c>
      <c r="F10" s="5">
        <v>41640</v>
      </c>
      <c r="G10" s="5">
        <v>46387</v>
      </c>
      <c r="H10" t="s">
        <v>12</v>
      </c>
    </row>
    <row r="11" spans="1:9" ht="14.1">
      <c r="A11" s="3">
        <v>103834</v>
      </c>
      <c r="B11" s="1" t="s">
        <v>32</v>
      </c>
      <c r="C11" s="3" t="s">
        <v>33</v>
      </c>
      <c r="D11" s="3" t="s">
        <v>10</v>
      </c>
      <c r="E11" s="3" t="s">
        <v>34</v>
      </c>
      <c r="F11" s="5">
        <v>42697</v>
      </c>
      <c r="G11" s="5">
        <v>46387</v>
      </c>
      <c r="H11" s="4" t="s">
        <v>35</v>
      </c>
      <c r="I11" t="s">
        <v>12</v>
      </c>
    </row>
    <row r="12" spans="1:9" ht="14.1">
      <c r="A12" s="3">
        <v>108580</v>
      </c>
      <c r="B12" s="1" t="s">
        <v>36</v>
      </c>
      <c r="C12" s="3" t="s">
        <v>37</v>
      </c>
      <c r="D12" s="3" t="s">
        <v>10</v>
      </c>
      <c r="E12" s="3" t="s">
        <v>38</v>
      </c>
      <c r="F12" s="5">
        <v>44562</v>
      </c>
      <c r="G12" s="5">
        <v>46022</v>
      </c>
      <c r="H12" s="3" t="s">
        <v>39</v>
      </c>
      <c r="I12" t="s">
        <v>12</v>
      </c>
    </row>
    <row r="13" spans="1:9" ht="14.1">
      <c r="A13" s="3">
        <v>108676</v>
      </c>
      <c r="B13" s="1" t="s">
        <v>40</v>
      </c>
      <c r="C13" s="3" t="s">
        <v>41</v>
      </c>
      <c r="D13" s="3" t="s">
        <v>10</v>
      </c>
      <c r="E13" s="3" t="s">
        <v>42</v>
      </c>
      <c r="F13" s="5">
        <v>44470</v>
      </c>
      <c r="G13" s="5">
        <v>46752</v>
      </c>
      <c r="H13" s="4" t="s">
        <v>12</v>
      </c>
      <c r="I13" t="s">
        <v>12</v>
      </c>
    </row>
    <row r="14" spans="1:9" ht="14.1">
      <c r="A14" s="3">
        <v>108769</v>
      </c>
      <c r="B14" s="1" t="s">
        <v>43</v>
      </c>
      <c r="C14" s="3" t="s">
        <v>44</v>
      </c>
      <c r="D14" s="3" t="s">
        <v>10</v>
      </c>
      <c r="E14" s="3" t="s">
        <v>45</v>
      </c>
      <c r="F14" s="5">
        <v>44896</v>
      </c>
      <c r="G14" s="5">
        <v>46173</v>
      </c>
      <c r="H14" s="3" t="s">
        <v>46</v>
      </c>
    </row>
    <row r="15" spans="1:9" ht="14.1">
      <c r="A15" s="3">
        <v>110308</v>
      </c>
      <c r="B15" s="1" t="s">
        <v>47</v>
      </c>
      <c r="C15" s="3" t="s">
        <v>48</v>
      </c>
      <c r="D15" s="3" t="s">
        <v>10</v>
      </c>
      <c r="E15" s="3" t="s">
        <v>42</v>
      </c>
      <c r="F15" s="5">
        <v>44562</v>
      </c>
      <c r="G15" s="5">
        <v>46477</v>
      </c>
      <c r="H15" s="4" t="s">
        <v>49</v>
      </c>
    </row>
    <row r="16" spans="1:9" ht="14.1">
      <c r="A16" s="3">
        <v>110314</v>
      </c>
      <c r="B16" s="1" t="s">
        <v>50</v>
      </c>
      <c r="C16" s="3" t="s">
        <v>51</v>
      </c>
      <c r="D16" s="3" t="s">
        <v>10</v>
      </c>
      <c r="E16" s="3" t="s">
        <v>52</v>
      </c>
      <c r="F16" s="5">
        <v>44743</v>
      </c>
      <c r="G16" s="5">
        <v>46752</v>
      </c>
      <c r="H16" s="4" t="s">
        <v>35</v>
      </c>
    </row>
    <row r="17" spans="1:8" ht="14.1">
      <c r="A17" s="48">
        <v>111468</v>
      </c>
      <c r="B17" s="1" t="s">
        <v>53</v>
      </c>
      <c r="C17" s="3" t="s">
        <v>54</v>
      </c>
      <c r="D17" s="3" t="s">
        <v>10</v>
      </c>
      <c r="E17" s="3" t="s">
        <v>52</v>
      </c>
      <c r="F17" s="5">
        <v>44562</v>
      </c>
      <c r="G17" s="5">
        <v>46053</v>
      </c>
      <c r="H17" s="4" t="s">
        <v>35</v>
      </c>
    </row>
    <row r="18" spans="1:8" ht="14.1">
      <c r="A18" s="3">
        <v>113429</v>
      </c>
      <c r="B18" s="1" t="s">
        <v>55</v>
      </c>
      <c r="C18" s="3" t="s">
        <v>56</v>
      </c>
      <c r="D18" s="3" t="s">
        <v>10</v>
      </c>
      <c r="E18" s="4" t="s">
        <v>57</v>
      </c>
      <c r="F18" s="5">
        <v>43831</v>
      </c>
      <c r="G18" s="5">
        <v>46568</v>
      </c>
      <c r="H18" s="4" t="s">
        <v>35</v>
      </c>
    </row>
    <row r="19" spans="1:8" ht="14.1">
      <c r="A19" s="3">
        <v>115973</v>
      </c>
      <c r="B19" s="1" t="s">
        <v>58</v>
      </c>
      <c r="C19" s="3" t="s">
        <v>59</v>
      </c>
      <c r="D19" s="3" t="s">
        <v>10</v>
      </c>
      <c r="E19" s="3" t="s">
        <v>38</v>
      </c>
      <c r="F19" s="5">
        <v>43586</v>
      </c>
      <c r="G19" s="5">
        <v>46022</v>
      </c>
      <c r="H19" s="3" t="s">
        <v>39</v>
      </c>
    </row>
    <row r="20" spans="1:8" ht="14.1">
      <c r="A20" s="3">
        <v>116663</v>
      </c>
      <c r="B20" s="1" t="s">
        <v>60</v>
      </c>
      <c r="C20" s="3" t="s">
        <v>61</v>
      </c>
      <c r="D20" s="3" t="s">
        <v>10</v>
      </c>
      <c r="E20" s="3" t="s">
        <v>11</v>
      </c>
      <c r="F20" s="5">
        <v>44197</v>
      </c>
      <c r="G20" s="5">
        <v>46081</v>
      </c>
      <c r="H20" s="4" t="s">
        <v>62</v>
      </c>
    </row>
    <row r="21" spans="1:8" ht="14.1">
      <c r="A21" s="3">
        <v>128026</v>
      </c>
      <c r="B21" s="1" t="s">
        <v>63</v>
      </c>
      <c r="C21" s="3" t="s">
        <v>64</v>
      </c>
      <c r="D21" s="3" t="s">
        <v>10</v>
      </c>
      <c r="E21" s="3" t="s">
        <v>65</v>
      </c>
      <c r="F21" s="5">
        <v>44407</v>
      </c>
      <c r="G21" s="5">
        <v>46022</v>
      </c>
      <c r="H21" s="4" t="s">
        <v>12</v>
      </c>
    </row>
    <row r="22" spans="1:8" ht="14.1">
      <c r="A22" s="3">
        <v>129324</v>
      </c>
      <c r="B22" s="1" t="s">
        <v>66</v>
      </c>
      <c r="C22" s="3" t="s">
        <v>67</v>
      </c>
      <c r="D22" s="3" t="s">
        <v>10</v>
      </c>
      <c r="E22" s="3" t="s">
        <v>68</v>
      </c>
      <c r="F22" s="5">
        <v>44531</v>
      </c>
      <c r="G22" s="5">
        <v>46387</v>
      </c>
      <c r="H22" s="3" t="s">
        <v>46</v>
      </c>
    </row>
    <row r="23" spans="1:8" ht="14.1">
      <c r="A23" s="3">
        <v>131755</v>
      </c>
      <c r="B23" s="1" t="s">
        <v>69</v>
      </c>
      <c r="C23" s="3" t="s">
        <v>70</v>
      </c>
      <c r="D23" s="3" t="s">
        <v>10</v>
      </c>
      <c r="E23" s="3"/>
      <c r="F23" s="5">
        <v>44927</v>
      </c>
      <c r="G23" s="5">
        <v>46022</v>
      </c>
      <c r="H23" s="4" t="s">
        <v>12</v>
      </c>
    </row>
    <row r="24" spans="1:8" ht="14.1">
      <c r="A24" s="3">
        <v>132260</v>
      </c>
      <c r="B24" s="1" t="s">
        <v>71</v>
      </c>
      <c r="C24" s="3" t="s">
        <v>72</v>
      </c>
      <c r="D24" s="3" t="s">
        <v>10</v>
      </c>
      <c r="E24" s="3" t="s">
        <v>15</v>
      </c>
      <c r="F24" s="5">
        <v>44743</v>
      </c>
      <c r="G24" s="5">
        <v>46112</v>
      </c>
      <c r="H24" s="4"/>
    </row>
    <row r="25" spans="1:8" ht="14.1">
      <c r="A25" s="3">
        <v>132972</v>
      </c>
      <c r="B25" s="1" t="s">
        <v>73</v>
      </c>
      <c r="C25" s="3" t="s">
        <v>74</v>
      </c>
      <c r="D25" s="3" t="s">
        <v>10</v>
      </c>
      <c r="E25" s="3" t="s">
        <v>57</v>
      </c>
      <c r="F25" s="5">
        <v>44795</v>
      </c>
      <c r="G25" s="5">
        <v>46387</v>
      </c>
      <c r="H25" s="4" t="s">
        <v>35</v>
      </c>
    </row>
    <row r="26" spans="1:8" ht="14.1">
      <c r="A26" s="3">
        <v>132973</v>
      </c>
      <c r="B26" s="1" t="s">
        <v>75</v>
      </c>
      <c r="C26" s="3" t="s">
        <v>76</v>
      </c>
      <c r="D26" s="3" t="s">
        <v>10</v>
      </c>
      <c r="E26" s="3" t="s">
        <v>57</v>
      </c>
      <c r="F26" s="5">
        <v>44795</v>
      </c>
      <c r="G26" s="5">
        <v>46752</v>
      </c>
      <c r="H26" s="4" t="s">
        <v>35</v>
      </c>
    </row>
    <row r="27" spans="1:8" ht="14.1">
      <c r="A27" s="3">
        <v>133751</v>
      </c>
      <c r="B27" s="1" t="s">
        <v>77</v>
      </c>
      <c r="C27" s="3" t="s">
        <v>78</v>
      </c>
      <c r="D27" s="3" t="s">
        <v>10</v>
      </c>
      <c r="E27" s="3" t="s">
        <v>11</v>
      </c>
      <c r="F27" s="5">
        <v>44927</v>
      </c>
      <c r="G27" s="5">
        <v>46387</v>
      </c>
      <c r="H27" s="4" t="s">
        <v>62</v>
      </c>
    </row>
    <row r="28" spans="1:8" ht="14.1">
      <c r="A28" s="3">
        <v>133802</v>
      </c>
      <c r="B28" s="1" t="s">
        <v>79</v>
      </c>
      <c r="C28" s="3" t="s">
        <v>80</v>
      </c>
      <c r="D28" s="3" t="s">
        <v>10</v>
      </c>
      <c r="E28" s="3"/>
      <c r="F28" s="5">
        <v>44562</v>
      </c>
      <c r="G28" s="5">
        <v>46022</v>
      </c>
      <c r="H28" s="4" t="s">
        <v>12</v>
      </c>
    </row>
    <row r="29" spans="1:8" ht="14.1">
      <c r="A29" s="3">
        <v>134428</v>
      </c>
      <c r="B29" s="1" t="s">
        <v>81</v>
      </c>
      <c r="C29" s="3" t="s">
        <v>82</v>
      </c>
      <c r="D29" s="3" t="s">
        <v>10</v>
      </c>
      <c r="E29" s="3" t="s">
        <v>83</v>
      </c>
      <c r="F29" s="5">
        <v>44927</v>
      </c>
      <c r="G29" s="5">
        <v>46112</v>
      </c>
      <c r="H29" s="4" t="s">
        <v>62</v>
      </c>
    </row>
    <row r="30" spans="1:8" ht="14.1">
      <c r="A30" s="3">
        <v>1000457</v>
      </c>
      <c r="B30" s="1" t="s">
        <v>84</v>
      </c>
      <c r="C30" s="3" t="s">
        <v>85</v>
      </c>
      <c r="D30" s="3" t="s">
        <v>10</v>
      </c>
      <c r="E30" s="3" t="s">
        <v>86</v>
      </c>
      <c r="F30" s="5">
        <v>44927</v>
      </c>
      <c r="G30" s="5">
        <v>46203</v>
      </c>
      <c r="H30" s="3" t="s">
        <v>87</v>
      </c>
    </row>
    <row r="31" spans="1:8" ht="14.1">
      <c r="A31" s="3">
        <v>1000480</v>
      </c>
      <c r="B31" s="1" t="s">
        <v>88</v>
      </c>
      <c r="C31" s="3" t="s">
        <v>89</v>
      </c>
      <c r="D31" s="3" t="s">
        <v>10</v>
      </c>
      <c r="E31" s="3" t="s">
        <v>90</v>
      </c>
      <c r="F31" s="5">
        <v>44927</v>
      </c>
      <c r="G31" s="5">
        <v>46387</v>
      </c>
      <c r="H31" s="3" t="s">
        <v>46</v>
      </c>
    </row>
    <row r="32" spans="1:8" ht="14.1">
      <c r="A32" s="3">
        <v>1001278</v>
      </c>
      <c r="B32" s="1" t="s">
        <v>91</v>
      </c>
      <c r="C32" s="3" t="s">
        <v>92</v>
      </c>
      <c r="D32" s="3" t="s">
        <v>10</v>
      </c>
      <c r="E32" s="3" t="s">
        <v>93</v>
      </c>
      <c r="F32" s="5">
        <v>45658</v>
      </c>
      <c r="G32" s="5">
        <v>47118</v>
      </c>
      <c r="H32" s="4" t="s">
        <v>62</v>
      </c>
    </row>
    <row r="33" spans="1:9" ht="14.1">
      <c r="A33" s="3">
        <v>1001486</v>
      </c>
      <c r="B33" s="1" t="s">
        <v>94</v>
      </c>
      <c r="C33" s="3" t="s">
        <v>95</v>
      </c>
      <c r="D33" s="3" t="s">
        <v>10</v>
      </c>
      <c r="E33" s="3" t="s">
        <v>96</v>
      </c>
      <c r="F33" s="5">
        <v>45139</v>
      </c>
      <c r="G33" s="5">
        <v>47118</v>
      </c>
      <c r="H33" s="4" t="s">
        <v>62</v>
      </c>
    </row>
    <row r="34" spans="1:9" ht="14.1">
      <c r="A34" s="3">
        <v>1001808</v>
      </c>
      <c r="B34" s="1" t="s">
        <v>97</v>
      </c>
      <c r="C34" s="3" t="s">
        <v>98</v>
      </c>
      <c r="D34" s="3" t="s">
        <v>10</v>
      </c>
      <c r="E34" s="3" t="s">
        <v>86</v>
      </c>
      <c r="F34" s="5">
        <v>45292</v>
      </c>
      <c r="G34" s="5">
        <v>46387</v>
      </c>
      <c r="H34" s="4" t="s">
        <v>87</v>
      </c>
    </row>
    <row r="35" spans="1:9" ht="14.1">
      <c r="A35" s="3">
        <v>1001856</v>
      </c>
      <c r="B35" s="1" t="s">
        <v>99</v>
      </c>
      <c r="C35" s="3" t="s">
        <v>100</v>
      </c>
      <c r="D35" s="3" t="s">
        <v>10</v>
      </c>
      <c r="E35" s="3" t="s">
        <v>101</v>
      </c>
      <c r="F35" s="5">
        <v>45292</v>
      </c>
      <c r="G35" s="5">
        <v>46387</v>
      </c>
      <c r="H35" s="3" t="s">
        <v>46</v>
      </c>
    </row>
    <row r="36" spans="1:9" ht="14.1">
      <c r="A36" s="3">
        <v>1002381</v>
      </c>
      <c r="B36" s="1" t="s">
        <v>102</v>
      </c>
      <c r="C36" s="3" t="s">
        <v>103</v>
      </c>
      <c r="D36" s="3" t="s">
        <v>10</v>
      </c>
      <c r="E36" s="3" t="s">
        <v>15</v>
      </c>
      <c r="F36" s="5">
        <v>45292</v>
      </c>
      <c r="G36" s="5">
        <v>46387</v>
      </c>
      <c r="H36" s="4"/>
    </row>
    <row r="37" spans="1:9" ht="14.1">
      <c r="A37" s="3">
        <v>1003178</v>
      </c>
      <c r="B37" s="1" t="s">
        <v>104</v>
      </c>
      <c r="C37" s="3" t="s">
        <v>105</v>
      </c>
      <c r="D37" s="3" t="s">
        <v>10</v>
      </c>
      <c r="E37" s="3" t="s">
        <v>68</v>
      </c>
      <c r="F37" s="5">
        <v>45566</v>
      </c>
      <c r="G37" s="5">
        <v>46387</v>
      </c>
      <c r="H37" s="3" t="s">
        <v>46</v>
      </c>
    </row>
    <row r="38" spans="1:9" ht="14.1">
      <c r="A38" s="3">
        <v>1003479</v>
      </c>
      <c r="B38" s="1" t="s">
        <v>106</v>
      </c>
      <c r="C38" s="3" t="s">
        <v>107</v>
      </c>
      <c r="D38" s="3" t="s">
        <v>10</v>
      </c>
      <c r="E38" s="3" t="s">
        <v>86</v>
      </c>
      <c r="F38" s="5">
        <v>45599</v>
      </c>
      <c r="G38" s="5">
        <v>46752</v>
      </c>
      <c r="H38" s="4" t="s">
        <v>87</v>
      </c>
    </row>
    <row r="39" spans="1:9" ht="14.1">
      <c r="A39" s="3">
        <v>1003501</v>
      </c>
      <c r="B39" s="1" t="s">
        <v>108</v>
      </c>
      <c r="C39" s="3" t="s">
        <v>109</v>
      </c>
      <c r="D39" s="3" t="s">
        <v>10</v>
      </c>
      <c r="E39" s="3" t="s">
        <v>45</v>
      </c>
      <c r="F39" s="5">
        <v>45597</v>
      </c>
      <c r="G39" s="5">
        <v>46752</v>
      </c>
      <c r="H39" s="3" t="s">
        <v>46</v>
      </c>
    </row>
    <row r="40" spans="1:9" ht="14.1">
      <c r="A40" s="3">
        <v>1003536</v>
      </c>
      <c r="B40" s="1" t="s">
        <v>110</v>
      </c>
      <c r="C40" s="3" t="s">
        <v>111</v>
      </c>
      <c r="D40" s="3" t="s">
        <v>10</v>
      </c>
      <c r="E40" s="3" t="s">
        <v>101</v>
      </c>
      <c r="F40" s="5">
        <v>45566</v>
      </c>
      <c r="G40" s="5">
        <v>46721</v>
      </c>
      <c r="H40" s="3" t="s">
        <v>46</v>
      </c>
    </row>
    <row r="41" spans="1:9" ht="14.1">
      <c r="A41" s="48">
        <v>1003568</v>
      </c>
      <c r="B41" s="1" t="s">
        <v>112</v>
      </c>
      <c r="C41" s="3" t="s">
        <v>113</v>
      </c>
      <c r="D41" s="3" t="s">
        <v>10</v>
      </c>
      <c r="E41" s="3" t="s">
        <v>114</v>
      </c>
      <c r="F41" s="5">
        <v>45627</v>
      </c>
      <c r="G41" s="5">
        <v>46752</v>
      </c>
      <c r="H41" s="4" t="s">
        <v>49</v>
      </c>
    </row>
    <row r="42" spans="1:9" ht="14.1">
      <c r="A42" s="3">
        <v>1003571</v>
      </c>
      <c r="B42" s="1" t="s">
        <v>115</v>
      </c>
      <c r="C42" s="3" t="s">
        <v>116</v>
      </c>
      <c r="D42" s="3" t="s">
        <v>10</v>
      </c>
      <c r="E42" s="3" t="s">
        <v>117</v>
      </c>
      <c r="F42" s="5">
        <v>45621</v>
      </c>
      <c r="G42" s="5">
        <v>46752</v>
      </c>
      <c r="H42" s="3" t="s">
        <v>46</v>
      </c>
    </row>
    <row r="43" spans="1:9" ht="14.1">
      <c r="A43" s="3">
        <v>1003623</v>
      </c>
      <c r="B43" s="1" t="s">
        <v>118</v>
      </c>
      <c r="C43" s="3" t="s">
        <v>119</v>
      </c>
      <c r="D43" s="3" t="s">
        <v>10</v>
      </c>
      <c r="E43" s="3" t="s">
        <v>65</v>
      </c>
      <c r="F43" s="5">
        <v>45627</v>
      </c>
      <c r="G43" s="5">
        <v>46752</v>
      </c>
      <c r="H43" s="4" t="s">
        <v>39</v>
      </c>
    </row>
    <row r="44" spans="1:9" ht="14.1">
      <c r="A44" s="3">
        <v>1003673</v>
      </c>
      <c r="B44" s="1" t="s">
        <v>120</v>
      </c>
      <c r="C44" s="3" t="s">
        <v>121</v>
      </c>
      <c r="D44" s="3" t="s">
        <v>10</v>
      </c>
      <c r="E44" s="3" t="s">
        <v>122</v>
      </c>
      <c r="F44" s="5">
        <v>45627</v>
      </c>
      <c r="G44" s="5">
        <v>46752</v>
      </c>
      <c r="H44" s="3" t="s">
        <v>46</v>
      </c>
    </row>
    <row r="45" spans="1:9" ht="14.1">
      <c r="A45" s="3">
        <v>1004308</v>
      </c>
      <c r="B45" s="1" t="s">
        <v>123</v>
      </c>
      <c r="C45" s="3" t="s">
        <v>124</v>
      </c>
      <c r="D45" s="3" t="s">
        <v>10</v>
      </c>
      <c r="E45" s="3" t="s">
        <v>42</v>
      </c>
      <c r="F45" s="5">
        <v>45581</v>
      </c>
      <c r="G45" s="5">
        <v>47042</v>
      </c>
      <c r="H45" s="4" t="s">
        <v>49</v>
      </c>
    </row>
    <row r="46" spans="1:9" ht="14.1">
      <c r="A46" s="3">
        <v>1004452</v>
      </c>
      <c r="B46" s="1" t="s">
        <v>125</v>
      </c>
      <c r="C46" s="3" t="s">
        <v>126</v>
      </c>
      <c r="D46" s="3" t="s">
        <v>10</v>
      </c>
      <c r="E46" s="3" t="s">
        <v>127</v>
      </c>
      <c r="F46" s="5">
        <v>45778</v>
      </c>
      <c r="G46" s="5">
        <v>46752</v>
      </c>
      <c r="H46" s="3" t="s">
        <v>46</v>
      </c>
    </row>
    <row r="47" spans="1:9" ht="14.1">
      <c r="A47" s="3">
        <v>1004815</v>
      </c>
      <c r="B47" s="1" t="s">
        <v>128</v>
      </c>
      <c r="C47" s="3" t="s">
        <v>129</v>
      </c>
      <c r="D47" s="3" t="s">
        <v>10</v>
      </c>
      <c r="E47" s="3" t="s">
        <v>130</v>
      </c>
      <c r="F47" s="5">
        <v>45870</v>
      </c>
      <c r="G47" s="5">
        <v>46752</v>
      </c>
      <c r="H47" s="49" t="s">
        <v>131</v>
      </c>
    </row>
    <row r="48" spans="1:9" ht="14.1">
      <c r="A48" s="3">
        <v>1005132</v>
      </c>
      <c r="B48" s="1" t="s">
        <v>132</v>
      </c>
      <c r="C48" s="3" t="s">
        <v>133</v>
      </c>
      <c r="D48" s="3" t="s">
        <v>10</v>
      </c>
      <c r="E48" s="3" t="s">
        <v>86</v>
      </c>
      <c r="F48" s="5">
        <v>45965</v>
      </c>
      <c r="G48" s="5">
        <v>47118</v>
      </c>
      <c r="H48" s="3" t="s">
        <v>87</v>
      </c>
      <c r="I48" t="s">
        <v>12</v>
      </c>
    </row>
    <row r="49" spans="1:7" ht="14.1">
      <c r="A49" s="3"/>
      <c r="B49" s="1"/>
      <c r="C49" s="3"/>
      <c r="D49" s="3"/>
      <c r="E49" s="3"/>
      <c r="F49" s="5"/>
      <c r="G49" s="5"/>
    </row>
  </sheetData>
  <autoFilter ref="A1:H49" xr:uid="{2F588E67-9310-4CB4-B0A8-7F09EE9B2A75}">
    <filterColumn colId="0">
      <filters blank="1">
        <filter val="1000457"/>
        <filter val="1000480"/>
        <filter val="1001278"/>
        <filter val="1001486"/>
        <filter val="1001808"/>
        <filter val="1001856"/>
        <filter val="1002381"/>
        <filter val="1003178"/>
        <filter val="1003479"/>
        <filter val="1003501"/>
        <filter val="1003536"/>
        <filter val="1003568"/>
        <filter val="1003571"/>
        <filter val="1003623"/>
        <filter val="1003673"/>
        <filter val="1004308"/>
        <filter val="1004452"/>
        <filter val="1004815"/>
        <filter val="1005132"/>
        <filter val="103834"/>
        <filter val="108580"/>
        <filter val="108676"/>
        <filter val="108769"/>
        <filter val="110308"/>
        <filter val="110314"/>
        <filter val="111468"/>
        <filter val="113429"/>
        <filter val="115973"/>
        <filter val="116663"/>
        <filter val="128026"/>
        <filter val="129324"/>
        <filter val="131755"/>
        <filter val="132260"/>
        <filter val="132972"/>
        <filter val="132973"/>
        <filter val="133751"/>
        <filter val="133802"/>
        <filter val="134428"/>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4345B-2F16-487E-BBE7-50E36B8D8605}">
  <sheetPr codeName="Sheet9"/>
  <dimension ref="A1:U461"/>
  <sheetViews>
    <sheetView zoomScale="115" zoomScaleNormal="115" workbookViewId="0"/>
  </sheetViews>
  <sheetFormatPr defaultColWidth="9.140625" defaultRowHeight="12"/>
  <cols>
    <col min="1" max="1" width="3.42578125" style="14" bestFit="1" customWidth="1"/>
    <col min="2" max="2" width="11.7109375" style="14" bestFit="1" customWidth="1"/>
    <col min="3" max="3" width="8.42578125" style="12" hidden="1" customWidth="1"/>
    <col min="4" max="4" width="8.140625" style="12" hidden="1" customWidth="1"/>
    <col min="5" max="6" width="9.42578125" style="12" hidden="1" customWidth="1"/>
    <col min="7" max="7" width="13.42578125" style="14" customWidth="1"/>
    <col min="8" max="8" width="16" style="14" customWidth="1"/>
    <col min="9" max="9" width="20.140625" style="12" hidden="1" customWidth="1"/>
    <col min="10" max="10" width="14.42578125" style="12" hidden="1" customWidth="1"/>
    <col min="11" max="11" width="20.140625" style="12" hidden="1" customWidth="1"/>
    <col min="12" max="12" width="22.140625" style="12" hidden="1" customWidth="1"/>
    <col min="13" max="13" width="11.42578125" style="12" hidden="1" customWidth="1"/>
    <col min="14" max="14" width="20.42578125" style="12" hidden="1" customWidth="1"/>
    <col min="15" max="15" width="41.42578125" style="12" hidden="1" customWidth="1"/>
    <col min="16" max="17" width="0" style="12" hidden="1" customWidth="1"/>
    <col min="18" max="16384" width="9.140625" style="12"/>
  </cols>
  <sheetData>
    <row r="1" spans="1:21">
      <c r="A1" s="15" t="s">
        <v>134</v>
      </c>
      <c r="B1" s="17" t="s">
        <v>135</v>
      </c>
      <c r="C1" s="16" t="s">
        <v>136</v>
      </c>
      <c r="D1" s="16" t="s">
        <v>137</v>
      </c>
      <c r="E1" s="16" t="s">
        <v>138</v>
      </c>
      <c r="F1" s="16" t="s">
        <v>139</v>
      </c>
      <c r="G1" s="17" t="s">
        <v>5</v>
      </c>
      <c r="H1" s="17" t="s">
        <v>140</v>
      </c>
      <c r="I1" s="16" t="s">
        <v>141</v>
      </c>
      <c r="J1" s="16" t="s">
        <v>142</v>
      </c>
      <c r="K1" s="16" t="s">
        <v>143</v>
      </c>
      <c r="L1" s="16" t="s">
        <v>144</v>
      </c>
      <c r="M1" s="16" t="s">
        <v>145</v>
      </c>
      <c r="N1" s="16" t="s">
        <v>146</v>
      </c>
      <c r="O1" s="16" t="s">
        <v>147</v>
      </c>
    </row>
    <row r="2" spans="1:21">
      <c r="A2" s="15">
        <v>13</v>
      </c>
      <c r="B2" s="45">
        <v>52919</v>
      </c>
      <c r="C2" s="13" t="s">
        <v>148</v>
      </c>
      <c r="D2" s="13" t="s">
        <v>149</v>
      </c>
      <c r="E2" s="13" t="s">
        <v>150</v>
      </c>
      <c r="F2" s="13" t="s">
        <v>151</v>
      </c>
      <c r="G2" s="44">
        <v>43831</v>
      </c>
      <c r="H2" s="44">
        <v>48213</v>
      </c>
      <c r="I2" s="13" t="s">
        <v>152</v>
      </c>
      <c r="J2" s="46" t="s">
        <v>153</v>
      </c>
      <c r="K2" s="13" t="s">
        <v>14</v>
      </c>
      <c r="M2" s="13" t="s">
        <v>154</v>
      </c>
      <c r="N2" s="13" t="s">
        <v>154</v>
      </c>
      <c r="O2" s="13" t="s">
        <v>155</v>
      </c>
      <c r="U2" s="47">
        <f>TRUNC(B2)</f>
        <v>52919</v>
      </c>
    </row>
    <row r="3" spans="1:21">
      <c r="A3" s="15">
        <v>14</v>
      </c>
      <c r="B3" s="45">
        <v>1109012</v>
      </c>
      <c r="C3" s="13" t="s">
        <v>148</v>
      </c>
      <c r="D3" s="13" t="s">
        <v>156</v>
      </c>
      <c r="E3" s="13" t="s">
        <v>157</v>
      </c>
      <c r="F3" s="13" t="s">
        <v>151</v>
      </c>
      <c r="G3" s="44">
        <v>45029</v>
      </c>
      <c r="H3" s="44">
        <v>46873</v>
      </c>
      <c r="I3" s="13" t="s">
        <v>158</v>
      </c>
      <c r="J3" s="46" t="s">
        <v>159</v>
      </c>
      <c r="K3" s="13" t="s">
        <v>14</v>
      </c>
      <c r="M3" s="13" t="s">
        <v>154</v>
      </c>
      <c r="N3" s="13" t="s">
        <v>154</v>
      </c>
      <c r="O3" s="13" t="s">
        <v>160</v>
      </c>
      <c r="U3" s="47">
        <f t="shared" ref="U3:U66" si="0">TRUNC(B3)</f>
        <v>1109012</v>
      </c>
    </row>
    <row r="4" spans="1:21">
      <c r="A4" s="15">
        <v>15</v>
      </c>
      <c r="B4" s="45">
        <v>131037</v>
      </c>
      <c r="C4" s="13" t="s">
        <v>148</v>
      </c>
      <c r="D4" s="13" t="s">
        <v>161</v>
      </c>
      <c r="E4" s="13" t="s">
        <v>162</v>
      </c>
      <c r="F4" s="13" t="s">
        <v>151</v>
      </c>
      <c r="G4" s="44">
        <v>43831</v>
      </c>
      <c r="H4" s="44">
        <v>45535</v>
      </c>
      <c r="I4" s="13" t="s">
        <v>152</v>
      </c>
      <c r="J4" s="46" t="s">
        <v>153</v>
      </c>
      <c r="K4" s="13" t="s">
        <v>14</v>
      </c>
      <c r="M4" s="13" t="s">
        <v>154</v>
      </c>
      <c r="N4" s="13" t="s">
        <v>154</v>
      </c>
      <c r="O4" s="13" t="s">
        <v>163</v>
      </c>
      <c r="U4" s="47">
        <f t="shared" si="0"/>
        <v>131037</v>
      </c>
    </row>
    <row r="5" spans="1:21">
      <c r="A5" s="15">
        <v>16</v>
      </c>
      <c r="B5" s="45">
        <v>120670</v>
      </c>
      <c r="C5" s="13" t="s">
        <v>148</v>
      </c>
      <c r="D5" s="13" t="s">
        <v>164</v>
      </c>
      <c r="E5" s="13" t="s">
        <v>165</v>
      </c>
      <c r="F5" s="13" t="s">
        <v>151</v>
      </c>
      <c r="G5" s="44">
        <v>43831</v>
      </c>
      <c r="H5" s="44">
        <v>45291</v>
      </c>
      <c r="I5" s="13" t="s">
        <v>152</v>
      </c>
      <c r="J5" s="46" t="s">
        <v>166</v>
      </c>
      <c r="K5" s="13" t="s">
        <v>14</v>
      </c>
      <c r="M5" s="13" t="s">
        <v>154</v>
      </c>
      <c r="N5" s="13" t="s">
        <v>154</v>
      </c>
      <c r="O5" s="13" t="s">
        <v>167</v>
      </c>
      <c r="U5" s="47">
        <f t="shared" si="0"/>
        <v>120670</v>
      </c>
    </row>
    <row r="6" spans="1:21">
      <c r="A6" s="15">
        <v>17</v>
      </c>
      <c r="B6" s="45">
        <v>137892</v>
      </c>
      <c r="C6" s="13" t="s">
        <v>148</v>
      </c>
      <c r="D6" s="13" t="s">
        <v>168</v>
      </c>
      <c r="E6" s="13" t="s">
        <v>169</v>
      </c>
      <c r="F6" s="13" t="s">
        <v>151</v>
      </c>
      <c r="G6" s="44">
        <v>44407</v>
      </c>
      <c r="H6" s="44">
        <v>46022</v>
      </c>
      <c r="I6" s="13" t="s">
        <v>152</v>
      </c>
      <c r="J6" s="46" t="s">
        <v>153</v>
      </c>
      <c r="K6" s="13" t="s">
        <v>14</v>
      </c>
      <c r="M6" s="13" t="s">
        <v>154</v>
      </c>
      <c r="N6" s="13" t="s">
        <v>154</v>
      </c>
      <c r="O6" s="13" t="s">
        <v>170</v>
      </c>
      <c r="U6" s="47">
        <f t="shared" si="0"/>
        <v>137892</v>
      </c>
    </row>
    <row r="7" spans="1:21">
      <c r="A7" s="15">
        <v>18</v>
      </c>
      <c r="B7" s="45">
        <v>20377</v>
      </c>
      <c r="C7" s="13" t="s">
        <v>148</v>
      </c>
      <c r="D7" s="13" t="s">
        <v>171</v>
      </c>
      <c r="E7" s="13" t="s">
        <v>172</v>
      </c>
      <c r="F7" s="13" t="s">
        <v>151</v>
      </c>
      <c r="G7" s="44">
        <v>43831</v>
      </c>
      <c r="H7" s="44">
        <v>48213</v>
      </c>
      <c r="I7" s="13" t="s">
        <v>152</v>
      </c>
      <c r="J7" s="46" t="s">
        <v>166</v>
      </c>
      <c r="K7" s="13" t="s">
        <v>14</v>
      </c>
      <c r="M7" s="13" t="s">
        <v>154</v>
      </c>
      <c r="N7" s="13" t="s">
        <v>154</v>
      </c>
      <c r="O7" s="13" t="s">
        <v>173</v>
      </c>
      <c r="U7" s="47">
        <f t="shared" si="0"/>
        <v>20377</v>
      </c>
    </row>
    <row r="8" spans="1:21">
      <c r="A8" s="15">
        <v>19</v>
      </c>
      <c r="B8" s="45">
        <v>922066</v>
      </c>
      <c r="C8" s="13" t="s">
        <v>148</v>
      </c>
      <c r="D8" s="13" t="s">
        <v>174</v>
      </c>
      <c r="E8" s="13" t="s">
        <v>175</v>
      </c>
      <c r="F8" s="13" t="s">
        <v>151</v>
      </c>
      <c r="G8" s="44">
        <v>44743</v>
      </c>
      <c r="H8" s="44">
        <v>45838</v>
      </c>
      <c r="I8" s="13" t="s">
        <v>152</v>
      </c>
      <c r="J8" s="46" t="s">
        <v>153</v>
      </c>
      <c r="K8" s="13" t="s">
        <v>14</v>
      </c>
      <c r="M8" s="13" t="s">
        <v>154</v>
      </c>
      <c r="N8" s="13" t="s">
        <v>154</v>
      </c>
      <c r="O8" s="13" t="s">
        <v>176</v>
      </c>
      <c r="U8" s="47">
        <f t="shared" si="0"/>
        <v>922066</v>
      </c>
    </row>
    <row r="9" spans="1:21">
      <c r="A9" s="15">
        <v>20</v>
      </c>
      <c r="B9" s="45">
        <v>922940</v>
      </c>
      <c r="C9" s="13" t="s">
        <v>177</v>
      </c>
      <c r="D9" s="13" t="s">
        <v>178</v>
      </c>
      <c r="E9" s="13" t="s">
        <v>165</v>
      </c>
      <c r="F9" s="13" t="s">
        <v>151</v>
      </c>
      <c r="G9" s="44">
        <v>44166</v>
      </c>
      <c r="H9" s="44">
        <v>45291</v>
      </c>
      <c r="I9" s="13" t="s">
        <v>158</v>
      </c>
      <c r="J9" s="46" t="s">
        <v>179</v>
      </c>
      <c r="K9" s="13" t="s">
        <v>17</v>
      </c>
      <c r="M9" s="13" t="s">
        <v>154</v>
      </c>
      <c r="N9" s="13" t="s">
        <v>154</v>
      </c>
      <c r="O9" s="13" t="s">
        <v>180</v>
      </c>
      <c r="U9" s="47">
        <f t="shared" si="0"/>
        <v>922940</v>
      </c>
    </row>
    <row r="10" spans="1:21">
      <c r="A10" s="15">
        <v>21</v>
      </c>
      <c r="B10" s="45">
        <v>145718</v>
      </c>
      <c r="C10" s="13" t="s">
        <v>181</v>
      </c>
      <c r="D10" s="13" t="s">
        <v>182</v>
      </c>
      <c r="E10" s="13" t="s">
        <v>183</v>
      </c>
      <c r="F10" s="13" t="s">
        <v>151</v>
      </c>
      <c r="G10" s="44">
        <v>44743</v>
      </c>
      <c r="H10" s="44">
        <v>46752</v>
      </c>
      <c r="I10" s="13" t="s">
        <v>152</v>
      </c>
      <c r="J10" s="46" t="s">
        <v>153</v>
      </c>
      <c r="K10" s="13" t="s">
        <v>22</v>
      </c>
      <c r="M10" s="13" t="s">
        <v>154</v>
      </c>
      <c r="N10" s="13" t="s">
        <v>154</v>
      </c>
      <c r="O10" s="13" t="s">
        <v>184</v>
      </c>
      <c r="U10" s="47">
        <f t="shared" si="0"/>
        <v>145718</v>
      </c>
    </row>
    <row r="11" spans="1:21">
      <c r="A11" s="15">
        <v>22</v>
      </c>
      <c r="B11" s="45">
        <v>146932</v>
      </c>
      <c r="C11" s="13" t="s">
        <v>181</v>
      </c>
      <c r="D11" s="13" t="s">
        <v>185</v>
      </c>
      <c r="E11" s="13" t="s">
        <v>165</v>
      </c>
      <c r="F11" s="13" t="s">
        <v>151</v>
      </c>
      <c r="G11" s="44">
        <v>44852</v>
      </c>
      <c r="H11" s="44">
        <v>46752</v>
      </c>
      <c r="I11" s="13" t="s">
        <v>152</v>
      </c>
      <c r="J11" s="46" t="s">
        <v>186</v>
      </c>
      <c r="K11" s="13" t="s">
        <v>22</v>
      </c>
      <c r="M11" s="13" t="s">
        <v>154</v>
      </c>
      <c r="N11" s="13" t="s">
        <v>154</v>
      </c>
      <c r="O11" s="13" t="s">
        <v>187</v>
      </c>
      <c r="U11" s="47">
        <f t="shared" si="0"/>
        <v>146932</v>
      </c>
    </row>
    <row r="12" spans="1:21">
      <c r="A12" s="15">
        <v>23</v>
      </c>
      <c r="B12" s="45">
        <v>144700</v>
      </c>
      <c r="C12" s="13" t="s">
        <v>181</v>
      </c>
      <c r="D12" s="13" t="s">
        <v>188</v>
      </c>
      <c r="E12" s="13" t="s">
        <v>165</v>
      </c>
      <c r="F12" s="13" t="s">
        <v>151</v>
      </c>
      <c r="G12" s="44">
        <v>44743</v>
      </c>
      <c r="H12" s="44">
        <v>46022</v>
      </c>
      <c r="I12" s="13" t="s">
        <v>152</v>
      </c>
      <c r="J12" s="46" t="s">
        <v>153</v>
      </c>
      <c r="K12" s="13" t="s">
        <v>22</v>
      </c>
      <c r="M12" s="13" t="s">
        <v>154</v>
      </c>
      <c r="N12" s="13" t="s">
        <v>154</v>
      </c>
      <c r="O12" s="13" t="s">
        <v>189</v>
      </c>
      <c r="U12" s="47">
        <f t="shared" si="0"/>
        <v>144700</v>
      </c>
    </row>
    <row r="13" spans="1:21">
      <c r="A13" s="15">
        <v>24</v>
      </c>
      <c r="B13" s="45">
        <v>126058</v>
      </c>
      <c r="C13" s="13" t="s">
        <v>181</v>
      </c>
      <c r="D13" s="13" t="s">
        <v>190</v>
      </c>
      <c r="E13" s="13" t="s">
        <v>165</v>
      </c>
      <c r="F13" s="13" t="s">
        <v>151</v>
      </c>
      <c r="G13" s="44">
        <v>43831</v>
      </c>
      <c r="H13" s="44">
        <v>45291</v>
      </c>
      <c r="I13" s="13" t="s">
        <v>158</v>
      </c>
      <c r="J13" s="46" t="s">
        <v>191</v>
      </c>
      <c r="K13" s="13" t="s">
        <v>22</v>
      </c>
      <c r="M13" s="13" t="s">
        <v>154</v>
      </c>
      <c r="N13" s="13" t="s">
        <v>154</v>
      </c>
      <c r="O13" s="13" t="s">
        <v>192</v>
      </c>
      <c r="U13" s="47">
        <f t="shared" si="0"/>
        <v>126058</v>
      </c>
    </row>
    <row r="14" spans="1:21">
      <c r="A14" s="15">
        <v>25</v>
      </c>
      <c r="B14" s="45">
        <v>132695</v>
      </c>
      <c r="C14" s="13" t="s">
        <v>181</v>
      </c>
      <c r="D14" s="13" t="s">
        <v>193</v>
      </c>
      <c r="E14" s="13" t="s">
        <v>165</v>
      </c>
      <c r="F14" s="13" t="s">
        <v>151</v>
      </c>
      <c r="G14" s="44">
        <v>44166</v>
      </c>
      <c r="H14" s="44">
        <v>45443</v>
      </c>
      <c r="I14" s="13" t="s">
        <v>152</v>
      </c>
      <c r="J14" s="46" t="s">
        <v>194</v>
      </c>
      <c r="K14" s="13" t="s">
        <v>22</v>
      </c>
      <c r="M14" s="13" t="s">
        <v>154</v>
      </c>
      <c r="N14" s="13" t="s">
        <v>154</v>
      </c>
      <c r="O14" s="13" t="s">
        <v>195</v>
      </c>
      <c r="U14" s="47">
        <f t="shared" si="0"/>
        <v>132695</v>
      </c>
    </row>
    <row r="15" spans="1:21">
      <c r="A15" s="15">
        <v>26</v>
      </c>
      <c r="B15" s="45">
        <v>124232</v>
      </c>
      <c r="C15" s="13" t="s">
        <v>196</v>
      </c>
      <c r="D15" s="13" t="s">
        <v>197</v>
      </c>
      <c r="E15" s="13" t="s">
        <v>165</v>
      </c>
      <c r="F15" s="13" t="s">
        <v>151</v>
      </c>
      <c r="G15" s="44">
        <v>43831</v>
      </c>
      <c r="H15" s="44">
        <v>45291</v>
      </c>
      <c r="I15" s="13" t="s">
        <v>152</v>
      </c>
      <c r="J15" s="46" t="s">
        <v>198</v>
      </c>
      <c r="K15" s="13" t="s">
        <v>199</v>
      </c>
      <c r="M15" s="13" t="s">
        <v>154</v>
      </c>
      <c r="N15" s="13" t="s">
        <v>154</v>
      </c>
      <c r="O15" s="13" t="s">
        <v>200</v>
      </c>
      <c r="U15" s="47">
        <f t="shared" si="0"/>
        <v>124232</v>
      </c>
    </row>
    <row r="16" spans="1:21">
      <c r="A16" s="15">
        <v>27</v>
      </c>
      <c r="B16" s="45">
        <v>147403</v>
      </c>
      <c r="C16" s="13" t="s">
        <v>201</v>
      </c>
      <c r="D16" s="13" t="s">
        <v>202</v>
      </c>
      <c r="E16" s="13" t="s">
        <v>165</v>
      </c>
      <c r="F16" s="13" t="s">
        <v>151</v>
      </c>
      <c r="G16" s="44">
        <v>44795</v>
      </c>
      <c r="H16" s="44">
        <v>46053</v>
      </c>
      <c r="I16" s="13" t="s">
        <v>158</v>
      </c>
      <c r="J16" s="46" t="s">
        <v>203</v>
      </c>
      <c r="K16" s="13" t="s">
        <v>24</v>
      </c>
      <c r="M16" s="13" t="s">
        <v>154</v>
      </c>
      <c r="N16" s="13" t="s">
        <v>154</v>
      </c>
      <c r="O16" s="13" t="s">
        <v>204</v>
      </c>
      <c r="U16" s="47">
        <f t="shared" si="0"/>
        <v>147403</v>
      </c>
    </row>
    <row r="17" spans="1:21">
      <c r="A17" s="15">
        <v>28</v>
      </c>
      <c r="B17" s="45">
        <v>147840</v>
      </c>
      <c r="C17" s="13" t="s">
        <v>205</v>
      </c>
      <c r="D17" s="13" t="s">
        <v>206</v>
      </c>
      <c r="E17" s="13" t="s">
        <v>207</v>
      </c>
      <c r="F17" s="13" t="s">
        <v>151</v>
      </c>
      <c r="G17" s="44">
        <v>44896</v>
      </c>
      <c r="H17" s="44">
        <v>46022</v>
      </c>
      <c r="I17" s="13" t="s">
        <v>152</v>
      </c>
      <c r="J17" s="46" t="s">
        <v>153</v>
      </c>
      <c r="K17" s="13" t="s">
        <v>26</v>
      </c>
      <c r="M17" s="13" t="s">
        <v>154</v>
      </c>
      <c r="N17" s="13" t="s">
        <v>154</v>
      </c>
      <c r="O17" s="13" t="s">
        <v>208</v>
      </c>
      <c r="U17" s="47">
        <f t="shared" si="0"/>
        <v>147840</v>
      </c>
    </row>
    <row r="18" spans="1:21">
      <c r="A18" s="15">
        <v>29</v>
      </c>
      <c r="B18" s="45">
        <v>147845</v>
      </c>
      <c r="C18" s="13" t="s">
        <v>205</v>
      </c>
      <c r="D18" s="13" t="s">
        <v>209</v>
      </c>
      <c r="E18" s="13" t="s">
        <v>210</v>
      </c>
      <c r="F18" s="13" t="s">
        <v>151</v>
      </c>
      <c r="G18" s="44">
        <v>44896</v>
      </c>
      <c r="H18" s="44">
        <v>46752</v>
      </c>
      <c r="I18" s="13" t="s">
        <v>152</v>
      </c>
      <c r="J18" s="46" t="s">
        <v>153</v>
      </c>
      <c r="K18" s="13" t="s">
        <v>26</v>
      </c>
      <c r="M18" s="13" t="s">
        <v>154</v>
      </c>
      <c r="N18" s="13" t="s">
        <v>154</v>
      </c>
      <c r="O18" s="13" t="s">
        <v>211</v>
      </c>
      <c r="U18" s="47">
        <f t="shared" si="0"/>
        <v>147845</v>
      </c>
    </row>
    <row r="19" spans="1:21">
      <c r="A19" s="15">
        <v>30</v>
      </c>
      <c r="B19" s="45">
        <v>1373328</v>
      </c>
      <c r="C19" s="13" t="s">
        <v>205</v>
      </c>
      <c r="D19" s="13" t="s">
        <v>212</v>
      </c>
      <c r="E19" s="13" t="s">
        <v>213</v>
      </c>
      <c r="F19" s="13" t="s">
        <v>151</v>
      </c>
      <c r="G19" s="44">
        <v>45642</v>
      </c>
      <c r="H19" s="44">
        <v>46752</v>
      </c>
      <c r="I19" s="13" t="s">
        <v>152</v>
      </c>
      <c r="J19" s="46" t="s">
        <v>153</v>
      </c>
      <c r="K19" s="13" t="s">
        <v>26</v>
      </c>
      <c r="M19" s="13" t="s">
        <v>154</v>
      </c>
      <c r="N19" s="13" t="s">
        <v>154</v>
      </c>
      <c r="O19" s="13" t="s">
        <v>214</v>
      </c>
      <c r="U19" s="47">
        <f t="shared" si="0"/>
        <v>1373328</v>
      </c>
    </row>
    <row r="20" spans="1:21">
      <c r="A20" s="15">
        <v>31</v>
      </c>
      <c r="B20" s="45">
        <v>922583</v>
      </c>
      <c r="C20" s="13" t="s">
        <v>205</v>
      </c>
      <c r="D20" s="13" t="s">
        <v>215</v>
      </c>
      <c r="E20" s="13" t="s">
        <v>216</v>
      </c>
      <c r="F20" s="13" t="s">
        <v>151</v>
      </c>
      <c r="G20" s="44">
        <v>43831</v>
      </c>
      <c r="H20" s="44">
        <v>45291</v>
      </c>
      <c r="I20" s="13" t="s">
        <v>152</v>
      </c>
      <c r="J20" s="46" t="s">
        <v>166</v>
      </c>
      <c r="K20" s="13" t="s">
        <v>26</v>
      </c>
      <c r="M20" s="13" t="s">
        <v>154</v>
      </c>
      <c r="N20" s="13" t="s">
        <v>154</v>
      </c>
      <c r="O20" s="13" t="s">
        <v>217</v>
      </c>
      <c r="U20" s="47">
        <f t="shared" si="0"/>
        <v>922583</v>
      </c>
    </row>
    <row r="21" spans="1:21">
      <c r="A21" s="15">
        <v>32</v>
      </c>
      <c r="B21" s="45">
        <v>128352</v>
      </c>
      <c r="C21" s="13" t="s">
        <v>205</v>
      </c>
      <c r="D21" s="13" t="s">
        <v>218</v>
      </c>
      <c r="E21" s="13" t="s">
        <v>165</v>
      </c>
      <c r="F21" s="13" t="s">
        <v>151</v>
      </c>
      <c r="G21" s="44">
        <v>43943</v>
      </c>
      <c r="H21" s="44">
        <v>48213</v>
      </c>
      <c r="I21" s="13" t="s">
        <v>152</v>
      </c>
      <c r="J21" s="46" t="s">
        <v>153</v>
      </c>
      <c r="K21" s="13" t="s">
        <v>26</v>
      </c>
      <c r="M21" s="13" t="s">
        <v>154</v>
      </c>
      <c r="N21" s="13" t="s">
        <v>154</v>
      </c>
      <c r="O21" s="13" t="s">
        <v>195</v>
      </c>
      <c r="U21" s="47">
        <f t="shared" si="0"/>
        <v>128352</v>
      </c>
    </row>
    <row r="22" spans="1:21">
      <c r="A22" s="15">
        <v>33</v>
      </c>
      <c r="B22" s="45">
        <v>140338</v>
      </c>
      <c r="C22" s="13" t="s">
        <v>205</v>
      </c>
      <c r="D22" s="13" t="s">
        <v>219</v>
      </c>
      <c r="E22" s="13" t="s">
        <v>165</v>
      </c>
      <c r="F22" s="13" t="s">
        <v>151</v>
      </c>
      <c r="G22" s="44">
        <v>44531</v>
      </c>
      <c r="H22" s="44">
        <v>45657</v>
      </c>
      <c r="I22" s="13" t="s">
        <v>158</v>
      </c>
      <c r="J22" s="46" t="s">
        <v>220</v>
      </c>
      <c r="K22" s="13" t="s">
        <v>26</v>
      </c>
      <c r="M22" s="13" t="s">
        <v>154</v>
      </c>
      <c r="N22" s="13" t="s">
        <v>154</v>
      </c>
      <c r="O22" s="13" t="s">
        <v>200</v>
      </c>
      <c r="U22" s="47">
        <f t="shared" si="0"/>
        <v>140338</v>
      </c>
    </row>
    <row r="23" spans="1:21">
      <c r="A23" s="15">
        <v>34</v>
      </c>
      <c r="B23" s="45">
        <v>148152</v>
      </c>
      <c r="C23" s="13" t="s">
        <v>205</v>
      </c>
      <c r="D23" s="13" t="s">
        <v>221</v>
      </c>
      <c r="E23" s="13" t="s">
        <v>165</v>
      </c>
      <c r="F23" s="13" t="s">
        <v>151</v>
      </c>
      <c r="G23" s="44">
        <v>44138</v>
      </c>
      <c r="H23" s="44">
        <v>46022</v>
      </c>
      <c r="I23" s="13" t="s">
        <v>158</v>
      </c>
      <c r="J23" s="46" t="s">
        <v>222</v>
      </c>
      <c r="K23" s="13" t="s">
        <v>26</v>
      </c>
      <c r="M23" s="13" t="s">
        <v>154</v>
      </c>
      <c r="N23" s="13" t="s">
        <v>154</v>
      </c>
      <c r="O23" s="13" t="s">
        <v>180</v>
      </c>
      <c r="U23" s="47">
        <f t="shared" si="0"/>
        <v>148152</v>
      </c>
    </row>
    <row r="24" spans="1:21">
      <c r="A24" s="15">
        <v>35</v>
      </c>
      <c r="B24" s="45">
        <v>1382552</v>
      </c>
      <c r="C24" s="13" t="s">
        <v>205</v>
      </c>
      <c r="D24" s="13" t="s">
        <v>223</v>
      </c>
      <c r="E24" s="13" t="s">
        <v>165</v>
      </c>
      <c r="F24" s="13" t="s">
        <v>151</v>
      </c>
      <c r="G24" s="44">
        <v>45730</v>
      </c>
      <c r="H24" s="44">
        <v>47118</v>
      </c>
      <c r="I24" s="13" t="s">
        <v>152</v>
      </c>
      <c r="J24" s="46" t="s">
        <v>153</v>
      </c>
      <c r="K24" s="13" t="s">
        <v>26</v>
      </c>
      <c r="M24" s="13" t="s">
        <v>154</v>
      </c>
      <c r="N24" s="13" t="s">
        <v>154</v>
      </c>
      <c r="O24" s="13" t="s">
        <v>224</v>
      </c>
      <c r="U24" s="47">
        <f t="shared" si="0"/>
        <v>1382552</v>
      </c>
    </row>
    <row r="25" spans="1:21">
      <c r="A25" s="15">
        <v>36</v>
      </c>
      <c r="B25" s="45">
        <v>137533</v>
      </c>
      <c r="C25" s="13" t="s">
        <v>205</v>
      </c>
      <c r="D25" s="13" t="s">
        <v>225</v>
      </c>
      <c r="E25" s="13" t="s">
        <v>165</v>
      </c>
      <c r="F25" s="13" t="s">
        <v>151</v>
      </c>
      <c r="G25" s="44">
        <v>44348</v>
      </c>
      <c r="H25" s="44">
        <v>48213</v>
      </c>
      <c r="I25" s="13" t="s">
        <v>152</v>
      </c>
      <c r="J25" s="46" t="s">
        <v>166</v>
      </c>
      <c r="K25" s="13" t="s">
        <v>26</v>
      </c>
      <c r="M25" s="13" t="s">
        <v>154</v>
      </c>
      <c r="N25" s="13" t="s">
        <v>154</v>
      </c>
      <c r="O25" s="13" t="s">
        <v>226</v>
      </c>
      <c r="U25" s="47">
        <f t="shared" si="0"/>
        <v>137533</v>
      </c>
    </row>
    <row r="26" spans="1:21">
      <c r="A26" s="15">
        <v>37</v>
      </c>
      <c r="B26" s="45">
        <v>20377</v>
      </c>
      <c r="C26" s="13" t="s">
        <v>205</v>
      </c>
      <c r="D26" s="13" t="s">
        <v>227</v>
      </c>
      <c r="E26" s="13" t="s">
        <v>165</v>
      </c>
      <c r="F26" s="13" t="s">
        <v>151</v>
      </c>
      <c r="G26" s="44">
        <v>43831</v>
      </c>
      <c r="H26" s="44">
        <v>48213</v>
      </c>
      <c r="I26" s="13" t="s">
        <v>158</v>
      </c>
      <c r="J26" s="46" t="s">
        <v>228</v>
      </c>
      <c r="K26" s="13" t="s">
        <v>26</v>
      </c>
      <c r="M26" s="13" t="s">
        <v>154</v>
      </c>
      <c r="N26" s="13" t="s">
        <v>154</v>
      </c>
      <c r="O26" s="13" t="s">
        <v>204</v>
      </c>
      <c r="U26" s="47">
        <f t="shared" si="0"/>
        <v>20377</v>
      </c>
    </row>
    <row r="27" spans="1:21">
      <c r="A27" s="15">
        <v>38</v>
      </c>
      <c r="B27" s="45">
        <v>919488</v>
      </c>
      <c r="C27" s="13" t="s">
        <v>205</v>
      </c>
      <c r="D27" s="13" t="s">
        <v>229</v>
      </c>
      <c r="E27" s="13" t="s">
        <v>165</v>
      </c>
      <c r="F27" s="13" t="s">
        <v>151</v>
      </c>
      <c r="G27" s="44">
        <v>43831</v>
      </c>
      <c r="H27" s="44">
        <v>48213</v>
      </c>
      <c r="I27" s="13" t="s">
        <v>152</v>
      </c>
      <c r="J27" s="46" t="s">
        <v>166</v>
      </c>
      <c r="K27" s="13" t="s">
        <v>26</v>
      </c>
      <c r="M27" s="13" t="s">
        <v>154</v>
      </c>
      <c r="N27" s="13" t="s">
        <v>154</v>
      </c>
      <c r="O27" s="13" t="s">
        <v>192</v>
      </c>
      <c r="U27" s="47">
        <f t="shared" si="0"/>
        <v>919488</v>
      </c>
    </row>
    <row r="28" spans="1:21">
      <c r="A28" s="15">
        <v>39</v>
      </c>
      <c r="B28" s="45">
        <v>919487</v>
      </c>
      <c r="C28" s="13" t="s">
        <v>205</v>
      </c>
      <c r="D28" s="13" t="s">
        <v>230</v>
      </c>
      <c r="E28" s="13" t="s">
        <v>165</v>
      </c>
      <c r="F28" s="13" t="s">
        <v>151</v>
      </c>
      <c r="G28" s="44">
        <v>43831</v>
      </c>
      <c r="H28" s="44">
        <v>48213</v>
      </c>
      <c r="I28" s="13" t="s">
        <v>152</v>
      </c>
      <c r="J28" s="46" t="s">
        <v>153</v>
      </c>
      <c r="K28" s="13" t="s">
        <v>26</v>
      </c>
      <c r="M28" s="13" t="s">
        <v>154</v>
      </c>
      <c r="N28" s="13" t="s">
        <v>154</v>
      </c>
      <c r="O28" s="13" t="s">
        <v>231</v>
      </c>
      <c r="U28" s="47">
        <f t="shared" si="0"/>
        <v>919487</v>
      </c>
    </row>
    <row r="29" spans="1:21">
      <c r="A29" s="15">
        <v>40</v>
      </c>
      <c r="B29" s="45">
        <v>922071</v>
      </c>
      <c r="C29" s="13" t="s">
        <v>205</v>
      </c>
      <c r="D29" s="13" t="s">
        <v>232</v>
      </c>
      <c r="E29" s="13" t="s">
        <v>165</v>
      </c>
      <c r="F29" s="13" t="s">
        <v>151</v>
      </c>
      <c r="G29" s="44">
        <v>44562</v>
      </c>
      <c r="H29" s="44">
        <v>46387</v>
      </c>
      <c r="I29" s="13" t="s">
        <v>152</v>
      </c>
      <c r="J29" s="46" t="s">
        <v>153</v>
      </c>
      <c r="K29" s="13" t="s">
        <v>26</v>
      </c>
      <c r="M29" s="13" t="s">
        <v>154</v>
      </c>
      <c r="N29" s="13" t="s">
        <v>154</v>
      </c>
      <c r="O29" s="13" t="s">
        <v>233</v>
      </c>
      <c r="U29" s="47">
        <f t="shared" si="0"/>
        <v>922071</v>
      </c>
    </row>
    <row r="30" spans="1:21">
      <c r="A30" s="15">
        <v>41</v>
      </c>
      <c r="B30" s="45">
        <v>1286964</v>
      </c>
      <c r="C30" s="13" t="s">
        <v>205</v>
      </c>
      <c r="D30" s="13" t="s">
        <v>234</v>
      </c>
      <c r="E30" s="13" t="s">
        <v>165</v>
      </c>
      <c r="F30" s="13" t="s">
        <v>151</v>
      </c>
      <c r="G30" s="44">
        <v>45476</v>
      </c>
      <c r="H30" s="44">
        <v>45747</v>
      </c>
      <c r="I30" s="13" t="s">
        <v>152</v>
      </c>
      <c r="J30" s="46" t="s">
        <v>166</v>
      </c>
      <c r="K30" s="13" t="s">
        <v>26</v>
      </c>
      <c r="M30" s="13" t="s">
        <v>154</v>
      </c>
      <c r="N30" s="13" t="s">
        <v>154</v>
      </c>
      <c r="O30" s="13" t="s">
        <v>235</v>
      </c>
      <c r="U30" s="47">
        <f t="shared" si="0"/>
        <v>1286964</v>
      </c>
    </row>
    <row r="31" spans="1:21">
      <c r="A31" s="15">
        <v>42</v>
      </c>
      <c r="B31" s="45">
        <v>1286948</v>
      </c>
      <c r="C31" s="13" t="s">
        <v>205</v>
      </c>
      <c r="D31" s="13" t="s">
        <v>236</v>
      </c>
      <c r="E31" s="13" t="s">
        <v>172</v>
      </c>
      <c r="F31" s="13" t="s">
        <v>151</v>
      </c>
      <c r="G31" s="44">
        <v>45376</v>
      </c>
      <c r="H31" s="44">
        <v>46326</v>
      </c>
      <c r="I31" s="13" t="s">
        <v>152</v>
      </c>
      <c r="J31" s="46" t="s">
        <v>153</v>
      </c>
      <c r="K31" s="13" t="s">
        <v>26</v>
      </c>
      <c r="M31" s="13" t="s">
        <v>154</v>
      </c>
      <c r="N31" s="13" t="s">
        <v>154</v>
      </c>
      <c r="O31" s="13" t="s">
        <v>237</v>
      </c>
      <c r="U31" s="47">
        <f t="shared" si="0"/>
        <v>1286948</v>
      </c>
    </row>
    <row r="32" spans="1:21">
      <c r="A32" s="15">
        <v>43</v>
      </c>
      <c r="B32" s="45">
        <v>1246716</v>
      </c>
      <c r="C32" s="13" t="s">
        <v>205</v>
      </c>
      <c r="D32" s="13" t="s">
        <v>238</v>
      </c>
      <c r="E32" s="13" t="s">
        <v>239</v>
      </c>
      <c r="F32" s="13" t="s">
        <v>151</v>
      </c>
      <c r="G32" s="44">
        <v>45352</v>
      </c>
      <c r="H32" s="44">
        <v>46022</v>
      </c>
      <c r="I32" s="13" t="s">
        <v>152</v>
      </c>
      <c r="J32" s="46" t="s">
        <v>153</v>
      </c>
      <c r="K32" s="13" t="s">
        <v>26</v>
      </c>
      <c r="M32" s="13" t="s">
        <v>154</v>
      </c>
      <c r="N32" s="13" t="s">
        <v>154</v>
      </c>
      <c r="O32" s="13" t="s">
        <v>240</v>
      </c>
      <c r="U32" s="47">
        <f t="shared" si="0"/>
        <v>1246716</v>
      </c>
    </row>
    <row r="33" spans="1:21">
      <c r="A33" s="15">
        <v>44</v>
      </c>
      <c r="B33" s="45">
        <v>1286963</v>
      </c>
      <c r="C33" s="13" t="s">
        <v>205</v>
      </c>
      <c r="D33" s="13" t="s">
        <v>241</v>
      </c>
      <c r="E33" s="13" t="s">
        <v>242</v>
      </c>
      <c r="F33" s="13" t="s">
        <v>151</v>
      </c>
      <c r="G33" s="44">
        <v>45373</v>
      </c>
      <c r="H33" s="44">
        <v>45737</v>
      </c>
      <c r="I33" s="13" t="s">
        <v>152</v>
      </c>
      <c r="J33" s="46" t="s">
        <v>153</v>
      </c>
      <c r="K33" s="13" t="s">
        <v>26</v>
      </c>
      <c r="M33" s="13" t="s">
        <v>154</v>
      </c>
      <c r="N33" s="13" t="s">
        <v>154</v>
      </c>
      <c r="O33" s="13" t="s">
        <v>243</v>
      </c>
      <c r="U33" s="47">
        <f t="shared" si="0"/>
        <v>1286963</v>
      </c>
    </row>
    <row r="34" spans="1:21">
      <c r="A34" s="15">
        <v>45</v>
      </c>
      <c r="B34" s="45">
        <v>49334</v>
      </c>
      <c r="C34" s="13" t="s">
        <v>244</v>
      </c>
      <c r="D34" s="13" t="s">
        <v>245</v>
      </c>
      <c r="E34" s="13" t="s">
        <v>246</v>
      </c>
      <c r="F34" s="13" t="s">
        <v>151</v>
      </c>
      <c r="G34" s="44">
        <v>43831</v>
      </c>
      <c r="H34" s="44">
        <v>46387</v>
      </c>
      <c r="I34" s="13" t="s">
        <v>152</v>
      </c>
      <c r="J34" s="46" t="s">
        <v>153</v>
      </c>
      <c r="K34" s="13" t="s">
        <v>28</v>
      </c>
      <c r="M34" s="13" t="s">
        <v>154</v>
      </c>
      <c r="N34" s="13" t="s">
        <v>154</v>
      </c>
      <c r="O34" s="13" t="s">
        <v>247</v>
      </c>
      <c r="U34" s="47">
        <f t="shared" si="0"/>
        <v>49334</v>
      </c>
    </row>
    <row r="35" spans="1:21">
      <c r="A35" s="15">
        <v>46</v>
      </c>
      <c r="B35" s="45">
        <v>919479</v>
      </c>
      <c r="C35" s="13" t="s">
        <v>244</v>
      </c>
      <c r="D35" s="13" t="s">
        <v>248</v>
      </c>
      <c r="E35" s="13" t="s">
        <v>249</v>
      </c>
      <c r="F35" s="13" t="s">
        <v>151</v>
      </c>
      <c r="G35" s="44">
        <v>43831</v>
      </c>
      <c r="H35" s="44">
        <v>48213</v>
      </c>
      <c r="I35" s="13" t="s">
        <v>152</v>
      </c>
      <c r="J35" s="46" t="s">
        <v>153</v>
      </c>
      <c r="K35" s="13" t="s">
        <v>28</v>
      </c>
      <c r="M35" s="13" t="s">
        <v>154</v>
      </c>
      <c r="N35" s="13" t="s">
        <v>154</v>
      </c>
      <c r="O35" s="13" t="s">
        <v>250</v>
      </c>
      <c r="U35" s="47">
        <f t="shared" si="0"/>
        <v>919479</v>
      </c>
    </row>
    <row r="36" spans="1:21">
      <c r="A36" s="15">
        <v>47</v>
      </c>
      <c r="B36" s="45">
        <v>919478</v>
      </c>
      <c r="C36" s="13" t="s">
        <v>244</v>
      </c>
      <c r="D36" s="13" t="s">
        <v>251</v>
      </c>
      <c r="E36" s="13" t="s">
        <v>165</v>
      </c>
      <c r="F36" s="13" t="s">
        <v>151</v>
      </c>
      <c r="G36" s="44">
        <v>43831</v>
      </c>
      <c r="H36" s="44">
        <v>48213</v>
      </c>
      <c r="I36" s="13" t="s">
        <v>252</v>
      </c>
      <c r="J36" s="46" t="s">
        <v>253</v>
      </c>
      <c r="K36" s="13" t="s">
        <v>28</v>
      </c>
      <c r="M36" s="13" t="s">
        <v>154</v>
      </c>
      <c r="N36" s="13" t="s">
        <v>154</v>
      </c>
      <c r="O36" s="13" t="s">
        <v>200</v>
      </c>
      <c r="U36" s="47">
        <f t="shared" si="0"/>
        <v>919478</v>
      </c>
    </row>
    <row r="37" spans="1:21">
      <c r="A37" s="15">
        <v>48</v>
      </c>
      <c r="B37" s="45">
        <v>919461</v>
      </c>
      <c r="C37" s="13" t="s">
        <v>244</v>
      </c>
      <c r="D37" s="13" t="s">
        <v>254</v>
      </c>
      <c r="E37" s="13" t="s">
        <v>165</v>
      </c>
      <c r="F37" s="13" t="s">
        <v>151</v>
      </c>
      <c r="G37" s="44">
        <v>43831</v>
      </c>
      <c r="H37" s="44">
        <v>48213</v>
      </c>
      <c r="I37" s="13" t="s">
        <v>158</v>
      </c>
      <c r="J37" s="46" t="s">
        <v>153</v>
      </c>
      <c r="K37" s="13" t="s">
        <v>28</v>
      </c>
      <c r="M37" s="13" t="s">
        <v>154</v>
      </c>
      <c r="N37" s="13" t="s">
        <v>154</v>
      </c>
      <c r="O37" s="13" t="s">
        <v>255</v>
      </c>
      <c r="U37" s="47">
        <f t="shared" si="0"/>
        <v>919461</v>
      </c>
    </row>
    <row r="38" spans="1:21">
      <c r="A38" s="15">
        <v>49</v>
      </c>
      <c r="B38" s="45">
        <v>919462</v>
      </c>
      <c r="C38" s="13" t="s">
        <v>244</v>
      </c>
      <c r="D38" s="13" t="s">
        <v>256</v>
      </c>
      <c r="E38" s="13" t="s">
        <v>257</v>
      </c>
      <c r="F38" s="13" t="s">
        <v>151</v>
      </c>
      <c r="G38" s="44">
        <v>43831</v>
      </c>
      <c r="H38" s="44">
        <v>48213</v>
      </c>
      <c r="I38" s="13" t="s">
        <v>152</v>
      </c>
      <c r="J38" s="46" t="s">
        <v>258</v>
      </c>
      <c r="K38" s="13" t="s">
        <v>28</v>
      </c>
      <c r="M38" s="13" t="s">
        <v>154</v>
      </c>
      <c r="N38" s="13" t="s">
        <v>154</v>
      </c>
      <c r="O38" s="13" t="s">
        <v>259</v>
      </c>
      <c r="U38" s="47">
        <f t="shared" si="0"/>
        <v>919462</v>
      </c>
    </row>
    <row r="39" spans="1:21">
      <c r="A39" s="15">
        <v>50</v>
      </c>
      <c r="B39" s="45">
        <v>141050</v>
      </c>
      <c r="C39" s="13" t="s">
        <v>244</v>
      </c>
      <c r="D39" s="13" t="s">
        <v>260</v>
      </c>
      <c r="E39" s="13" t="s">
        <v>261</v>
      </c>
      <c r="F39" s="13" t="s">
        <v>151</v>
      </c>
      <c r="G39" s="44">
        <v>44348</v>
      </c>
      <c r="H39" s="44">
        <v>45291</v>
      </c>
      <c r="I39" s="13" t="s">
        <v>152</v>
      </c>
      <c r="J39" s="46" t="s">
        <v>153</v>
      </c>
      <c r="K39" s="13" t="s">
        <v>28</v>
      </c>
      <c r="M39" s="13" t="s">
        <v>154</v>
      </c>
      <c r="N39" s="13" t="s">
        <v>154</v>
      </c>
      <c r="O39" s="13" t="s">
        <v>262</v>
      </c>
      <c r="U39" s="47">
        <f t="shared" si="0"/>
        <v>141050</v>
      </c>
    </row>
    <row r="40" spans="1:21">
      <c r="A40" s="15">
        <v>51</v>
      </c>
      <c r="B40" s="45">
        <v>921744</v>
      </c>
      <c r="C40" s="13" t="s">
        <v>244</v>
      </c>
      <c r="D40" s="13" t="s">
        <v>263</v>
      </c>
      <c r="E40" s="13" t="s">
        <v>264</v>
      </c>
      <c r="F40" s="13" t="s">
        <v>151</v>
      </c>
      <c r="G40" s="44">
        <v>43831</v>
      </c>
      <c r="H40" s="44">
        <v>45657</v>
      </c>
      <c r="I40" s="13" t="s">
        <v>152</v>
      </c>
      <c r="J40" s="46" t="s">
        <v>153</v>
      </c>
      <c r="K40" s="13" t="s">
        <v>28</v>
      </c>
      <c r="M40" s="13" t="s">
        <v>154</v>
      </c>
      <c r="N40" s="13" t="s">
        <v>154</v>
      </c>
      <c r="O40" s="13" t="s">
        <v>265</v>
      </c>
      <c r="U40" s="47">
        <f t="shared" si="0"/>
        <v>921744</v>
      </c>
    </row>
    <row r="41" spans="1:21">
      <c r="A41" s="15">
        <v>52</v>
      </c>
      <c r="B41" s="45">
        <v>1133119</v>
      </c>
      <c r="C41" s="13" t="s">
        <v>244</v>
      </c>
      <c r="D41" s="13" t="s">
        <v>266</v>
      </c>
      <c r="E41" s="13" t="s">
        <v>267</v>
      </c>
      <c r="F41" s="13" t="s">
        <v>151</v>
      </c>
      <c r="G41" s="44">
        <v>45127</v>
      </c>
      <c r="H41" s="44">
        <v>46387</v>
      </c>
      <c r="I41" s="13" t="s">
        <v>152</v>
      </c>
      <c r="J41" s="46" t="s">
        <v>166</v>
      </c>
      <c r="K41" s="13" t="s">
        <v>28</v>
      </c>
      <c r="M41" s="13" t="s">
        <v>154</v>
      </c>
      <c r="N41" s="13" t="s">
        <v>154</v>
      </c>
      <c r="O41" s="13" t="s">
        <v>268</v>
      </c>
      <c r="U41" s="47">
        <f t="shared" si="0"/>
        <v>1133119</v>
      </c>
    </row>
    <row r="42" spans="1:21">
      <c r="A42" s="15">
        <v>53</v>
      </c>
      <c r="B42" s="45">
        <v>147088</v>
      </c>
      <c r="C42" s="13" t="s">
        <v>244</v>
      </c>
      <c r="D42" s="13" t="s">
        <v>269</v>
      </c>
      <c r="E42" s="13" t="s">
        <v>270</v>
      </c>
      <c r="F42" s="13" t="s">
        <v>151</v>
      </c>
      <c r="G42" s="44">
        <v>43831</v>
      </c>
      <c r="H42" s="44">
        <v>48213</v>
      </c>
      <c r="I42" s="13" t="s">
        <v>152</v>
      </c>
      <c r="J42" s="46" t="s">
        <v>153</v>
      </c>
      <c r="K42" s="13" t="s">
        <v>28</v>
      </c>
      <c r="M42" s="13" t="s">
        <v>154</v>
      </c>
      <c r="N42" s="13" t="s">
        <v>154</v>
      </c>
      <c r="O42" s="13" t="s">
        <v>271</v>
      </c>
      <c r="U42" s="47">
        <f t="shared" si="0"/>
        <v>147088</v>
      </c>
    </row>
    <row r="43" spans="1:21">
      <c r="A43" s="15">
        <v>54</v>
      </c>
      <c r="B43" s="45">
        <v>1381232</v>
      </c>
      <c r="C43" s="13" t="s">
        <v>244</v>
      </c>
      <c r="D43" s="13" t="s">
        <v>272</v>
      </c>
      <c r="E43" s="13" t="s">
        <v>273</v>
      </c>
      <c r="F43" s="13" t="s">
        <v>151</v>
      </c>
      <c r="G43" s="44">
        <v>45658</v>
      </c>
      <c r="H43" s="44">
        <v>46022</v>
      </c>
      <c r="I43" s="13" t="s">
        <v>152</v>
      </c>
      <c r="J43" s="46" t="s">
        <v>153</v>
      </c>
      <c r="K43" s="13" t="s">
        <v>28</v>
      </c>
      <c r="M43" s="13" t="s">
        <v>154</v>
      </c>
      <c r="N43" s="13" t="s">
        <v>154</v>
      </c>
      <c r="O43" s="13" t="s">
        <v>274</v>
      </c>
      <c r="U43" s="47">
        <f t="shared" si="0"/>
        <v>1381232</v>
      </c>
    </row>
    <row r="44" spans="1:21">
      <c r="A44" s="15">
        <v>55</v>
      </c>
      <c r="B44" s="45">
        <v>116843</v>
      </c>
      <c r="C44" s="13" t="s">
        <v>244</v>
      </c>
      <c r="D44" s="13" t="s">
        <v>275</v>
      </c>
      <c r="E44" s="13" t="s">
        <v>276</v>
      </c>
      <c r="F44" s="13" t="s">
        <v>151</v>
      </c>
      <c r="G44" s="44">
        <v>43831</v>
      </c>
      <c r="H44" s="44">
        <v>45657</v>
      </c>
      <c r="I44" s="13" t="s">
        <v>152</v>
      </c>
      <c r="J44" s="46" t="s">
        <v>166</v>
      </c>
      <c r="K44" s="13" t="s">
        <v>28</v>
      </c>
      <c r="M44" s="13" t="s">
        <v>154</v>
      </c>
      <c r="N44" s="13" t="s">
        <v>154</v>
      </c>
      <c r="O44" s="13" t="s">
        <v>277</v>
      </c>
      <c r="U44" s="47">
        <f t="shared" si="0"/>
        <v>116843</v>
      </c>
    </row>
    <row r="45" spans="1:21">
      <c r="A45" s="15">
        <v>56</v>
      </c>
      <c r="B45" s="45">
        <v>922959</v>
      </c>
      <c r="C45" s="13" t="s">
        <v>278</v>
      </c>
      <c r="D45" s="13" t="s">
        <v>279</v>
      </c>
      <c r="E45" s="13" t="s">
        <v>270</v>
      </c>
      <c r="F45" s="13" t="s">
        <v>151</v>
      </c>
      <c r="G45" s="44">
        <v>44188</v>
      </c>
      <c r="H45" s="44">
        <v>48213</v>
      </c>
      <c r="I45" s="13" t="s">
        <v>280</v>
      </c>
      <c r="J45" s="46" t="s">
        <v>281</v>
      </c>
      <c r="K45" s="13" t="s">
        <v>199</v>
      </c>
      <c r="M45" s="13" t="s">
        <v>154</v>
      </c>
      <c r="N45" s="13" t="s">
        <v>154</v>
      </c>
      <c r="U45" s="47">
        <f t="shared" si="0"/>
        <v>922959</v>
      </c>
    </row>
    <row r="46" spans="1:21">
      <c r="A46" s="15">
        <v>57</v>
      </c>
      <c r="B46" s="45">
        <v>919501</v>
      </c>
      <c r="C46" s="13" t="s">
        <v>282</v>
      </c>
      <c r="D46" s="13" t="s">
        <v>283</v>
      </c>
      <c r="E46" s="13" t="s">
        <v>172</v>
      </c>
      <c r="F46" s="13" t="s">
        <v>151</v>
      </c>
      <c r="G46" s="44">
        <v>43831</v>
      </c>
      <c r="H46" s="44">
        <v>48213</v>
      </c>
      <c r="I46" s="13" t="s">
        <v>152</v>
      </c>
      <c r="J46" s="46" t="s">
        <v>284</v>
      </c>
      <c r="K46" s="13" t="s">
        <v>30</v>
      </c>
      <c r="M46" s="13" t="s">
        <v>154</v>
      </c>
      <c r="N46" s="13" t="s">
        <v>154</v>
      </c>
      <c r="U46" s="47">
        <f t="shared" si="0"/>
        <v>919501</v>
      </c>
    </row>
    <row r="47" spans="1:21">
      <c r="A47" s="15">
        <v>58</v>
      </c>
      <c r="B47" s="45">
        <v>922957</v>
      </c>
      <c r="C47" s="13" t="s">
        <v>285</v>
      </c>
      <c r="D47" s="13" t="s">
        <v>286</v>
      </c>
      <c r="E47" s="13" t="s">
        <v>165</v>
      </c>
      <c r="F47" s="13" t="s">
        <v>151</v>
      </c>
      <c r="G47" s="44">
        <v>44166</v>
      </c>
      <c r="H47" s="44">
        <v>48213</v>
      </c>
      <c r="I47" s="13" t="s">
        <v>152</v>
      </c>
      <c r="J47" s="46" t="s">
        <v>186</v>
      </c>
      <c r="K47" s="13" t="s">
        <v>30</v>
      </c>
      <c r="M47" s="13" t="s">
        <v>154</v>
      </c>
      <c r="N47" s="13" t="s">
        <v>154</v>
      </c>
      <c r="O47" s="13" t="s">
        <v>200</v>
      </c>
      <c r="U47" s="47">
        <f t="shared" si="0"/>
        <v>922957</v>
      </c>
    </row>
    <row r="48" spans="1:21">
      <c r="A48" s="15">
        <v>59</v>
      </c>
      <c r="B48" s="45">
        <v>137896</v>
      </c>
      <c r="C48" s="13" t="s">
        <v>287</v>
      </c>
      <c r="D48" s="13" t="s">
        <v>288</v>
      </c>
      <c r="E48" s="13" t="s">
        <v>289</v>
      </c>
      <c r="F48" s="13" t="s">
        <v>151</v>
      </c>
      <c r="G48" s="44">
        <v>44413</v>
      </c>
      <c r="H48" s="44">
        <v>48213</v>
      </c>
      <c r="I48" s="13" t="s">
        <v>152</v>
      </c>
      <c r="J48" s="46" t="s">
        <v>290</v>
      </c>
      <c r="K48" s="13" t="s">
        <v>291</v>
      </c>
      <c r="M48" s="13" t="s">
        <v>154</v>
      </c>
      <c r="N48" s="13" t="s">
        <v>154</v>
      </c>
      <c r="U48" s="47">
        <f t="shared" si="0"/>
        <v>137896</v>
      </c>
    </row>
    <row r="49" spans="1:21">
      <c r="A49" s="15">
        <v>60</v>
      </c>
      <c r="B49" s="45">
        <v>919485</v>
      </c>
      <c r="C49" s="13" t="s">
        <v>292</v>
      </c>
      <c r="D49" s="13" t="s">
        <v>293</v>
      </c>
      <c r="E49" s="13" t="s">
        <v>289</v>
      </c>
      <c r="F49" s="13" t="s">
        <v>151</v>
      </c>
      <c r="G49" s="44">
        <v>43831</v>
      </c>
      <c r="H49" s="44">
        <v>48213</v>
      </c>
      <c r="I49" s="13" t="s">
        <v>152</v>
      </c>
      <c r="J49" s="46" t="s">
        <v>153</v>
      </c>
      <c r="K49" s="13" t="s">
        <v>291</v>
      </c>
      <c r="M49" s="13" t="s">
        <v>154</v>
      </c>
      <c r="N49" s="13" t="s">
        <v>154</v>
      </c>
      <c r="O49" s="13" t="s">
        <v>294</v>
      </c>
      <c r="U49" s="47">
        <f t="shared" si="0"/>
        <v>919485</v>
      </c>
    </row>
    <row r="50" spans="1:21">
      <c r="A50" s="15">
        <v>61</v>
      </c>
      <c r="B50" s="45">
        <v>919484</v>
      </c>
      <c r="C50" s="13" t="s">
        <v>292</v>
      </c>
      <c r="D50" s="13" t="s">
        <v>295</v>
      </c>
      <c r="E50" s="13" t="s">
        <v>165</v>
      </c>
      <c r="F50" s="13" t="s">
        <v>151</v>
      </c>
      <c r="G50" s="44">
        <v>43831</v>
      </c>
      <c r="H50" s="44">
        <v>48213</v>
      </c>
      <c r="I50" s="13" t="s">
        <v>152</v>
      </c>
      <c r="J50" s="46" t="s">
        <v>166</v>
      </c>
      <c r="K50" s="13" t="s">
        <v>291</v>
      </c>
      <c r="M50" s="13" t="s">
        <v>154</v>
      </c>
      <c r="N50" s="13" t="s">
        <v>154</v>
      </c>
      <c r="O50" s="13" t="s">
        <v>200</v>
      </c>
      <c r="U50" s="47">
        <f t="shared" si="0"/>
        <v>919484</v>
      </c>
    </row>
    <row r="51" spans="1:21">
      <c r="A51" s="15">
        <v>62</v>
      </c>
      <c r="B51" s="45">
        <v>919467</v>
      </c>
      <c r="C51" s="13" t="s">
        <v>296</v>
      </c>
      <c r="D51" s="13" t="s">
        <v>297</v>
      </c>
      <c r="E51" s="13" t="s">
        <v>270</v>
      </c>
      <c r="F51" s="13" t="s">
        <v>151</v>
      </c>
      <c r="G51" s="44">
        <v>43831</v>
      </c>
      <c r="H51" s="44">
        <v>48213</v>
      </c>
      <c r="I51" s="13" t="s">
        <v>252</v>
      </c>
      <c r="J51" s="46" t="s">
        <v>298</v>
      </c>
      <c r="K51" s="13" t="s">
        <v>33</v>
      </c>
      <c r="M51" s="13" t="s">
        <v>154</v>
      </c>
      <c r="N51" s="13" t="s">
        <v>154</v>
      </c>
      <c r="U51" s="47">
        <f t="shared" si="0"/>
        <v>919467</v>
      </c>
    </row>
    <row r="52" spans="1:21">
      <c r="A52" s="15">
        <v>63</v>
      </c>
      <c r="B52" s="45">
        <v>919466</v>
      </c>
      <c r="C52" s="13" t="s">
        <v>299</v>
      </c>
      <c r="D52" s="13" t="s">
        <v>300</v>
      </c>
      <c r="E52" s="13" t="s">
        <v>165</v>
      </c>
      <c r="F52" s="13" t="s">
        <v>151</v>
      </c>
      <c r="G52" s="44">
        <v>43831</v>
      </c>
      <c r="H52" s="44">
        <v>48213</v>
      </c>
      <c r="I52" s="13" t="s">
        <v>252</v>
      </c>
      <c r="J52" s="46" t="s">
        <v>301</v>
      </c>
      <c r="K52" s="13" t="s">
        <v>302</v>
      </c>
      <c r="M52" s="13" t="s">
        <v>154</v>
      </c>
      <c r="N52" s="13" t="s">
        <v>154</v>
      </c>
      <c r="O52" s="13" t="s">
        <v>200</v>
      </c>
      <c r="U52" s="47">
        <f t="shared" si="0"/>
        <v>919466</v>
      </c>
    </row>
    <row r="53" spans="1:21">
      <c r="A53" s="15">
        <v>64</v>
      </c>
      <c r="B53" s="45">
        <v>49334</v>
      </c>
      <c r="C53" s="13" t="s">
        <v>303</v>
      </c>
      <c r="D53" s="13" t="s">
        <v>304</v>
      </c>
      <c r="E53" s="13" t="s">
        <v>165</v>
      </c>
      <c r="F53" s="13" t="s">
        <v>151</v>
      </c>
      <c r="G53" s="44">
        <v>43831</v>
      </c>
      <c r="H53" s="44">
        <v>46387</v>
      </c>
      <c r="I53" s="13" t="s">
        <v>252</v>
      </c>
      <c r="J53" s="46" t="s">
        <v>305</v>
      </c>
      <c r="K53" s="13" t="s">
        <v>33</v>
      </c>
      <c r="M53" s="13" t="s">
        <v>154</v>
      </c>
      <c r="N53" s="13" t="s">
        <v>154</v>
      </c>
      <c r="O53" s="13" t="s">
        <v>200</v>
      </c>
      <c r="U53" s="47">
        <f t="shared" si="0"/>
        <v>49334</v>
      </c>
    </row>
    <row r="54" spans="1:21">
      <c r="A54" s="15">
        <v>65</v>
      </c>
      <c r="B54" s="45">
        <v>919509</v>
      </c>
      <c r="C54" s="13" t="s">
        <v>306</v>
      </c>
      <c r="D54" s="13" t="s">
        <v>307</v>
      </c>
      <c r="E54" s="13" t="s">
        <v>242</v>
      </c>
      <c r="F54" s="13" t="s">
        <v>151</v>
      </c>
      <c r="G54" s="44">
        <v>43831</v>
      </c>
      <c r="H54" s="44">
        <v>48213</v>
      </c>
      <c r="I54" s="13" t="s">
        <v>152</v>
      </c>
      <c r="J54" s="46" t="s">
        <v>308</v>
      </c>
      <c r="K54" s="13" t="s">
        <v>309</v>
      </c>
      <c r="M54" s="13" t="s">
        <v>154</v>
      </c>
      <c r="N54" s="13" t="s">
        <v>154</v>
      </c>
      <c r="U54" s="47">
        <f t="shared" si="0"/>
        <v>919509</v>
      </c>
    </row>
    <row r="55" spans="1:21">
      <c r="A55" s="15">
        <v>66</v>
      </c>
      <c r="B55" s="45">
        <v>919493</v>
      </c>
      <c r="C55" s="13" t="s">
        <v>310</v>
      </c>
      <c r="D55" s="13" t="s">
        <v>311</v>
      </c>
      <c r="E55" s="13" t="s">
        <v>165</v>
      </c>
      <c r="F55" s="13" t="s">
        <v>151</v>
      </c>
      <c r="G55" s="44">
        <v>43831</v>
      </c>
      <c r="H55" s="44">
        <v>48213</v>
      </c>
      <c r="I55" s="13" t="s">
        <v>152</v>
      </c>
      <c r="J55" s="46" t="s">
        <v>153</v>
      </c>
      <c r="K55" s="13" t="s">
        <v>309</v>
      </c>
      <c r="M55" s="13" t="s">
        <v>154</v>
      </c>
      <c r="N55" s="13" t="s">
        <v>154</v>
      </c>
      <c r="O55" s="13" t="s">
        <v>200</v>
      </c>
      <c r="U55" s="47">
        <f t="shared" si="0"/>
        <v>919493</v>
      </c>
    </row>
    <row r="56" spans="1:21">
      <c r="A56" s="15">
        <v>67</v>
      </c>
      <c r="B56" s="45">
        <v>919494</v>
      </c>
      <c r="C56" s="13" t="s">
        <v>312</v>
      </c>
      <c r="D56" s="13" t="s">
        <v>313</v>
      </c>
      <c r="E56" s="13" t="s">
        <v>165</v>
      </c>
      <c r="F56" s="13" t="s">
        <v>151</v>
      </c>
      <c r="G56" s="44">
        <v>43831</v>
      </c>
      <c r="H56" s="44">
        <v>48213</v>
      </c>
      <c r="I56" s="13" t="s">
        <v>152</v>
      </c>
      <c r="J56" s="46" t="s">
        <v>153</v>
      </c>
      <c r="K56" s="13" t="s">
        <v>314</v>
      </c>
      <c r="M56" s="13" t="s">
        <v>154</v>
      </c>
      <c r="N56" s="13" t="s">
        <v>154</v>
      </c>
      <c r="O56" s="13" t="s">
        <v>200</v>
      </c>
      <c r="U56" s="47">
        <f t="shared" si="0"/>
        <v>919494</v>
      </c>
    </row>
    <row r="57" spans="1:21">
      <c r="A57" s="15">
        <v>68</v>
      </c>
      <c r="B57" s="45">
        <v>919489</v>
      </c>
      <c r="C57" s="13" t="s">
        <v>315</v>
      </c>
      <c r="D57" s="13" t="s">
        <v>316</v>
      </c>
      <c r="E57" s="13" t="s">
        <v>242</v>
      </c>
      <c r="F57" s="13" t="s">
        <v>151</v>
      </c>
      <c r="G57" s="44">
        <v>43831</v>
      </c>
      <c r="H57" s="44">
        <v>48213</v>
      </c>
      <c r="I57" s="13" t="s">
        <v>152</v>
      </c>
      <c r="J57" s="46" t="s">
        <v>153</v>
      </c>
      <c r="K57" s="13" t="s">
        <v>33</v>
      </c>
      <c r="M57" s="13" t="s">
        <v>154</v>
      </c>
      <c r="N57" s="13" t="s">
        <v>154</v>
      </c>
      <c r="U57" s="47">
        <f t="shared" si="0"/>
        <v>919489</v>
      </c>
    </row>
    <row r="58" spans="1:21">
      <c r="A58" s="15">
        <v>69</v>
      </c>
      <c r="B58" s="45">
        <v>919490</v>
      </c>
      <c r="C58" s="13" t="s">
        <v>317</v>
      </c>
      <c r="D58" s="13" t="s">
        <v>318</v>
      </c>
      <c r="E58" s="13" t="s">
        <v>242</v>
      </c>
      <c r="F58" s="13" t="s">
        <v>151</v>
      </c>
      <c r="G58" s="44">
        <v>43831</v>
      </c>
      <c r="H58" s="44">
        <v>48213</v>
      </c>
      <c r="I58" s="13" t="s">
        <v>152</v>
      </c>
      <c r="J58" s="46" t="s">
        <v>319</v>
      </c>
      <c r="K58" s="13" t="s">
        <v>314</v>
      </c>
      <c r="M58" s="13" t="s">
        <v>154</v>
      </c>
      <c r="N58" s="13" t="s">
        <v>154</v>
      </c>
      <c r="U58" s="47">
        <f t="shared" si="0"/>
        <v>919490</v>
      </c>
    </row>
    <row r="59" spans="1:21">
      <c r="A59" s="15">
        <v>70</v>
      </c>
      <c r="B59" s="45">
        <v>919491</v>
      </c>
      <c r="C59" s="13" t="s">
        <v>320</v>
      </c>
      <c r="D59" s="13" t="s">
        <v>321</v>
      </c>
      <c r="E59" s="13" t="s">
        <v>165</v>
      </c>
      <c r="F59" s="13" t="s">
        <v>151</v>
      </c>
      <c r="G59" s="44">
        <v>43831</v>
      </c>
      <c r="H59" s="44">
        <v>48213</v>
      </c>
      <c r="I59" s="13" t="s">
        <v>152</v>
      </c>
      <c r="J59" s="46" t="s">
        <v>153</v>
      </c>
      <c r="K59" s="13" t="s">
        <v>322</v>
      </c>
      <c r="M59" s="13" t="s">
        <v>154</v>
      </c>
      <c r="N59" s="13" t="s">
        <v>154</v>
      </c>
      <c r="O59" s="13" t="s">
        <v>200</v>
      </c>
      <c r="U59" s="47">
        <f t="shared" si="0"/>
        <v>919491</v>
      </c>
    </row>
    <row r="60" spans="1:21">
      <c r="A60" s="15">
        <v>71</v>
      </c>
      <c r="B60" s="45">
        <v>919492</v>
      </c>
      <c r="C60" s="13" t="s">
        <v>323</v>
      </c>
      <c r="D60" s="13" t="s">
        <v>324</v>
      </c>
      <c r="E60" s="13" t="s">
        <v>325</v>
      </c>
      <c r="F60" s="13" t="s">
        <v>151</v>
      </c>
      <c r="G60" s="44">
        <v>43831</v>
      </c>
      <c r="H60" s="44">
        <v>48213</v>
      </c>
      <c r="I60" s="13" t="s">
        <v>152</v>
      </c>
      <c r="J60" s="46" t="s">
        <v>153</v>
      </c>
      <c r="K60" s="13" t="s">
        <v>64</v>
      </c>
      <c r="M60" s="13" t="s">
        <v>154</v>
      </c>
      <c r="N60" s="13" t="s">
        <v>154</v>
      </c>
      <c r="O60" s="13" t="s">
        <v>326</v>
      </c>
      <c r="U60" s="47">
        <f t="shared" si="0"/>
        <v>919492</v>
      </c>
    </row>
    <row r="61" spans="1:21">
      <c r="A61" s="15">
        <v>72</v>
      </c>
      <c r="B61" s="45">
        <v>143972</v>
      </c>
      <c r="C61" s="13" t="s">
        <v>323</v>
      </c>
      <c r="D61" s="13" t="s">
        <v>327</v>
      </c>
      <c r="E61" s="13" t="s">
        <v>165</v>
      </c>
      <c r="F61" s="13" t="s">
        <v>151</v>
      </c>
      <c r="G61" s="44">
        <v>43831</v>
      </c>
      <c r="H61" s="44">
        <v>48213</v>
      </c>
      <c r="I61" s="13" t="s">
        <v>152</v>
      </c>
      <c r="J61" s="46" t="s">
        <v>328</v>
      </c>
      <c r="K61" s="13" t="s">
        <v>64</v>
      </c>
      <c r="M61" s="13" t="s">
        <v>154</v>
      </c>
      <c r="N61" s="13" t="s">
        <v>154</v>
      </c>
      <c r="O61" s="13" t="s">
        <v>200</v>
      </c>
      <c r="U61" s="47">
        <f t="shared" si="0"/>
        <v>143972</v>
      </c>
    </row>
    <row r="62" spans="1:21">
      <c r="A62" s="15">
        <v>73</v>
      </c>
      <c r="B62" s="45">
        <v>52919</v>
      </c>
      <c r="C62" s="13" t="s">
        <v>329</v>
      </c>
      <c r="D62" s="13" t="s">
        <v>330</v>
      </c>
      <c r="E62" s="13" t="s">
        <v>165</v>
      </c>
      <c r="F62" s="13" t="s">
        <v>151</v>
      </c>
      <c r="G62" s="44">
        <v>43831</v>
      </c>
      <c r="H62" s="44">
        <v>48213</v>
      </c>
      <c r="I62" s="13" t="s">
        <v>152</v>
      </c>
      <c r="J62" s="46" t="s">
        <v>166</v>
      </c>
      <c r="K62" s="13" t="s">
        <v>331</v>
      </c>
      <c r="M62" s="13" t="s">
        <v>154</v>
      </c>
      <c r="N62" s="13" t="s">
        <v>154</v>
      </c>
      <c r="O62" s="13" t="s">
        <v>200</v>
      </c>
      <c r="U62" s="47">
        <f t="shared" si="0"/>
        <v>52919</v>
      </c>
    </row>
    <row r="63" spans="1:21">
      <c r="A63" s="15">
        <v>74</v>
      </c>
      <c r="B63" s="45">
        <v>919470</v>
      </c>
      <c r="C63" s="13" t="s">
        <v>332</v>
      </c>
      <c r="D63" s="13" t="s">
        <v>333</v>
      </c>
      <c r="E63" s="13" t="s">
        <v>334</v>
      </c>
      <c r="F63" s="13" t="s">
        <v>151</v>
      </c>
      <c r="G63" s="44">
        <v>43831</v>
      </c>
      <c r="H63" s="44">
        <v>48213</v>
      </c>
      <c r="I63" s="13" t="s">
        <v>335</v>
      </c>
      <c r="J63" s="46" t="s">
        <v>336</v>
      </c>
      <c r="K63" s="13" t="s">
        <v>302</v>
      </c>
      <c r="M63" s="13" t="s">
        <v>154</v>
      </c>
      <c r="N63" s="13" t="s">
        <v>154</v>
      </c>
      <c r="U63" s="47">
        <f t="shared" si="0"/>
        <v>919470</v>
      </c>
    </row>
    <row r="64" spans="1:21">
      <c r="A64" s="15">
        <v>75</v>
      </c>
      <c r="B64" s="45">
        <v>919471</v>
      </c>
      <c r="C64" s="13" t="s">
        <v>337</v>
      </c>
      <c r="D64" s="13" t="s">
        <v>338</v>
      </c>
      <c r="E64" s="13" t="s">
        <v>339</v>
      </c>
      <c r="F64" s="13" t="s">
        <v>151</v>
      </c>
      <c r="G64" s="44">
        <v>43831</v>
      </c>
      <c r="H64" s="44">
        <v>48213</v>
      </c>
      <c r="I64" s="13" t="s">
        <v>152</v>
      </c>
      <c r="J64" s="46" t="s">
        <v>340</v>
      </c>
      <c r="K64" s="13" t="s">
        <v>331</v>
      </c>
      <c r="M64" s="13" t="s">
        <v>154</v>
      </c>
      <c r="N64" s="13" t="s">
        <v>154</v>
      </c>
      <c r="U64" s="47">
        <f t="shared" si="0"/>
        <v>919471</v>
      </c>
    </row>
    <row r="65" spans="1:21">
      <c r="A65" s="15">
        <v>76</v>
      </c>
      <c r="B65" s="45">
        <v>919486</v>
      </c>
      <c r="C65" s="13" t="s">
        <v>341</v>
      </c>
      <c r="D65" s="13" t="s">
        <v>342</v>
      </c>
      <c r="E65" s="13" t="s">
        <v>165</v>
      </c>
      <c r="F65" s="13" t="s">
        <v>151</v>
      </c>
      <c r="G65" s="44">
        <v>43831</v>
      </c>
      <c r="H65" s="44">
        <v>48213</v>
      </c>
      <c r="I65" s="13" t="s">
        <v>152</v>
      </c>
      <c r="J65" s="46" t="s">
        <v>343</v>
      </c>
      <c r="K65" s="13" t="s">
        <v>344</v>
      </c>
      <c r="M65" s="13" t="s">
        <v>154</v>
      </c>
      <c r="N65" s="13" t="s">
        <v>154</v>
      </c>
      <c r="O65" s="13" t="s">
        <v>345</v>
      </c>
      <c r="U65" s="47">
        <f t="shared" si="0"/>
        <v>919486</v>
      </c>
    </row>
    <row r="66" spans="1:21">
      <c r="A66" s="15">
        <v>77</v>
      </c>
      <c r="B66" s="45">
        <v>40830</v>
      </c>
      <c r="C66" s="13" t="s">
        <v>346</v>
      </c>
      <c r="D66" s="13" t="s">
        <v>347</v>
      </c>
      <c r="E66" s="13" t="s">
        <v>165</v>
      </c>
      <c r="F66" s="13" t="s">
        <v>151</v>
      </c>
      <c r="G66" s="44">
        <v>43831</v>
      </c>
      <c r="H66" s="44">
        <v>48213</v>
      </c>
      <c r="I66" s="13" t="s">
        <v>152</v>
      </c>
      <c r="J66" s="46" t="s">
        <v>343</v>
      </c>
      <c r="K66" s="13" t="s">
        <v>348</v>
      </c>
      <c r="M66" s="13" t="s">
        <v>154</v>
      </c>
      <c r="N66" s="13" t="s">
        <v>154</v>
      </c>
      <c r="O66" s="13" t="s">
        <v>345</v>
      </c>
      <c r="U66" s="47">
        <f t="shared" si="0"/>
        <v>40830</v>
      </c>
    </row>
    <row r="67" spans="1:21">
      <c r="A67" s="15">
        <v>78</v>
      </c>
      <c r="B67" s="45">
        <v>919454</v>
      </c>
      <c r="C67" s="13" t="s">
        <v>349</v>
      </c>
      <c r="D67" s="13" t="s">
        <v>350</v>
      </c>
      <c r="E67" s="13" t="s">
        <v>276</v>
      </c>
      <c r="F67" s="13" t="s">
        <v>151</v>
      </c>
      <c r="G67" s="44">
        <v>43831</v>
      </c>
      <c r="H67" s="44">
        <v>48213</v>
      </c>
      <c r="I67" s="13" t="s">
        <v>152</v>
      </c>
      <c r="J67" s="46" t="s">
        <v>351</v>
      </c>
      <c r="K67" s="13" t="s">
        <v>352</v>
      </c>
      <c r="M67" s="13" t="s">
        <v>154</v>
      </c>
      <c r="N67" s="13" t="s">
        <v>154</v>
      </c>
      <c r="U67" s="47">
        <f t="shared" ref="U67:U130" si="1">TRUNC(B67)</f>
        <v>919454</v>
      </c>
    </row>
    <row r="68" spans="1:21">
      <c r="A68" s="15">
        <v>79</v>
      </c>
      <c r="B68" s="45">
        <v>20377</v>
      </c>
      <c r="C68" s="13" t="s">
        <v>353</v>
      </c>
      <c r="D68" s="13" t="s">
        <v>354</v>
      </c>
      <c r="E68" s="13" t="s">
        <v>165</v>
      </c>
      <c r="F68" s="13" t="s">
        <v>151</v>
      </c>
      <c r="G68" s="44">
        <v>43831</v>
      </c>
      <c r="H68" s="44">
        <v>48213</v>
      </c>
      <c r="I68" s="13" t="s">
        <v>152</v>
      </c>
      <c r="J68" s="46" t="s">
        <v>153</v>
      </c>
      <c r="K68" s="13" t="s">
        <v>355</v>
      </c>
      <c r="M68" s="13" t="s">
        <v>154</v>
      </c>
      <c r="N68" s="13" t="s">
        <v>154</v>
      </c>
      <c r="O68" s="13" t="s">
        <v>200</v>
      </c>
      <c r="U68" s="47">
        <f t="shared" si="1"/>
        <v>20377</v>
      </c>
    </row>
    <row r="69" spans="1:21">
      <c r="A69" s="15">
        <v>80</v>
      </c>
      <c r="B69" s="45">
        <v>919496</v>
      </c>
      <c r="C69" s="13" t="s">
        <v>356</v>
      </c>
      <c r="D69" s="13" t="s">
        <v>357</v>
      </c>
      <c r="E69" s="13" t="s">
        <v>358</v>
      </c>
      <c r="F69" s="13" t="s">
        <v>151</v>
      </c>
      <c r="G69" s="44">
        <v>43831</v>
      </c>
      <c r="H69" s="44">
        <v>48213</v>
      </c>
      <c r="I69" s="13" t="s">
        <v>280</v>
      </c>
      <c r="J69" s="46" t="s">
        <v>359</v>
      </c>
      <c r="K69" s="13" t="s">
        <v>360</v>
      </c>
      <c r="M69" s="13" t="s">
        <v>154</v>
      </c>
      <c r="N69" s="13" t="s">
        <v>154</v>
      </c>
      <c r="U69" s="47">
        <f t="shared" si="1"/>
        <v>919496</v>
      </c>
    </row>
    <row r="70" spans="1:21">
      <c r="A70" s="15">
        <v>81</v>
      </c>
      <c r="B70" s="45">
        <v>102754</v>
      </c>
      <c r="C70" s="13" t="s">
        <v>361</v>
      </c>
      <c r="D70" s="13" t="s">
        <v>362</v>
      </c>
      <c r="E70" s="13" t="s">
        <v>363</v>
      </c>
      <c r="F70" s="13" t="s">
        <v>151</v>
      </c>
      <c r="G70" s="44">
        <v>43831</v>
      </c>
      <c r="H70" s="44">
        <v>45657</v>
      </c>
      <c r="I70" s="13" t="s">
        <v>152</v>
      </c>
      <c r="J70" s="46" t="s">
        <v>153</v>
      </c>
      <c r="K70" s="13" t="s">
        <v>331</v>
      </c>
      <c r="M70" s="13" t="s">
        <v>154</v>
      </c>
      <c r="N70" s="13" t="s">
        <v>154</v>
      </c>
      <c r="U70" s="47">
        <f t="shared" si="1"/>
        <v>102754</v>
      </c>
    </row>
    <row r="71" spans="1:21">
      <c r="A71" s="15">
        <v>82</v>
      </c>
      <c r="B71" s="45">
        <v>49334</v>
      </c>
      <c r="C71" s="13" t="s">
        <v>364</v>
      </c>
      <c r="D71" s="13" t="s">
        <v>365</v>
      </c>
      <c r="E71" s="13" t="s">
        <v>366</v>
      </c>
      <c r="F71" s="13" t="s">
        <v>151</v>
      </c>
      <c r="G71" s="44">
        <v>43831</v>
      </c>
      <c r="H71" s="44">
        <v>46387</v>
      </c>
      <c r="I71" s="13" t="s">
        <v>152</v>
      </c>
      <c r="J71" s="46" t="s">
        <v>367</v>
      </c>
      <c r="K71" s="13" t="s">
        <v>368</v>
      </c>
      <c r="M71" s="13" t="s">
        <v>154</v>
      </c>
      <c r="N71" s="13" t="s">
        <v>154</v>
      </c>
      <c r="U71" s="47">
        <f t="shared" si="1"/>
        <v>49334</v>
      </c>
    </row>
    <row r="72" spans="1:21">
      <c r="A72" s="15">
        <v>83</v>
      </c>
      <c r="B72" s="45">
        <v>1214313</v>
      </c>
      <c r="C72" s="13" t="s">
        <v>369</v>
      </c>
      <c r="D72" s="13" t="s">
        <v>370</v>
      </c>
      <c r="E72" s="13" t="s">
        <v>371</v>
      </c>
      <c r="F72" s="13" t="s">
        <v>151</v>
      </c>
      <c r="G72" s="44">
        <v>45223</v>
      </c>
      <c r="H72" s="44">
        <v>47118</v>
      </c>
      <c r="I72" s="13" t="s">
        <v>252</v>
      </c>
      <c r="J72" s="46" t="s">
        <v>372</v>
      </c>
      <c r="K72" s="13" t="s">
        <v>64</v>
      </c>
      <c r="M72" s="13" t="s">
        <v>154</v>
      </c>
      <c r="N72" s="13" t="s">
        <v>154</v>
      </c>
      <c r="U72" s="47">
        <f t="shared" si="1"/>
        <v>1214313</v>
      </c>
    </row>
    <row r="73" spans="1:21">
      <c r="A73" s="15">
        <v>84</v>
      </c>
      <c r="B73" s="45">
        <v>113870</v>
      </c>
      <c r="C73" s="13" t="s">
        <v>373</v>
      </c>
      <c r="D73" s="13" t="s">
        <v>374</v>
      </c>
      <c r="E73" s="13" t="s">
        <v>375</v>
      </c>
      <c r="F73" s="13" t="s">
        <v>151</v>
      </c>
      <c r="G73" s="44">
        <v>43831</v>
      </c>
      <c r="H73" s="44">
        <v>45657</v>
      </c>
      <c r="I73" s="13" t="s">
        <v>152</v>
      </c>
      <c r="J73" s="46" t="s">
        <v>376</v>
      </c>
      <c r="K73" s="13" t="s">
        <v>368</v>
      </c>
      <c r="M73" s="13" t="s">
        <v>154</v>
      </c>
      <c r="N73" s="13" t="s">
        <v>154</v>
      </c>
      <c r="U73" s="47">
        <f t="shared" si="1"/>
        <v>113870</v>
      </c>
    </row>
    <row r="74" spans="1:21">
      <c r="A74" s="15">
        <v>85</v>
      </c>
      <c r="B74" s="45">
        <v>49334</v>
      </c>
      <c r="C74" s="13" t="s">
        <v>377</v>
      </c>
      <c r="D74" s="13" t="s">
        <v>378</v>
      </c>
      <c r="E74" s="13" t="s">
        <v>276</v>
      </c>
      <c r="F74" s="13" t="s">
        <v>151</v>
      </c>
      <c r="G74" s="44">
        <v>43831</v>
      </c>
      <c r="H74" s="44">
        <v>46387</v>
      </c>
      <c r="I74" s="13" t="s">
        <v>152</v>
      </c>
      <c r="J74" s="46" t="s">
        <v>379</v>
      </c>
      <c r="K74" s="13" t="s">
        <v>355</v>
      </c>
      <c r="M74" s="13" t="s">
        <v>154</v>
      </c>
      <c r="N74" s="13" t="s">
        <v>154</v>
      </c>
      <c r="U74" s="47">
        <f t="shared" si="1"/>
        <v>49334</v>
      </c>
    </row>
    <row r="75" spans="1:21">
      <c r="A75" s="15">
        <v>86</v>
      </c>
      <c r="B75" s="45">
        <v>20377</v>
      </c>
      <c r="C75" s="13" t="s">
        <v>380</v>
      </c>
      <c r="D75" s="13" t="s">
        <v>381</v>
      </c>
      <c r="E75" s="13" t="s">
        <v>382</v>
      </c>
      <c r="F75" s="13" t="s">
        <v>151</v>
      </c>
      <c r="G75" s="44">
        <v>43831</v>
      </c>
      <c r="H75" s="44">
        <v>48213</v>
      </c>
      <c r="I75" s="13" t="s">
        <v>280</v>
      </c>
      <c r="J75" s="46" t="s">
        <v>383</v>
      </c>
      <c r="K75" s="13" t="s">
        <v>384</v>
      </c>
      <c r="M75" s="13" t="s">
        <v>154</v>
      </c>
      <c r="N75" s="13" t="s">
        <v>154</v>
      </c>
      <c r="U75" s="47">
        <f t="shared" si="1"/>
        <v>20377</v>
      </c>
    </row>
    <row r="76" spans="1:21">
      <c r="A76" s="15">
        <v>87</v>
      </c>
      <c r="B76" s="45">
        <v>1533410</v>
      </c>
      <c r="C76" s="13" t="s">
        <v>385</v>
      </c>
      <c r="D76" s="13" t="s">
        <v>386</v>
      </c>
      <c r="E76" s="13" t="s">
        <v>387</v>
      </c>
      <c r="F76" s="13" t="s">
        <v>151</v>
      </c>
      <c r="G76" s="44">
        <v>45992</v>
      </c>
      <c r="H76" s="44">
        <v>47118</v>
      </c>
      <c r="I76" s="13" t="s">
        <v>252</v>
      </c>
      <c r="J76" s="46" t="s">
        <v>388</v>
      </c>
      <c r="K76" s="13" t="s">
        <v>67</v>
      </c>
      <c r="M76" s="13" t="s">
        <v>154</v>
      </c>
      <c r="N76" s="13" t="s">
        <v>154</v>
      </c>
      <c r="O76" s="13" t="s">
        <v>200</v>
      </c>
      <c r="U76" s="47">
        <f t="shared" si="1"/>
        <v>1533410</v>
      </c>
    </row>
    <row r="77" spans="1:21">
      <c r="A77" s="15">
        <v>88</v>
      </c>
      <c r="B77" s="45">
        <v>147927</v>
      </c>
      <c r="C77" s="13" t="s">
        <v>389</v>
      </c>
      <c r="D77" s="13" t="s">
        <v>390</v>
      </c>
      <c r="E77" s="13" t="s">
        <v>391</v>
      </c>
      <c r="F77" s="13" t="s">
        <v>151</v>
      </c>
      <c r="G77" s="44">
        <v>44910</v>
      </c>
      <c r="H77" s="44">
        <v>46022</v>
      </c>
      <c r="I77" s="13" t="s">
        <v>152</v>
      </c>
      <c r="J77" s="46" t="s">
        <v>153</v>
      </c>
      <c r="K77" s="13" t="s">
        <v>392</v>
      </c>
      <c r="M77" s="13" t="s">
        <v>154</v>
      </c>
      <c r="N77" s="13" t="s">
        <v>154</v>
      </c>
      <c r="U77" s="47">
        <f t="shared" si="1"/>
        <v>147927</v>
      </c>
    </row>
    <row r="78" spans="1:21">
      <c r="A78" s="15">
        <v>89</v>
      </c>
      <c r="B78" s="45">
        <v>121910</v>
      </c>
      <c r="C78" s="13" t="s">
        <v>393</v>
      </c>
      <c r="D78" s="13" t="s">
        <v>394</v>
      </c>
      <c r="E78" s="13" t="s">
        <v>395</v>
      </c>
      <c r="F78" s="13" t="s">
        <v>151</v>
      </c>
      <c r="G78" s="44">
        <v>43831</v>
      </c>
      <c r="H78" s="44">
        <v>48213</v>
      </c>
      <c r="I78" s="13" t="s">
        <v>152</v>
      </c>
      <c r="J78" s="46" t="s">
        <v>153</v>
      </c>
      <c r="K78" s="13" t="s">
        <v>352</v>
      </c>
      <c r="M78" s="13" t="s">
        <v>154</v>
      </c>
      <c r="N78" s="13" t="s">
        <v>154</v>
      </c>
      <c r="U78" s="47">
        <f t="shared" si="1"/>
        <v>121910</v>
      </c>
    </row>
    <row r="79" spans="1:21">
      <c r="A79" s="15">
        <v>90</v>
      </c>
      <c r="B79" s="45">
        <v>1374250</v>
      </c>
      <c r="C79" s="13" t="s">
        <v>396</v>
      </c>
      <c r="D79" s="13" t="s">
        <v>397</v>
      </c>
      <c r="E79" s="13" t="s">
        <v>398</v>
      </c>
      <c r="F79" s="13" t="s">
        <v>151</v>
      </c>
      <c r="G79" s="44">
        <v>45638</v>
      </c>
      <c r="H79" s="44">
        <v>46752</v>
      </c>
      <c r="I79" s="13" t="s">
        <v>252</v>
      </c>
      <c r="J79" s="46" t="s">
        <v>399</v>
      </c>
      <c r="K79" s="13" t="s">
        <v>64</v>
      </c>
      <c r="M79" s="13" t="s">
        <v>154</v>
      </c>
      <c r="N79" s="13" t="s">
        <v>154</v>
      </c>
      <c r="U79" s="47">
        <f t="shared" si="1"/>
        <v>1374250</v>
      </c>
    </row>
    <row r="80" spans="1:21">
      <c r="A80" s="15">
        <v>91</v>
      </c>
      <c r="B80" s="45">
        <v>1370255</v>
      </c>
      <c r="C80" s="13" t="s">
        <v>400</v>
      </c>
      <c r="D80" s="13" t="s">
        <v>401</v>
      </c>
      <c r="E80" s="13" t="s">
        <v>402</v>
      </c>
      <c r="F80" s="13" t="s">
        <v>151</v>
      </c>
      <c r="G80" s="44">
        <v>45630</v>
      </c>
      <c r="H80" s="44">
        <v>46752</v>
      </c>
      <c r="I80" s="13" t="s">
        <v>152</v>
      </c>
      <c r="J80" s="46" t="s">
        <v>403</v>
      </c>
      <c r="K80" s="13" t="s">
        <v>70</v>
      </c>
      <c r="M80" s="13" t="s">
        <v>154</v>
      </c>
      <c r="N80" s="13" t="s">
        <v>154</v>
      </c>
      <c r="U80" s="47">
        <f t="shared" si="1"/>
        <v>1370255</v>
      </c>
    </row>
    <row r="81" spans="1:21">
      <c r="A81" s="15">
        <v>92</v>
      </c>
      <c r="B81" s="45">
        <v>132103</v>
      </c>
      <c r="C81" s="13" t="s">
        <v>404</v>
      </c>
      <c r="D81" s="13" t="s">
        <v>405</v>
      </c>
      <c r="E81" s="13" t="s">
        <v>406</v>
      </c>
      <c r="F81" s="13" t="s">
        <v>151</v>
      </c>
      <c r="G81" s="44">
        <v>43983</v>
      </c>
      <c r="H81" s="44">
        <v>45657</v>
      </c>
      <c r="I81" s="13" t="s">
        <v>252</v>
      </c>
      <c r="J81" s="46" t="s">
        <v>407</v>
      </c>
      <c r="K81" s="13" t="s">
        <v>56</v>
      </c>
      <c r="M81" s="13" t="s">
        <v>154</v>
      </c>
      <c r="N81" s="13" t="s">
        <v>154</v>
      </c>
      <c r="O81" s="13" t="s">
        <v>200</v>
      </c>
      <c r="U81" s="47">
        <f t="shared" si="1"/>
        <v>132103</v>
      </c>
    </row>
    <row r="82" spans="1:21">
      <c r="A82" s="15">
        <v>93</v>
      </c>
      <c r="B82" s="45">
        <v>1220506</v>
      </c>
      <c r="C82" s="13" t="s">
        <v>408</v>
      </c>
      <c r="D82" s="13" t="s">
        <v>409</v>
      </c>
      <c r="E82" s="13" t="s">
        <v>402</v>
      </c>
      <c r="F82" s="13" t="s">
        <v>151</v>
      </c>
      <c r="G82" s="44">
        <v>45292</v>
      </c>
      <c r="H82" s="44">
        <v>46387</v>
      </c>
      <c r="I82" s="13" t="s">
        <v>252</v>
      </c>
      <c r="J82" s="46" t="s">
        <v>410</v>
      </c>
      <c r="K82" s="13" t="s">
        <v>64</v>
      </c>
      <c r="M82" s="13" t="s">
        <v>154</v>
      </c>
      <c r="N82" s="13" t="s">
        <v>154</v>
      </c>
      <c r="U82" s="47">
        <f t="shared" si="1"/>
        <v>1220506</v>
      </c>
    </row>
    <row r="83" spans="1:21">
      <c r="A83" s="15">
        <v>94</v>
      </c>
      <c r="B83" s="45">
        <v>1220496</v>
      </c>
      <c r="C83" s="13" t="s">
        <v>411</v>
      </c>
      <c r="D83" s="13" t="s">
        <v>412</v>
      </c>
      <c r="E83" s="13" t="s">
        <v>413</v>
      </c>
      <c r="F83" s="13" t="s">
        <v>151</v>
      </c>
      <c r="G83" s="44">
        <v>45274</v>
      </c>
      <c r="H83" s="44">
        <v>46387</v>
      </c>
      <c r="I83" s="13" t="s">
        <v>252</v>
      </c>
      <c r="J83" s="46" t="s">
        <v>414</v>
      </c>
      <c r="K83" s="13" t="s">
        <v>64</v>
      </c>
      <c r="M83" s="13" t="s">
        <v>154</v>
      </c>
      <c r="N83" s="13" t="s">
        <v>154</v>
      </c>
      <c r="U83" s="47">
        <f t="shared" si="1"/>
        <v>1220496</v>
      </c>
    </row>
    <row r="84" spans="1:21">
      <c r="A84" s="15">
        <v>95</v>
      </c>
      <c r="B84" s="45">
        <v>147402</v>
      </c>
      <c r="C84" s="13" t="s">
        <v>415</v>
      </c>
      <c r="D84" s="13" t="s">
        <v>416</v>
      </c>
      <c r="E84" s="13" t="s">
        <v>358</v>
      </c>
      <c r="F84" s="13" t="s">
        <v>151</v>
      </c>
      <c r="G84" s="44">
        <v>44819</v>
      </c>
      <c r="H84" s="44">
        <v>45961</v>
      </c>
      <c r="I84" s="13" t="s">
        <v>158</v>
      </c>
      <c r="J84" s="46" t="s">
        <v>417</v>
      </c>
      <c r="K84" s="13" t="s">
        <v>74</v>
      </c>
      <c r="M84" s="13" t="s">
        <v>154</v>
      </c>
      <c r="N84" s="13" t="s">
        <v>154</v>
      </c>
      <c r="U84" s="47">
        <f t="shared" si="1"/>
        <v>147402</v>
      </c>
    </row>
    <row r="85" spans="1:21">
      <c r="A85" s="15">
        <v>96</v>
      </c>
      <c r="B85" s="45">
        <v>1382455</v>
      </c>
      <c r="C85" s="13" t="s">
        <v>418</v>
      </c>
      <c r="D85" s="13" t="s">
        <v>419</v>
      </c>
      <c r="E85" s="13" t="s">
        <v>358</v>
      </c>
      <c r="F85" s="13" t="s">
        <v>151</v>
      </c>
      <c r="G85" s="44">
        <v>45712</v>
      </c>
      <c r="H85" s="44">
        <v>46077</v>
      </c>
      <c r="I85" s="13" t="s">
        <v>252</v>
      </c>
      <c r="J85" s="46" t="s">
        <v>420</v>
      </c>
      <c r="K85" s="13" t="s">
        <v>51</v>
      </c>
      <c r="M85" s="13" t="s">
        <v>154</v>
      </c>
      <c r="N85" s="13" t="s">
        <v>154</v>
      </c>
      <c r="U85" s="47">
        <f t="shared" si="1"/>
        <v>1382455</v>
      </c>
    </row>
    <row r="86" spans="1:21">
      <c r="A86" s="15">
        <v>97</v>
      </c>
      <c r="B86" s="45">
        <v>1382456</v>
      </c>
      <c r="C86" s="13" t="s">
        <v>421</v>
      </c>
      <c r="D86" s="13" t="s">
        <v>422</v>
      </c>
      <c r="E86" s="13" t="s">
        <v>358</v>
      </c>
      <c r="F86" s="13" t="s">
        <v>151</v>
      </c>
      <c r="G86" s="44">
        <v>45712</v>
      </c>
      <c r="H86" s="44">
        <v>46076</v>
      </c>
      <c r="I86" s="13" t="s">
        <v>252</v>
      </c>
      <c r="J86" s="46" t="s">
        <v>423</v>
      </c>
      <c r="K86" s="13" t="s">
        <v>78</v>
      </c>
      <c r="M86" s="13" t="s">
        <v>154</v>
      </c>
      <c r="N86" s="13" t="s">
        <v>154</v>
      </c>
      <c r="U86" s="47">
        <f t="shared" si="1"/>
        <v>1382456</v>
      </c>
    </row>
    <row r="87" spans="1:21">
      <c r="A87" s="15">
        <v>98</v>
      </c>
      <c r="B87" s="45">
        <v>133802</v>
      </c>
      <c r="C87" s="13" t="s">
        <v>424</v>
      </c>
      <c r="D87" s="13" t="s">
        <v>425</v>
      </c>
      <c r="E87" s="13" t="s">
        <v>426</v>
      </c>
      <c r="F87" s="13" t="s">
        <v>151</v>
      </c>
      <c r="G87" s="44">
        <v>44562</v>
      </c>
      <c r="H87" s="44">
        <v>45657</v>
      </c>
      <c r="I87" s="13" t="s">
        <v>152</v>
      </c>
      <c r="J87" s="46" t="s">
        <v>427</v>
      </c>
      <c r="K87" s="13" t="s">
        <v>428</v>
      </c>
      <c r="M87" s="13" t="s">
        <v>154</v>
      </c>
      <c r="N87" s="13" t="s">
        <v>154</v>
      </c>
      <c r="U87" s="47">
        <f t="shared" si="1"/>
        <v>133802</v>
      </c>
    </row>
    <row r="88" spans="1:21">
      <c r="A88" s="15">
        <v>99</v>
      </c>
      <c r="B88" s="45">
        <v>99288</v>
      </c>
      <c r="C88" s="13" t="s">
        <v>429</v>
      </c>
      <c r="D88" s="13" t="s">
        <v>430</v>
      </c>
      <c r="E88" s="13" t="s">
        <v>431</v>
      </c>
      <c r="F88" s="13" t="s">
        <v>151</v>
      </c>
      <c r="G88" s="44">
        <v>43831</v>
      </c>
      <c r="H88" s="44">
        <v>48213</v>
      </c>
      <c r="I88" s="13" t="s">
        <v>252</v>
      </c>
      <c r="J88" s="46" t="s">
        <v>432</v>
      </c>
      <c r="K88" s="13" t="s">
        <v>48</v>
      </c>
      <c r="M88" s="13" t="s">
        <v>154</v>
      </c>
      <c r="N88" s="13" t="s">
        <v>154</v>
      </c>
      <c r="O88" s="13" t="s">
        <v>200</v>
      </c>
      <c r="U88" s="47">
        <f t="shared" si="1"/>
        <v>99288</v>
      </c>
    </row>
    <row r="89" spans="1:21">
      <c r="A89" s="15">
        <v>100</v>
      </c>
      <c r="B89" s="45">
        <v>919503</v>
      </c>
      <c r="C89" s="13" t="s">
        <v>433</v>
      </c>
      <c r="D89" s="13" t="s">
        <v>434</v>
      </c>
      <c r="E89" s="13" t="s">
        <v>431</v>
      </c>
      <c r="F89" s="13" t="s">
        <v>151</v>
      </c>
      <c r="G89" s="44">
        <v>43831</v>
      </c>
      <c r="H89" s="44">
        <v>48213</v>
      </c>
      <c r="I89" s="13" t="s">
        <v>252</v>
      </c>
      <c r="J89" s="46" t="s">
        <v>435</v>
      </c>
      <c r="K89" s="13" t="s">
        <v>80</v>
      </c>
      <c r="M89" s="13" t="s">
        <v>154</v>
      </c>
      <c r="N89" s="13" t="s">
        <v>154</v>
      </c>
      <c r="O89" s="13" t="s">
        <v>436</v>
      </c>
      <c r="U89" s="47">
        <f t="shared" si="1"/>
        <v>919503</v>
      </c>
    </row>
    <row r="90" spans="1:21">
      <c r="A90" s="15">
        <v>101</v>
      </c>
      <c r="B90" s="45">
        <v>919502</v>
      </c>
      <c r="C90" s="13" t="s">
        <v>437</v>
      </c>
      <c r="D90" s="13" t="s">
        <v>438</v>
      </c>
      <c r="E90" s="13" t="s">
        <v>358</v>
      </c>
      <c r="F90" s="13" t="s">
        <v>151</v>
      </c>
      <c r="G90" s="44">
        <v>43831</v>
      </c>
      <c r="H90" s="44">
        <v>48213</v>
      </c>
      <c r="I90" s="13" t="s">
        <v>280</v>
      </c>
      <c r="J90" s="46" t="s">
        <v>439</v>
      </c>
      <c r="K90" s="13" t="s">
        <v>440</v>
      </c>
      <c r="M90" s="13" t="s">
        <v>154</v>
      </c>
      <c r="N90" s="13" t="s">
        <v>154</v>
      </c>
      <c r="U90" s="47">
        <f t="shared" si="1"/>
        <v>919502</v>
      </c>
    </row>
    <row r="91" spans="1:21">
      <c r="A91" s="15">
        <v>102</v>
      </c>
      <c r="B91" s="45">
        <v>95557</v>
      </c>
      <c r="C91" s="13" t="s">
        <v>441</v>
      </c>
      <c r="D91" s="13" t="s">
        <v>442</v>
      </c>
      <c r="E91" s="13" t="s">
        <v>358</v>
      </c>
      <c r="F91" s="13" t="s">
        <v>151</v>
      </c>
      <c r="G91" s="44">
        <v>43831</v>
      </c>
      <c r="H91" s="44">
        <v>48213</v>
      </c>
      <c r="I91" s="13" t="s">
        <v>280</v>
      </c>
      <c r="J91" s="46" t="s">
        <v>443</v>
      </c>
      <c r="K91" s="13" t="s">
        <v>44</v>
      </c>
      <c r="M91" s="13" t="s">
        <v>154</v>
      </c>
      <c r="N91" s="13" t="s">
        <v>154</v>
      </c>
      <c r="U91" s="47">
        <f t="shared" si="1"/>
        <v>95557</v>
      </c>
    </row>
    <row r="92" spans="1:21">
      <c r="A92" s="15">
        <v>103</v>
      </c>
      <c r="B92" s="45">
        <v>919508</v>
      </c>
      <c r="C92" s="13" t="s">
        <v>444</v>
      </c>
      <c r="D92" s="13" t="s">
        <v>445</v>
      </c>
      <c r="E92" s="13" t="s">
        <v>334</v>
      </c>
      <c r="F92" s="13" t="s">
        <v>151</v>
      </c>
      <c r="G92" s="44">
        <v>43831</v>
      </c>
      <c r="H92" s="44">
        <v>48213</v>
      </c>
      <c r="I92" s="13" t="s">
        <v>252</v>
      </c>
      <c r="J92" s="46" t="s">
        <v>446</v>
      </c>
      <c r="K92" s="13" t="s">
        <v>89</v>
      </c>
      <c r="M92" s="13" t="s">
        <v>154</v>
      </c>
      <c r="N92" s="13" t="s">
        <v>154</v>
      </c>
      <c r="U92" s="47">
        <f t="shared" si="1"/>
        <v>919508</v>
      </c>
    </row>
    <row r="93" spans="1:21">
      <c r="A93" s="15">
        <v>104</v>
      </c>
      <c r="B93" s="45">
        <v>919507</v>
      </c>
      <c r="C93" s="13" t="s">
        <v>447</v>
      </c>
      <c r="D93" s="13" t="s">
        <v>448</v>
      </c>
      <c r="E93" s="13" t="s">
        <v>382</v>
      </c>
      <c r="F93" s="13" t="s">
        <v>151</v>
      </c>
      <c r="G93" s="44">
        <v>43831</v>
      </c>
      <c r="H93" s="44">
        <v>48213</v>
      </c>
      <c r="I93" s="13" t="s">
        <v>252</v>
      </c>
      <c r="J93" s="46" t="s">
        <v>449</v>
      </c>
      <c r="K93" s="13" t="s">
        <v>85</v>
      </c>
      <c r="M93" s="13" t="s">
        <v>154</v>
      </c>
      <c r="N93" s="13" t="s">
        <v>154</v>
      </c>
      <c r="O93" s="13" t="s">
        <v>200</v>
      </c>
      <c r="U93" s="47">
        <f t="shared" si="1"/>
        <v>919507</v>
      </c>
    </row>
    <row r="94" spans="1:21">
      <c r="A94" s="15">
        <v>105</v>
      </c>
      <c r="B94" s="45">
        <v>919475</v>
      </c>
      <c r="C94" s="13" t="s">
        <v>450</v>
      </c>
      <c r="D94" s="13" t="s">
        <v>451</v>
      </c>
      <c r="E94" s="13" t="s">
        <v>183</v>
      </c>
      <c r="F94" s="13" t="s">
        <v>151</v>
      </c>
      <c r="G94" s="44">
        <v>43831</v>
      </c>
      <c r="H94" s="44">
        <v>48213</v>
      </c>
      <c r="I94" s="13" t="s">
        <v>152</v>
      </c>
      <c r="J94" s="46" t="s">
        <v>153</v>
      </c>
      <c r="K94" s="13" t="s">
        <v>17</v>
      </c>
      <c r="M94" s="13" t="s">
        <v>154</v>
      </c>
      <c r="N94" s="13" t="s">
        <v>154</v>
      </c>
      <c r="U94" s="47">
        <f t="shared" si="1"/>
        <v>919475</v>
      </c>
    </row>
    <row r="95" spans="1:21">
      <c r="A95" s="15">
        <v>106</v>
      </c>
      <c r="B95" s="45">
        <v>919474</v>
      </c>
      <c r="C95" s="13" t="s">
        <v>450</v>
      </c>
      <c r="D95" s="13" t="s">
        <v>452</v>
      </c>
      <c r="E95" s="13" t="s">
        <v>453</v>
      </c>
      <c r="F95" s="13" t="s">
        <v>151</v>
      </c>
      <c r="G95" s="44">
        <v>43831</v>
      </c>
      <c r="H95" s="44">
        <v>48213</v>
      </c>
      <c r="I95" s="13" t="s">
        <v>152</v>
      </c>
      <c r="J95" s="46" t="s">
        <v>153</v>
      </c>
      <c r="K95" s="13" t="s">
        <v>17</v>
      </c>
      <c r="M95" s="13" t="s">
        <v>154</v>
      </c>
      <c r="N95" s="13" t="s">
        <v>154</v>
      </c>
      <c r="U95" s="47">
        <f t="shared" si="1"/>
        <v>919474</v>
      </c>
    </row>
    <row r="96" spans="1:21">
      <c r="A96" s="15">
        <v>107</v>
      </c>
      <c r="B96" s="45">
        <v>131720</v>
      </c>
      <c r="C96" s="13" t="s">
        <v>450</v>
      </c>
      <c r="D96" s="13" t="s">
        <v>454</v>
      </c>
      <c r="E96" s="13" t="s">
        <v>453</v>
      </c>
      <c r="F96" s="13" t="s">
        <v>151</v>
      </c>
      <c r="G96" s="44">
        <v>43831</v>
      </c>
      <c r="H96" s="44">
        <v>48213</v>
      </c>
      <c r="I96" s="13" t="s">
        <v>158</v>
      </c>
      <c r="J96" s="46" t="s">
        <v>455</v>
      </c>
      <c r="K96" s="13" t="s">
        <v>17</v>
      </c>
      <c r="M96" s="13" t="s">
        <v>154</v>
      </c>
      <c r="N96" s="13" t="s">
        <v>154</v>
      </c>
      <c r="U96" s="47">
        <f t="shared" si="1"/>
        <v>131720</v>
      </c>
    </row>
    <row r="97" spans="1:21">
      <c r="A97" s="15">
        <v>108</v>
      </c>
      <c r="B97" s="45">
        <v>922393</v>
      </c>
      <c r="C97" s="13" t="s">
        <v>450</v>
      </c>
      <c r="D97" s="13" t="s">
        <v>456</v>
      </c>
      <c r="E97" s="13" t="s">
        <v>457</v>
      </c>
      <c r="F97" s="13" t="s">
        <v>151</v>
      </c>
      <c r="G97" s="44">
        <v>43831</v>
      </c>
      <c r="H97" s="44">
        <v>46022</v>
      </c>
      <c r="I97" s="13" t="s">
        <v>158</v>
      </c>
      <c r="J97" s="46" t="s">
        <v>458</v>
      </c>
      <c r="K97" s="13" t="s">
        <v>17</v>
      </c>
      <c r="M97" s="13" t="s">
        <v>154</v>
      </c>
      <c r="N97" s="13" t="s">
        <v>154</v>
      </c>
      <c r="U97" s="47">
        <f t="shared" si="1"/>
        <v>922393</v>
      </c>
    </row>
    <row r="98" spans="1:21">
      <c r="A98" s="15">
        <v>109</v>
      </c>
      <c r="B98" s="45">
        <v>919504</v>
      </c>
      <c r="C98" s="13" t="s">
        <v>450</v>
      </c>
      <c r="D98" s="13" t="s">
        <v>459</v>
      </c>
      <c r="E98" s="13" t="s">
        <v>457</v>
      </c>
      <c r="F98" s="13" t="s">
        <v>151</v>
      </c>
      <c r="G98" s="44">
        <v>43831</v>
      </c>
      <c r="H98" s="44">
        <v>48213</v>
      </c>
      <c r="I98" s="13" t="s">
        <v>152</v>
      </c>
      <c r="J98" s="46" t="s">
        <v>153</v>
      </c>
      <c r="K98" s="13" t="s">
        <v>17</v>
      </c>
      <c r="M98" s="13" t="s">
        <v>154</v>
      </c>
      <c r="N98" s="13" t="s">
        <v>154</v>
      </c>
      <c r="U98" s="47">
        <f t="shared" si="1"/>
        <v>919504</v>
      </c>
    </row>
    <row r="99" spans="1:21">
      <c r="A99" s="15">
        <v>110</v>
      </c>
      <c r="B99" s="45">
        <v>116663</v>
      </c>
      <c r="C99" s="13" t="s">
        <v>450</v>
      </c>
      <c r="D99" s="13" t="s">
        <v>460</v>
      </c>
      <c r="E99" s="13" t="s">
        <v>461</v>
      </c>
      <c r="F99" s="13" t="s">
        <v>151</v>
      </c>
      <c r="G99" s="44">
        <v>44197</v>
      </c>
      <c r="H99" s="44">
        <v>46022</v>
      </c>
      <c r="I99" s="13" t="s">
        <v>158</v>
      </c>
      <c r="J99" s="46" t="s">
        <v>462</v>
      </c>
      <c r="K99" s="13" t="s">
        <v>17</v>
      </c>
      <c r="M99" s="13" t="s">
        <v>154</v>
      </c>
      <c r="N99" s="13" t="s">
        <v>154</v>
      </c>
      <c r="U99" s="47">
        <f t="shared" si="1"/>
        <v>116663</v>
      </c>
    </row>
    <row r="100" spans="1:21">
      <c r="A100" s="15">
        <v>111</v>
      </c>
      <c r="B100" s="45">
        <v>919477</v>
      </c>
      <c r="C100" s="13" t="s">
        <v>450</v>
      </c>
      <c r="D100" s="13" t="s">
        <v>463</v>
      </c>
      <c r="E100" s="13" t="s">
        <v>461</v>
      </c>
      <c r="F100" s="13" t="s">
        <v>151</v>
      </c>
      <c r="G100" s="44">
        <v>43831</v>
      </c>
      <c r="H100" s="44">
        <v>48213</v>
      </c>
      <c r="I100" s="13" t="s">
        <v>152</v>
      </c>
      <c r="J100" s="46" t="s">
        <v>153</v>
      </c>
      <c r="K100" s="13" t="s">
        <v>17</v>
      </c>
      <c r="M100" s="13" t="s">
        <v>154</v>
      </c>
      <c r="N100" s="13" t="s">
        <v>154</v>
      </c>
      <c r="U100" s="47">
        <f t="shared" si="1"/>
        <v>919477</v>
      </c>
    </row>
    <row r="101" spans="1:21">
      <c r="A101" s="15">
        <v>112</v>
      </c>
      <c r="B101" s="45">
        <v>139711</v>
      </c>
      <c r="C101" s="13" t="s">
        <v>450</v>
      </c>
      <c r="D101" s="13" t="s">
        <v>464</v>
      </c>
      <c r="E101" s="13" t="s">
        <v>465</v>
      </c>
      <c r="F101" s="13" t="s">
        <v>151</v>
      </c>
      <c r="G101" s="44">
        <v>43905</v>
      </c>
      <c r="H101" s="44">
        <v>48213</v>
      </c>
      <c r="I101" s="13" t="s">
        <v>152</v>
      </c>
      <c r="J101" s="46" t="s">
        <v>153</v>
      </c>
      <c r="K101" s="13" t="s">
        <v>17</v>
      </c>
      <c r="M101" s="13" t="s">
        <v>154</v>
      </c>
      <c r="N101" s="13" t="s">
        <v>154</v>
      </c>
      <c r="U101" s="47">
        <f t="shared" si="1"/>
        <v>139711</v>
      </c>
    </row>
    <row r="102" spans="1:21">
      <c r="A102" s="15">
        <v>113</v>
      </c>
      <c r="B102" s="45">
        <v>919476</v>
      </c>
      <c r="C102" s="13" t="s">
        <v>450</v>
      </c>
      <c r="D102" s="13" t="s">
        <v>466</v>
      </c>
      <c r="E102" s="13" t="s">
        <v>465</v>
      </c>
      <c r="F102" s="13" t="s">
        <v>151</v>
      </c>
      <c r="G102" s="44">
        <v>43831</v>
      </c>
      <c r="H102" s="44">
        <v>48213</v>
      </c>
      <c r="I102" s="13" t="s">
        <v>158</v>
      </c>
      <c r="J102" s="46" t="s">
        <v>467</v>
      </c>
      <c r="K102" s="13" t="s">
        <v>17</v>
      </c>
      <c r="M102" s="13" t="s">
        <v>154</v>
      </c>
      <c r="N102" s="13" t="s">
        <v>154</v>
      </c>
      <c r="U102" s="47">
        <f t="shared" si="1"/>
        <v>919476</v>
      </c>
    </row>
    <row r="103" spans="1:21">
      <c r="A103" s="15">
        <v>114</v>
      </c>
      <c r="B103" s="45">
        <v>920030</v>
      </c>
      <c r="C103" s="13" t="s">
        <v>450</v>
      </c>
      <c r="D103" s="13" t="s">
        <v>468</v>
      </c>
      <c r="E103" s="13" t="s">
        <v>469</v>
      </c>
      <c r="F103" s="13" t="s">
        <v>151</v>
      </c>
      <c r="G103" s="44">
        <v>43831</v>
      </c>
      <c r="H103" s="44">
        <v>48213</v>
      </c>
      <c r="I103" s="13" t="s">
        <v>152</v>
      </c>
      <c r="J103" s="46" t="s">
        <v>351</v>
      </c>
      <c r="K103" s="13" t="s">
        <v>17</v>
      </c>
      <c r="M103" s="13" t="s">
        <v>154</v>
      </c>
      <c r="N103" s="13" t="s">
        <v>154</v>
      </c>
      <c r="U103" s="47">
        <f t="shared" si="1"/>
        <v>920030</v>
      </c>
    </row>
    <row r="104" spans="1:21">
      <c r="A104" s="15">
        <v>115</v>
      </c>
      <c r="B104" s="45">
        <v>121128</v>
      </c>
      <c r="C104" s="13" t="s">
        <v>450</v>
      </c>
      <c r="D104" s="13" t="s">
        <v>470</v>
      </c>
      <c r="E104" s="13" t="s">
        <v>165</v>
      </c>
      <c r="F104" s="13" t="s">
        <v>151</v>
      </c>
      <c r="G104" s="44">
        <v>43831</v>
      </c>
      <c r="H104" s="44">
        <v>45412</v>
      </c>
      <c r="I104" s="13" t="s">
        <v>152</v>
      </c>
      <c r="J104" s="46" t="s">
        <v>153</v>
      </c>
      <c r="K104" s="13" t="s">
        <v>17</v>
      </c>
      <c r="M104" s="13" t="s">
        <v>154</v>
      </c>
      <c r="N104" s="13" t="s">
        <v>154</v>
      </c>
      <c r="U104" s="47">
        <f t="shared" si="1"/>
        <v>121128</v>
      </c>
    </row>
    <row r="105" spans="1:21">
      <c r="A105" s="15">
        <v>116</v>
      </c>
      <c r="B105" s="45">
        <v>919459</v>
      </c>
      <c r="C105" s="13" t="s">
        <v>450</v>
      </c>
      <c r="D105" s="13" t="s">
        <v>471</v>
      </c>
      <c r="E105" s="13" t="s">
        <v>165</v>
      </c>
      <c r="F105" s="13" t="s">
        <v>151</v>
      </c>
      <c r="G105" s="44">
        <v>43831</v>
      </c>
      <c r="H105" s="44">
        <v>48213</v>
      </c>
      <c r="I105" s="13" t="s">
        <v>152</v>
      </c>
      <c r="J105" s="46" t="s">
        <v>153</v>
      </c>
      <c r="K105" s="13" t="s">
        <v>17</v>
      </c>
      <c r="M105" s="13" t="s">
        <v>154</v>
      </c>
      <c r="N105" s="13" t="s">
        <v>154</v>
      </c>
      <c r="U105" s="47">
        <f t="shared" si="1"/>
        <v>919459</v>
      </c>
    </row>
    <row r="106" spans="1:21">
      <c r="A106" s="15">
        <v>117</v>
      </c>
      <c r="B106" s="45">
        <v>919460</v>
      </c>
      <c r="C106" s="13" t="s">
        <v>450</v>
      </c>
      <c r="D106" s="13" t="s">
        <v>472</v>
      </c>
      <c r="E106" s="13" t="s">
        <v>210</v>
      </c>
      <c r="F106" s="13" t="s">
        <v>151</v>
      </c>
      <c r="G106" s="44">
        <v>43831</v>
      </c>
      <c r="H106" s="44">
        <v>48213</v>
      </c>
      <c r="I106" s="13" t="s">
        <v>158</v>
      </c>
      <c r="J106" s="46" t="s">
        <v>473</v>
      </c>
      <c r="K106" s="13" t="s">
        <v>17</v>
      </c>
      <c r="M106" s="13" t="s">
        <v>154</v>
      </c>
      <c r="N106" s="13" t="s">
        <v>154</v>
      </c>
      <c r="U106" s="47">
        <f t="shared" si="1"/>
        <v>919460</v>
      </c>
    </row>
    <row r="107" spans="1:21">
      <c r="A107" s="15">
        <v>118</v>
      </c>
      <c r="B107" s="45">
        <v>919505</v>
      </c>
      <c r="C107" s="13" t="s">
        <v>450</v>
      </c>
      <c r="D107" s="13" t="s">
        <v>474</v>
      </c>
      <c r="E107" s="13" t="s">
        <v>210</v>
      </c>
      <c r="F107" s="13" t="s">
        <v>151</v>
      </c>
      <c r="G107" s="44">
        <v>43831</v>
      </c>
      <c r="H107" s="44">
        <v>48213</v>
      </c>
      <c r="I107" s="13" t="s">
        <v>152</v>
      </c>
      <c r="J107" s="46" t="s">
        <v>153</v>
      </c>
      <c r="K107" s="13" t="s">
        <v>17</v>
      </c>
      <c r="M107" s="13" t="s">
        <v>154</v>
      </c>
      <c r="N107" s="13" t="s">
        <v>154</v>
      </c>
      <c r="U107" s="47">
        <f t="shared" si="1"/>
        <v>919505</v>
      </c>
    </row>
    <row r="108" spans="1:21">
      <c r="A108" s="15">
        <v>119</v>
      </c>
      <c r="B108" s="45">
        <v>921743</v>
      </c>
      <c r="C108" s="13" t="s">
        <v>450</v>
      </c>
      <c r="D108" s="13" t="s">
        <v>475</v>
      </c>
      <c r="E108" s="13" t="s">
        <v>476</v>
      </c>
      <c r="F108" s="13" t="s">
        <v>151</v>
      </c>
      <c r="G108" s="44">
        <v>43831</v>
      </c>
      <c r="H108" s="44">
        <v>45657</v>
      </c>
      <c r="I108" s="13" t="s">
        <v>152</v>
      </c>
      <c r="J108" s="46" t="s">
        <v>153</v>
      </c>
      <c r="K108" s="13" t="s">
        <v>17</v>
      </c>
      <c r="M108" s="13" t="s">
        <v>154</v>
      </c>
      <c r="N108" s="13" t="s">
        <v>154</v>
      </c>
      <c r="U108" s="47">
        <f t="shared" si="1"/>
        <v>921743</v>
      </c>
    </row>
    <row r="109" spans="1:21">
      <c r="A109" s="15">
        <v>120</v>
      </c>
      <c r="B109" s="45">
        <v>919499</v>
      </c>
      <c r="C109" s="13" t="s">
        <v>450</v>
      </c>
      <c r="D109" s="13" t="s">
        <v>477</v>
      </c>
      <c r="E109" s="13" t="s">
        <v>476</v>
      </c>
      <c r="F109" s="13" t="s">
        <v>151</v>
      </c>
      <c r="G109" s="44">
        <v>43831</v>
      </c>
      <c r="H109" s="44">
        <v>48213</v>
      </c>
      <c r="I109" s="13" t="s">
        <v>158</v>
      </c>
      <c r="J109" s="46" t="s">
        <v>478</v>
      </c>
      <c r="K109" s="13" t="s">
        <v>17</v>
      </c>
      <c r="M109" s="13" t="s">
        <v>154</v>
      </c>
      <c r="N109" s="13" t="s">
        <v>154</v>
      </c>
      <c r="U109" s="47">
        <f t="shared" si="1"/>
        <v>919499</v>
      </c>
    </row>
    <row r="110" spans="1:21">
      <c r="A110" s="15">
        <v>121</v>
      </c>
      <c r="B110" s="45">
        <v>919500</v>
      </c>
      <c r="C110" s="13" t="s">
        <v>450</v>
      </c>
      <c r="D110" s="13" t="s">
        <v>479</v>
      </c>
      <c r="E110" s="13" t="s">
        <v>480</v>
      </c>
      <c r="F110" s="13" t="s">
        <v>151</v>
      </c>
      <c r="G110" s="44">
        <v>43831</v>
      </c>
      <c r="H110" s="44">
        <v>48213</v>
      </c>
      <c r="I110" s="13" t="s">
        <v>152</v>
      </c>
      <c r="J110" s="46" t="s">
        <v>153</v>
      </c>
      <c r="K110" s="13" t="s">
        <v>17</v>
      </c>
      <c r="M110" s="13" t="s">
        <v>154</v>
      </c>
      <c r="N110" s="13" t="s">
        <v>154</v>
      </c>
      <c r="U110" s="47">
        <f t="shared" si="1"/>
        <v>919500</v>
      </c>
    </row>
    <row r="111" spans="1:21">
      <c r="A111" s="15">
        <v>122</v>
      </c>
      <c r="B111" s="45">
        <v>918467</v>
      </c>
      <c r="C111" s="13" t="s">
        <v>450</v>
      </c>
      <c r="D111" s="13" t="s">
        <v>481</v>
      </c>
      <c r="E111" s="13" t="s">
        <v>480</v>
      </c>
      <c r="F111" s="13" t="s">
        <v>151</v>
      </c>
      <c r="G111" s="44">
        <v>43831</v>
      </c>
      <c r="H111" s="44">
        <v>45291</v>
      </c>
      <c r="I111" s="13" t="s">
        <v>158</v>
      </c>
      <c r="J111" s="46" t="s">
        <v>482</v>
      </c>
      <c r="K111" s="13" t="s">
        <v>17</v>
      </c>
      <c r="M111" s="13" t="s">
        <v>154</v>
      </c>
      <c r="N111" s="13" t="s">
        <v>154</v>
      </c>
      <c r="U111" s="47">
        <f t="shared" si="1"/>
        <v>918467</v>
      </c>
    </row>
    <row r="112" spans="1:21">
      <c r="A112" s="15">
        <v>123</v>
      </c>
      <c r="B112" s="45">
        <v>49334</v>
      </c>
      <c r="C112" s="13" t="s">
        <v>450</v>
      </c>
      <c r="D112" s="13" t="s">
        <v>483</v>
      </c>
      <c r="E112" s="13" t="s">
        <v>484</v>
      </c>
      <c r="F112" s="13" t="s">
        <v>151</v>
      </c>
      <c r="G112" s="44">
        <v>43831</v>
      </c>
      <c r="H112" s="44">
        <v>46387</v>
      </c>
      <c r="I112" s="13" t="s">
        <v>152</v>
      </c>
      <c r="J112" s="46" t="s">
        <v>153</v>
      </c>
      <c r="K112" s="13" t="s">
        <v>17</v>
      </c>
      <c r="M112" s="13" t="s">
        <v>154</v>
      </c>
      <c r="N112" s="13" t="s">
        <v>154</v>
      </c>
      <c r="U112" s="47">
        <f t="shared" si="1"/>
        <v>49334</v>
      </c>
    </row>
    <row r="113" spans="1:21">
      <c r="A113" s="15">
        <v>124</v>
      </c>
      <c r="B113" s="45">
        <v>125753</v>
      </c>
      <c r="C113" s="13" t="s">
        <v>450</v>
      </c>
      <c r="D113" s="13" t="s">
        <v>485</v>
      </c>
      <c r="E113" s="13" t="s">
        <v>484</v>
      </c>
      <c r="F113" s="13" t="s">
        <v>151</v>
      </c>
      <c r="G113" s="44">
        <v>44159</v>
      </c>
      <c r="H113" s="44">
        <v>48213</v>
      </c>
      <c r="I113" s="13" t="s">
        <v>152</v>
      </c>
      <c r="J113" s="46" t="s">
        <v>351</v>
      </c>
      <c r="K113" s="13" t="s">
        <v>17</v>
      </c>
      <c r="M113" s="13" t="s">
        <v>154</v>
      </c>
      <c r="N113" s="13" t="s">
        <v>154</v>
      </c>
      <c r="U113" s="47">
        <f t="shared" si="1"/>
        <v>125753</v>
      </c>
    </row>
    <row r="114" spans="1:21">
      <c r="A114" s="15">
        <v>125</v>
      </c>
      <c r="B114" s="45">
        <v>132362</v>
      </c>
      <c r="C114" s="13" t="s">
        <v>450</v>
      </c>
      <c r="D114" s="13" t="s">
        <v>486</v>
      </c>
      <c r="E114" s="13" t="s">
        <v>363</v>
      </c>
      <c r="F114" s="13" t="s">
        <v>151</v>
      </c>
      <c r="G114" s="44">
        <v>44743</v>
      </c>
      <c r="H114" s="44">
        <v>45291</v>
      </c>
      <c r="I114" s="13" t="s">
        <v>152</v>
      </c>
      <c r="J114" s="46" t="s">
        <v>153</v>
      </c>
      <c r="K114" s="13" t="s">
        <v>17</v>
      </c>
      <c r="M114" s="13" t="s">
        <v>154</v>
      </c>
      <c r="N114" s="13" t="s">
        <v>154</v>
      </c>
      <c r="U114" s="47">
        <f t="shared" si="1"/>
        <v>132362</v>
      </c>
    </row>
    <row r="115" spans="1:21">
      <c r="A115" s="15">
        <v>126</v>
      </c>
      <c r="B115" s="45">
        <v>116642</v>
      </c>
      <c r="C115" s="13" t="s">
        <v>450</v>
      </c>
      <c r="D115" s="13" t="s">
        <v>487</v>
      </c>
      <c r="E115" s="13" t="s">
        <v>363</v>
      </c>
      <c r="F115" s="13" t="s">
        <v>151</v>
      </c>
      <c r="G115" s="44">
        <v>43983</v>
      </c>
      <c r="H115" s="44">
        <v>45657</v>
      </c>
      <c r="I115" s="13" t="s">
        <v>152</v>
      </c>
      <c r="J115" s="46" t="s">
        <v>351</v>
      </c>
      <c r="K115" s="13" t="s">
        <v>17</v>
      </c>
      <c r="M115" s="13" t="s">
        <v>154</v>
      </c>
      <c r="N115" s="13" t="s">
        <v>154</v>
      </c>
      <c r="U115" s="47">
        <f t="shared" si="1"/>
        <v>116642</v>
      </c>
    </row>
    <row r="116" spans="1:21">
      <c r="A116" s="15">
        <v>127</v>
      </c>
      <c r="B116" s="45">
        <v>1494406</v>
      </c>
      <c r="C116" s="13" t="s">
        <v>450</v>
      </c>
      <c r="D116" s="13" t="s">
        <v>488</v>
      </c>
      <c r="E116" s="13" t="s">
        <v>395</v>
      </c>
      <c r="F116" s="13" t="s">
        <v>151</v>
      </c>
      <c r="G116" s="44">
        <v>45962</v>
      </c>
      <c r="H116" s="44">
        <v>46203</v>
      </c>
      <c r="I116" s="13" t="s">
        <v>152</v>
      </c>
      <c r="J116" s="46" t="s">
        <v>153</v>
      </c>
      <c r="K116" s="13" t="s">
        <v>17</v>
      </c>
      <c r="M116" s="13" t="s">
        <v>154</v>
      </c>
      <c r="N116" s="13" t="s">
        <v>154</v>
      </c>
      <c r="U116" s="47">
        <f t="shared" si="1"/>
        <v>1494406</v>
      </c>
    </row>
    <row r="117" spans="1:21">
      <c r="A117" s="15">
        <v>128</v>
      </c>
      <c r="B117" s="45">
        <v>49334</v>
      </c>
      <c r="C117" s="13" t="s">
        <v>450</v>
      </c>
      <c r="D117" s="13" t="s">
        <v>489</v>
      </c>
      <c r="E117" s="13" t="s">
        <v>395</v>
      </c>
      <c r="F117" s="13" t="s">
        <v>151</v>
      </c>
      <c r="G117" s="44">
        <v>43831</v>
      </c>
      <c r="H117" s="44">
        <v>46387</v>
      </c>
      <c r="I117" s="13" t="s">
        <v>158</v>
      </c>
      <c r="J117" s="46" t="s">
        <v>490</v>
      </c>
      <c r="K117" s="13" t="s">
        <v>17</v>
      </c>
      <c r="M117" s="13" t="s">
        <v>154</v>
      </c>
      <c r="N117" s="13" t="s">
        <v>154</v>
      </c>
      <c r="U117" s="47">
        <f t="shared" si="1"/>
        <v>49334</v>
      </c>
    </row>
    <row r="118" spans="1:21">
      <c r="A118" s="15">
        <v>129</v>
      </c>
      <c r="B118" s="45">
        <v>1370228</v>
      </c>
      <c r="C118" s="13" t="s">
        <v>450</v>
      </c>
      <c r="D118" s="13" t="s">
        <v>491</v>
      </c>
      <c r="E118" s="13" t="s">
        <v>492</v>
      </c>
      <c r="F118" s="13" t="s">
        <v>151</v>
      </c>
      <c r="G118" s="44">
        <v>45627</v>
      </c>
      <c r="H118" s="44">
        <v>46022</v>
      </c>
      <c r="I118" s="13" t="s">
        <v>152</v>
      </c>
      <c r="J118" s="46" t="s">
        <v>153</v>
      </c>
      <c r="K118" s="13" t="s">
        <v>17</v>
      </c>
      <c r="M118" s="13" t="s">
        <v>154</v>
      </c>
      <c r="N118" s="13" t="s">
        <v>154</v>
      </c>
      <c r="U118" s="47">
        <f t="shared" si="1"/>
        <v>1370228</v>
      </c>
    </row>
    <row r="119" spans="1:21">
      <c r="A119" s="15">
        <v>130</v>
      </c>
      <c r="B119" s="45">
        <v>921108</v>
      </c>
      <c r="C119" s="13" t="s">
        <v>450</v>
      </c>
      <c r="D119" s="13" t="s">
        <v>493</v>
      </c>
      <c r="E119" s="13" t="s">
        <v>492</v>
      </c>
      <c r="F119" s="13" t="s">
        <v>151</v>
      </c>
      <c r="G119" s="44">
        <v>43831</v>
      </c>
      <c r="H119" s="44">
        <v>48213</v>
      </c>
      <c r="I119" s="13" t="s">
        <v>158</v>
      </c>
      <c r="J119" s="46" t="s">
        <v>494</v>
      </c>
      <c r="K119" s="13" t="s">
        <v>17</v>
      </c>
      <c r="M119" s="13" t="s">
        <v>154</v>
      </c>
      <c r="N119" s="13" t="s">
        <v>154</v>
      </c>
      <c r="U119" s="47">
        <f t="shared" si="1"/>
        <v>921108</v>
      </c>
    </row>
    <row r="120" spans="1:21">
      <c r="A120" s="15">
        <v>131</v>
      </c>
      <c r="B120" s="45">
        <v>1296925</v>
      </c>
      <c r="C120" s="13" t="s">
        <v>450</v>
      </c>
      <c r="D120" s="13" t="s">
        <v>495</v>
      </c>
      <c r="E120" s="13" t="s">
        <v>391</v>
      </c>
      <c r="F120" s="13" t="s">
        <v>151</v>
      </c>
      <c r="G120" s="44">
        <v>45505</v>
      </c>
      <c r="H120" s="44">
        <v>46234</v>
      </c>
      <c r="I120" s="13" t="s">
        <v>152</v>
      </c>
      <c r="J120" s="46" t="s">
        <v>153</v>
      </c>
      <c r="K120" s="13" t="s">
        <v>17</v>
      </c>
      <c r="M120" s="13" t="s">
        <v>154</v>
      </c>
      <c r="N120" s="13" t="s">
        <v>154</v>
      </c>
      <c r="U120" s="47">
        <f t="shared" si="1"/>
        <v>1296925</v>
      </c>
    </row>
    <row r="121" spans="1:21">
      <c r="A121" s="15">
        <v>132</v>
      </c>
      <c r="B121" s="45">
        <v>49334</v>
      </c>
      <c r="C121" s="13" t="s">
        <v>450</v>
      </c>
      <c r="D121" s="13" t="s">
        <v>496</v>
      </c>
      <c r="E121" s="13" t="s">
        <v>391</v>
      </c>
      <c r="F121" s="13" t="s">
        <v>151</v>
      </c>
      <c r="G121" s="44">
        <v>43831</v>
      </c>
      <c r="H121" s="44">
        <v>46387</v>
      </c>
      <c r="I121" s="13" t="s">
        <v>158</v>
      </c>
      <c r="J121" s="46" t="s">
        <v>497</v>
      </c>
      <c r="K121" s="13" t="s">
        <v>17</v>
      </c>
      <c r="M121" s="13" t="s">
        <v>154</v>
      </c>
      <c r="N121" s="13" t="s">
        <v>154</v>
      </c>
      <c r="U121" s="47">
        <f t="shared" si="1"/>
        <v>49334</v>
      </c>
    </row>
    <row r="122" spans="1:21">
      <c r="A122" s="15">
        <v>133</v>
      </c>
      <c r="B122" s="45">
        <v>40830</v>
      </c>
      <c r="C122" s="13" t="s">
        <v>450</v>
      </c>
      <c r="D122" s="13" t="s">
        <v>498</v>
      </c>
      <c r="E122" s="13" t="s">
        <v>499</v>
      </c>
      <c r="F122" s="13" t="s">
        <v>151</v>
      </c>
      <c r="G122" s="44">
        <v>43831</v>
      </c>
      <c r="H122" s="44">
        <v>48213</v>
      </c>
      <c r="I122" s="13" t="s">
        <v>152</v>
      </c>
      <c r="J122" s="46" t="s">
        <v>153</v>
      </c>
      <c r="K122" s="13" t="s">
        <v>17</v>
      </c>
      <c r="M122" s="13" t="s">
        <v>154</v>
      </c>
      <c r="N122" s="13" t="s">
        <v>154</v>
      </c>
      <c r="U122" s="47">
        <f t="shared" si="1"/>
        <v>40830</v>
      </c>
    </row>
    <row r="123" spans="1:21">
      <c r="A123" s="15">
        <v>134</v>
      </c>
      <c r="B123" s="45">
        <v>115973</v>
      </c>
      <c r="C123" s="13" t="s">
        <v>450</v>
      </c>
      <c r="D123" s="13" t="s">
        <v>500</v>
      </c>
      <c r="E123" s="13" t="s">
        <v>499</v>
      </c>
      <c r="F123" s="13" t="s">
        <v>151</v>
      </c>
      <c r="G123" s="44">
        <v>43831</v>
      </c>
      <c r="H123" s="44">
        <v>45291</v>
      </c>
      <c r="I123" s="13" t="s">
        <v>158</v>
      </c>
      <c r="J123" s="46" t="s">
        <v>501</v>
      </c>
      <c r="K123" s="13" t="s">
        <v>17</v>
      </c>
      <c r="M123" s="13" t="s">
        <v>154</v>
      </c>
      <c r="N123" s="13" t="s">
        <v>154</v>
      </c>
      <c r="U123" s="47">
        <f t="shared" si="1"/>
        <v>115973</v>
      </c>
    </row>
    <row r="124" spans="1:21">
      <c r="A124" s="15">
        <v>135</v>
      </c>
      <c r="B124" s="45">
        <v>1224402</v>
      </c>
      <c r="C124" s="13" t="s">
        <v>450</v>
      </c>
      <c r="D124" s="13" t="s">
        <v>502</v>
      </c>
      <c r="E124" s="13" t="s">
        <v>503</v>
      </c>
      <c r="F124" s="13" t="s">
        <v>151</v>
      </c>
      <c r="G124" s="44">
        <v>45261</v>
      </c>
      <c r="H124" s="44">
        <v>45351</v>
      </c>
      <c r="I124" s="13" t="s">
        <v>152</v>
      </c>
      <c r="J124" s="46" t="s">
        <v>153</v>
      </c>
      <c r="K124" s="13" t="s">
        <v>17</v>
      </c>
      <c r="M124" s="13" t="s">
        <v>154</v>
      </c>
      <c r="N124" s="13" t="s">
        <v>154</v>
      </c>
      <c r="U124" s="47">
        <f t="shared" si="1"/>
        <v>1224402</v>
      </c>
    </row>
    <row r="125" spans="1:21">
      <c r="A125" s="15">
        <v>136</v>
      </c>
      <c r="B125" s="45">
        <v>922026</v>
      </c>
      <c r="C125" s="13" t="s">
        <v>450</v>
      </c>
      <c r="D125" s="13" t="s">
        <v>504</v>
      </c>
      <c r="E125" s="13" t="s">
        <v>503</v>
      </c>
      <c r="F125" s="13" t="s">
        <v>151</v>
      </c>
      <c r="G125" s="44">
        <v>44562</v>
      </c>
      <c r="H125" s="44">
        <v>45657</v>
      </c>
      <c r="I125" s="13" t="s">
        <v>158</v>
      </c>
      <c r="J125" s="46" t="s">
        <v>505</v>
      </c>
      <c r="K125" s="13" t="s">
        <v>17</v>
      </c>
      <c r="M125" s="13" t="s">
        <v>154</v>
      </c>
      <c r="N125" s="13" t="s">
        <v>154</v>
      </c>
      <c r="U125" s="47">
        <f t="shared" si="1"/>
        <v>922026</v>
      </c>
    </row>
    <row r="126" spans="1:21">
      <c r="A126" s="15">
        <v>137</v>
      </c>
      <c r="B126" s="45">
        <v>921528</v>
      </c>
      <c r="C126" s="13" t="s">
        <v>450</v>
      </c>
      <c r="D126" s="13" t="s">
        <v>506</v>
      </c>
      <c r="E126" s="13" t="s">
        <v>507</v>
      </c>
      <c r="F126" s="13" t="s">
        <v>151</v>
      </c>
      <c r="G126" s="44">
        <v>43831</v>
      </c>
      <c r="H126" s="44">
        <v>48213</v>
      </c>
      <c r="I126" s="13" t="s">
        <v>152</v>
      </c>
      <c r="J126" s="46" t="s">
        <v>153</v>
      </c>
      <c r="K126" s="13" t="s">
        <v>17</v>
      </c>
      <c r="M126" s="13" t="s">
        <v>154</v>
      </c>
      <c r="N126" s="13" t="s">
        <v>154</v>
      </c>
      <c r="U126" s="47">
        <f t="shared" si="1"/>
        <v>921528</v>
      </c>
    </row>
    <row r="127" spans="1:21">
      <c r="A127" s="15">
        <v>138</v>
      </c>
      <c r="B127" s="45">
        <v>919955</v>
      </c>
      <c r="C127" s="13" t="s">
        <v>450</v>
      </c>
      <c r="D127" s="13" t="s">
        <v>508</v>
      </c>
      <c r="E127" s="13" t="s">
        <v>509</v>
      </c>
      <c r="F127" s="13" t="s">
        <v>151</v>
      </c>
      <c r="G127" s="44">
        <v>43831</v>
      </c>
      <c r="H127" s="44">
        <v>48213</v>
      </c>
      <c r="I127" s="13" t="s">
        <v>152</v>
      </c>
      <c r="J127" s="46" t="s">
        <v>153</v>
      </c>
      <c r="K127" s="13" t="s">
        <v>17</v>
      </c>
      <c r="M127" s="13" t="s">
        <v>154</v>
      </c>
      <c r="N127" s="13" t="s">
        <v>154</v>
      </c>
      <c r="U127" s="47">
        <f t="shared" si="1"/>
        <v>919955</v>
      </c>
    </row>
    <row r="128" spans="1:21">
      <c r="A128" s="15">
        <v>139</v>
      </c>
      <c r="B128" s="45">
        <v>131755</v>
      </c>
      <c r="C128" s="13" t="s">
        <v>450</v>
      </c>
      <c r="D128" s="13" t="s">
        <v>510</v>
      </c>
      <c r="E128" s="13" t="s">
        <v>509</v>
      </c>
      <c r="F128" s="13" t="s">
        <v>151</v>
      </c>
      <c r="G128" s="44">
        <v>44682</v>
      </c>
      <c r="H128" s="44">
        <v>45291</v>
      </c>
      <c r="I128" s="13" t="s">
        <v>158</v>
      </c>
      <c r="J128" s="46" t="s">
        <v>511</v>
      </c>
      <c r="K128" s="13" t="s">
        <v>17</v>
      </c>
      <c r="M128" s="13" t="s">
        <v>154</v>
      </c>
      <c r="N128" s="13" t="s">
        <v>154</v>
      </c>
      <c r="U128" s="47">
        <f t="shared" si="1"/>
        <v>131755</v>
      </c>
    </row>
    <row r="129" spans="1:21">
      <c r="A129" s="15">
        <v>140</v>
      </c>
      <c r="B129" s="45">
        <v>106652</v>
      </c>
      <c r="C129" s="13" t="s">
        <v>450</v>
      </c>
      <c r="D129" s="13" t="s">
        <v>512</v>
      </c>
      <c r="E129" s="13" t="s">
        <v>513</v>
      </c>
      <c r="F129" s="13" t="s">
        <v>151</v>
      </c>
      <c r="G129" s="44">
        <v>43831</v>
      </c>
      <c r="H129" s="44">
        <v>48213</v>
      </c>
      <c r="I129" s="13" t="s">
        <v>152</v>
      </c>
      <c r="J129" s="46" t="s">
        <v>153</v>
      </c>
      <c r="K129" s="13" t="s">
        <v>17</v>
      </c>
      <c r="M129" s="13" t="s">
        <v>154</v>
      </c>
      <c r="N129" s="13" t="s">
        <v>154</v>
      </c>
      <c r="U129" s="47">
        <f t="shared" si="1"/>
        <v>106652</v>
      </c>
    </row>
    <row r="130" spans="1:21">
      <c r="A130" s="15">
        <v>141</v>
      </c>
      <c r="B130" s="45">
        <v>47395</v>
      </c>
      <c r="C130" s="13" t="s">
        <v>450</v>
      </c>
      <c r="D130" s="13" t="s">
        <v>514</v>
      </c>
      <c r="E130" s="13" t="s">
        <v>515</v>
      </c>
      <c r="F130" s="13" t="s">
        <v>151</v>
      </c>
      <c r="G130" s="44">
        <v>43831</v>
      </c>
      <c r="H130" s="44">
        <v>48213</v>
      </c>
      <c r="I130" s="13" t="s">
        <v>152</v>
      </c>
      <c r="J130" s="46" t="s">
        <v>153</v>
      </c>
      <c r="K130" s="13" t="s">
        <v>17</v>
      </c>
      <c r="M130" s="13" t="s">
        <v>154</v>
      </c>
      <c r="N130" s="13" t="s">
        <v>154</v>
      </c>
      <c r="U130" s="47">
        <f t="shared" si="1"/>
        <v>47395</v>
      </c>
    </row>
    <row r="131" spans="1:21">
      <c r="A131" s="15">
        <v>142</v>
      </c>
      <c r="B131" s="45">
        <v>1221300</v>
      </c>
      <c r="C131" s="13" t="s">
        <v>450</v>
      </c>
      <c r="D131" s="13" t="s">
        <v>516</v>
      </c>
      <c r="E131" s="13" t="s">
        <v>517</v>
      </c>
      <c r="F131" s="13" t="s">
        <v>151</v>
      </c>
      <c r="G131" s="44">
        <v>45292</v>
      </c>
      <c r="H131" s="44">
        <v>45657</v>
      </c>
      <c r="I131" s="13" t="s">
        <v>152</v>
      </c>
      <c r="J131" s="46" t="s">
        <v>153</v>
      </c>
      <c r="K131" s="13" t="s">
        <v>17</v>
      </c>
      <c r="M131" s="13" t="s">
        <v>154</v>
      </c>
      <c r="N131" s="13" t="s">
        <v>154</v>
      </c>
      <c r="U131" s="47">
        <f t="shared" ref="U131:U194" si="2">TRUNC(B131)</f>
        <v>1221300</v>
      </c>
    </row>
    <row r="132" spans="1:21">
      <c r="A132" s="15">
        <v>143</v>
      </c>
      <c r="B132" s="45">
        <v>126049</v>
      </c>
      <c r="C132" s="13" t="s">
        <v>450</v>
      </c>
      <c r="D132" s="13" t="s">
        <v>518</v>
      </c>
      <c r="E132" s="13" t="s">
        <v>517</v>
      </c>
      <c r="F132" s="13" t="s">
        <v>151</v>
      </c>
      <c r="G132" s="44">
        <v>44378</v>
      </c>
      <c r="H132" s="44">
        <v>45657</v>
      </c>
      <c r="I132" s="13" t="s">
        <v>158</v>
      </c>
      <c r="J132" s="46" t="s">
        <v>519</v>
      </c>
      <c r="K132" s="13" t="s">
        <v>17</v>
      </c>
      <c r="M132" s="13" t="s">
        <v>154</v>
      </c>
      <c r="N132" s="13" t="s">
        <v>154</v>
      </c>
      <c r="U132" s="47">
        <f t="shared" si="2"/>
        <v>126049</v>
      </c>
    </row>
    <row r="133" spans="1:21">
      <c r="A133" s="15">
        <v>144</v>
      </c>
      <c r="B133" s="45">
        <v>77024</v>
      </c>
      <c r="C133" s="13" t="s">
        <v>450</v>
      </c>
      <c r="D133" s="13" t="s">
        <v>520</v>
      </c>
      <c r="E133" s="13" t="s">
        <v>521</v>
      </c>
      <c r="F133" s="13" t="s">
        <v>151</v>
      </c>
      <c r="G133" s="44">
        <v>43831</v>
      </c>
      <c r="H133" s="44">
        <v>45291</v>
      </c>
      <c r="I133" s="13" t="s">
        <v>152</v>
      </c>
      <c r="J133" s="46" t="s">
        <v>153</v>
      </c>
      <c r="K133" s="13" t="s">
        <v>17</v>
      </c>
      <c r="M133" s="13" t="s">
        <v>154</v>
      </c>
      <c r="N133" s="13" t="s">
        <v>154</v>
      </c>
      <c r="U133" s="47">
        <f t="shared" si="2"/>
        <v>77024</v>
      </c>
    </row>
    <row r="134" spans="1:21">
      <c r="A134" s="15">
        <v>145</v>
      </c>
      <c r="B134" s="45">
        <v>1224272</v>
      </c>
      <c r="C134" s="13" t="s">
        <v>450</v>
      </c>
      <c r="D134" s="13" t="s">
        <v>522</v>
      </c>
      <c r="E134" s="13" t="s">
        <v>521</v>
      </c>
      <c r="F134" s="13" t="s">
        <v>151</v>
      </c>
      <c r="G134" s="44">
        <v>45292</v>
      </c>
      <c r="H134" s="44">
        <v>45657</v>
      </c>
      <c r="I134" s="13" t="s">
        <v>152</v>
      </c>
      <c r="J134" s="46" t="s">
        <v>351</v>
      </c>
      <c r="K134" s="13" t="s">
        <v>17</v>
      </c>
      <c r="M134" s="13" t="s">
        <v>154</v>
      </c>
      <c r="N134" s="13" t="s">
        <v>154</v>
      </c>
      <c r="U134" s="47">
        <f t="shared" si="2"/>
        <v>1224272</v>
      </c>
    </row>
    <row r="135" spans="1:21">
      <c r="A135" s="15">
        <v>146</v>
      </c>
      <c r="B135" s="45">
        <v>102675</v>
      </c>
      <c r="C135" s="13" t="s">
        <v>450</v>
      </c>
      <c r="D135" s="13" t="s">
        <v>523</v>
      </c>
      <c r="E135" s="13" t="s">
        <v>524</v>
      </c>
      <c r="F135" s="13" t="s">
        <v>151</v>
      </c>
      <c r="G135" s="44">
        <v>44138</v>
      </c>
      <c r="H135" s="44">
        <v>45291</v>
      </c>
      <c r="I135" s="13" t="s">
        <v>152</v>
      </c>
      <c r="J135" s="46" t="s">
        <v>153</v>
      </c>
      <c r="K135" s="13" t="s">
        <v>17</v>
      </c>
      <c r="M135" s="13" t="s">
        <v>154</v>
      </c>
      <c r="N135" s="13" t="s">
        <v>154</v>
      </c>
      <c r="U135" s="47">
        <f t="shared" si="2"/>
        <v>102675</v>
      </c>
    </row>
    <row r="136" spans="1:21">
      <c r="A136" s="15">
        <v>147</v>
      </c>
      <c r="B136" s="45">
        <v>115973</v>
      </c>
      <c r="C136" s="13" t="s">
        <v>450</v>
      </c>
      <c r="D136" s="13" t="s">
        <v>525</v>
      </c>
      <c r="E136" s="13" t="s">
        <v>157</v>
      </c>
      <c r="F136" s="13" t="s">
        <v>151</v>
      </c>
      <c r="G136" s="44">
        <v>43831</v>
      </c>
      <c r="H136" s="44">
        <v>45291</v>
      </c>
      <c r="I136" s="13" t="s">
        <v>152</v>
      </c>
      <c r="J136" s="46" t="s">
        <v>153</v>
      </c>
      <c r="K136" s="13" t="s">
        <v>17</v>
      </c>
      <c r="M136" s="13" t="s">
        <v>154</v>
      </c>
      <c r="N136" s="13" t="s">
        <v>154</v>
      </c>
      <c r="U136" s="47">
        <f t="shared" si="2"/>
        <v>115973</v>
      </c>
    </row>
    <row r="137" spans="1:21">
      <c r="A137" s="15">
        <v>148</v>
      </c>
      <c r="B137" s="45">
        <v>111470</v>
      </c>
      <c r="C137" s="13" t="s">
        <v>450</v>
      </c>
      <c r="D137" s="13" t="s">
        <v>526</v>
      </c>
      <c r="E137" s="13" t="s">
        <v>339</v>
      </c>
      <c r="F137" s="13" t="s">
        <v>151</v>
      </c>
      <c r="G137" s="44">
        <v>43831</v>
      </c>
      <c r="H137" s="44">
        <v>45291</v>
      </c>
      <c r="I137" s="13" t="s">
        <v>152</v>
      </c>
      <c r="J137" s="46" t="s">
        <v>153</v>
      </c>
      <c r="K137" s="13" t="s">
        <v>17</v>
      </c>
      <c r="M137" s="13" t="s">
        <v>154</v>
      </c>
      <c r="N137" s="13" t="s">
        <v>154</v>
      </c>
      <c r="U137" s="47">
        <f t="shared" si="2"/>
        <v>111470</v>
      </c>
    </row>
    <row r="138" spans="1:21">
      <c r="A138" s="15">
        <v>149</v>
      </c>
      <c r="B138" s="45">
        <v>49334</v>
      </c>
      <c r="C138" s="13" t="s">
        <v>450</v>
      </c>
      <c r="D138" s="13" t="s">
        <v>527</v>
      </c>
      <c r="E138" s="13" t="s">
        <v>339</v>
      </c>
      <c r="F138" s="13" t="s">
        <v>151</v>
      </c>
      <c r="G138" s="44">
        <v>43831</v>
      </c>
      <c r="H138" s="44">
        <v>46387</v>
      </c>
      <c r="I138" s="13" t="s">
        <v>158</v>
      </c>
      <c r="J138" s="46" t="s">
        <v>528</v>
      </c>
      <c r="K138" s="13" t="s">
        <v>17</v>
      </c>
      <c r="M138" s="13" t="s">
        <v>154</v>
      </c>
      <c r="N138" s="13" t="s">
        <v>154</v>
      </c>
      <c r="U138" s="47">
        <f t="shared" si="2"/>
        <v>49334</v>
      </c>
    </row>
    <row r="139" spans="1:21">
      <c r="A139" s="15">
        <v>150</v>
      </c>
      <c r="B139" s="45">
        <v>103834</v>
      </c>
      <c r="C139" s="13" t="s">
        <v>450</v>
      </c>
      <c r="D139" s="13" t="s">
        <v>529</v>
      </c>
      <c r="E139" s="13" t="s">
        <v>530</v>
      </c>
      <c r="F139" s="13" t="s">
        <v>151</v>
      </c>
      <c r="G139" s="44">
        <v>43831</v>
      </c>
      <c r="H139" s="44">
        <v>48213</v>
      </c>
      <c r="I139" s="13" t="s">
        <v>152</v>
      </c>
      <c r="J139" s="46" t="s">
        <v>153</v>
      </c>
      <c r="K139" s="13" t="s">
        <v>17</v>
      </c>
      <c r="M139" s="13" t="s">
        <v>154</v>
      </c>
      <c r="N139" s="13" t="s">
        <v>154</v>
      </c>
      <c r="U139" s="47">
        <f t="shared" si="2"/>
        <v>103834</v>
      </c>
    </row>
    <row r="140" spans="1:21">
      <c r="A140" s="15">
        <v>151</v>
      </c>
      <c r="B140" s="45">
        <v>1537414</v>
      </c>
      <c r="C140" s="13" t="s">
        <v>450</v>
      </c>
      <c r="D140" s="13" t="s">
        <v>531</v>
      </c>
      <c r="E140" s="13" t="s">
        <v>530</v>
      </c>
      <c r="F140" s="13" t="s">
        <v>151</v>
      </c>
      <c r="G140" s="44">
        <v>45658</v>
      </c>
      <c r="H140" s="44">
        <v>46022</v>
      </c>
      <c r="I140" s="13" t="s">
        <v>158</v>
      </c>
      <c r="J140" s="46" t="s">
        <v>532</v>
      </c>
      <c r="K140" s="13" t="s">
        <v>17</v>
      </c>
      <c r="M140" s="13" t="s">
        <v>154</v>
      </c>
      <c r="N140" s="13" t="s">
        <v>154</v>
      </c>
      <c r="U140" s="47">
        <f t="shared" si="2"/>
        <v>1537414</v>
      </c>
    </row>
    <row r="141" spans="1:21">
      <c r="A141" s="15">
        <v>152</v>
      </c>
      <c r="B141" s="45">
        <v>110314</v>
      </c>
      <c r="C141" s="13" t="s">
        <v>450</v>
      </c>
      <c r="D141" s="13" t="s">
        <v>533</v>
      </c>
      <c r="E141" s="13" t="s">
        <v>534</v>
      </c>
      <c r="F141" s="13" t="s">
        <v>151</v>
      </c>
      <c r="G141" s="44">
        <v>44743</v>
      </c>
      <c r="H141" s="44">
        <v>45838</v>
      </c>
      <c r="I141" s="13" t="s">
        <v>152</v>
      </c>
      <c r="J141" s="46" t="s">
        <v>153</v>
      </c>
      <c r="K141" s="13" t="s">
        <v>17</v>
      </c>
      <c r="M141" s="13" t="s">
        <v>154</v>
      </c>
      <c r="N141" s="13" t="s">
        <v>154</v>
      </c>
      <c r="U141" s="47">
        <f t="shared" si="2"/>
        <v>110314</v>
      </c>
    </row>
    <row r="142" spans="1:21">
      <c r="A142" s="15">
        <v>153</v>
      </c>
      <c r="B142" s="45">
        <v>102746</v>
      </c>
      <c r="C142" s="13" t="s">
        <v>450</v>
      </c>
      <c r="D142" s="13" t="s">
        <v>535</v>
      </c>
      <c r="E142" s="13" t="s">
        <v>289</v>
      </c>
      <c r="F142" s="13" t="s">
        <v>151</v>
      </c>
      <c r="G142" s="44">
        <v>43831</v>
      </c>
      <c r="H142" s="44">
        <v>48213</v>
      </c>
      <c r="I142" s="13" t="s">
        <v>152</v>
      </c>
      <c r="J142" s="46" t="s">
        <v>153</v>
      </c>
      <c r="K142" s="13" t="s">
        <v>17</v>
      </c>
      <c r="M142" s="13" t="s">
        <v>154</v>
      </c>
      <c r="N142" s="13" t="s">
        <v>154</v>
      </c>
      <c r="U142" s="47">
        <f t="shared" si="2"/>
        <v>102746</v>
      </c>
    </row>
    <row r="143" spans="1:21">
      <c r="A143" s="15">
        <v>154</v>
      </c>
      <c r="B143" s="45">
        <v>125204</v>
      </c>
      <c r="C143" s="13" t="s">
        <v>450</v>
      </c>
      <c r="D143" s="13" t="s">
        <v>536</v>
      </c>
      <c r="E143" s="13" t="s">
        <v>289</v>
      </c>
      <c r="F143" s="13" t="s">
        <v>151</v>
      </c>
      <c r="G143" s="44">
        <v>44159</v>
      </c>
      <c r="H143" s="44">
        <v>48213</v>
      </c>
      <c r="I143" s="13" t="s">
        <v>158</v>
      </c>
      <c r="J143" s="46" t="s">
        <v>537</v>
      </c>
      <c r="K143" s="13" t="s">
        <v>17</v>
      </c>
      <c r="M143" s="13" t="s">
        <v>154</v>
      </c>
      <c r="N143" s="13" t="s">
        <v>154</v>
      </c>
      <c r="U143" s="47">
        <f t="shared" si="2"/>
        <v>125204</v>
      </c>
    </row>
    <row r="144" spans="1:21">
      <c r="A144" s="15">
        <v>155</v>
      </c>
      <c r="B144" s="45">
        <v>919464</v>
      </c>
      <c r="C144" s="13" t="s">
        <v>450</v>
      </c>
      <c r="D144" s="13" t="s">
        <v>538</v>
      </c>
      <c r="E144" s="13" t="s">
        <v>539</v>
      </c>
      <c r="F144" s="13" t="s">
        <v>151</v>
      </c>
      <c r="G144" s="44">
        <v>43831</v>
      </c>
      <c r="H144" s="44">
        <v>48213</v>
      </c>
      <c r="I144" s="13" t="s">
        <v>158</v>
      </c>
      <c r="J144" s="46" t="s">
        <v>540</v>
      </c>
      <c r="K144" s="13" t="s">
        <v>17</v>
      </c>
      <c r="M144" s="13" t="s">
        <v>154</v>
      </c>
      <c r="N144" s="13" t="s">
        <v>154</v>
      </c>
      <c r="U144" s="47">
        <f t="shared" si="2"/>
        <v>919464</v>
      </c>
    </row>
    <row r="145" spans="1:21">
      <c r="A145" s="15">
        <v>156</v>
      </c>
      <c r="B145" s="45">
        <v>99288</v>
      </c>
      <c r="C145" s="13" t="s">
        <v>450</v>
      </c>
      <c r="D145" s="13" t="s">
        <v>541</v>
      </c>
      <c r="E145" s="13" t="s">
        <v>542</v>
      </c>
      <c r="F145" s="13" t="s">
        <v>151</v>
      </c>
      <c r="G145" s="44">
        <v>43831</v>
      </c>
      <c r="H145" s="44">
        <v>48213</v>
      </c>
      <c r="I145" s="13" t="s">
        <v>158</v>
      </c>
      <c r="J145" s="46" t="s">
        <v>543</v>
      </c>
      <c r="K145" s="13" t="s">
        <v>17</v>
      </c>
      <c r="M145" s="13" t="s">
        <v>154</v>
      </c>
      <c r="N145" s="13" t="s">
        <v>154</v>
      </c>
      <c r="U145" s="47">
        <f t="shared" si="2"/>
        <v>99288</v>
      </c>
    </row>
    <row r="146" spans="1:21">
      <c r="A146" s="15">
        <v>157</v>
      </c>
      <c r="B146" s="45">
        <v>1224574</v>
      </c>
      <c r="C146" s="13" t="s">
        <v>450</v>
      </c>
      <c r="D146" s="13" t="s">
        <v>544</v>
      </c>
      <c r="E146" s="13" t="s">
        <v>545</v>
      </c>
      <c r="F146" s="13" t="s">
        <v>151</v>
      </c>
      <c r="G146" s="44">
        <v>45292</v>
      </c>
      <c r="H146" s="44">
        <v>46022</v>
      </c>
      <c r="I146" s="13" t="s">
        <v>158</v>
      </c>
      <c r="J146" s="46" t="s">
        <v>546</v>
      </c>
      <c r="K146" s="13" t="s">
        <v>17</v>
      </c>
      <c r="M146" s="13" t="s">
        <v>154</v>
      </c>
      <c r="N146" s="13" t="s">
        <v>154</v>
      </c>
      <c r="U146" s="47">
        <f t="shared" si="2"/>
        <v>1224574</v>
      </c>
    </row>
    <row r="147" spans="1:21">
      <c r="A147" s="15">
        <v>158</v>
      </c>
      <c r="B147" s="45">
        <v>119089</v>
      </c>
      <c r="C147" s="13" t="s">
        <v>450</v>
      </c>
      <c r="D147" s="13" t="s">
        <v>547</v>
      </c>
      <c r="E147" s="13" t="s">
        <v>548</v>
      </c>
      <c r="F147" s="13" t="s">
        <v>151</v>
      </c>
      <c r="G147" s="44">
        <v>43831</v>
      </c>
      <c r="H147" s="44">
        <v>45291</v>
      </c>
      <c r="I147" s="13" t="s">
        <v>152</v>
      </c>
      <c r="J147" s="46" t="s">
        <v>153</v>
      </c>
      <c r="K147" s="13" t="s">
        <v>17</v>
      </c>
      <c r="M147" s="13" t="s">
        <v>154</v>
      </c>
      <c r="N147" s="13" t="s">
        <v>154</v>
      </c>
      <c r="U147" s="47">
        <f t="shared" si="2"/>
        <v>119089</v>
      </c>
    </row>
    <row r="148" spans="1:21">
      <c r="A148" s="15">
        <v>159</v>
      </c>
      <c r="B148" s="45">
        <v>1376245</v>
      </c>
      <c r="C148" s="13" t="s">
        <v>450</v>
      </c>
      <c r="D148" s="13" t="s">
        <v>549</v>
      </c>
      <c r="E148" s="13" t="s">
        <v>548</v>
      </c>
      <c r="F148" s="13" t="s">
        <v>151</v>
      </c>
      <c r="G148" s="44">
        <v>45292</v>
      </c>
      <c r="H148" s="44">
        <v>46022</v>
      </c>
      <c r="I148" s="13" t="s">
        <v>158</v>
      </c>
      <c r="J148" s="46" t="s">
        <v>550</v>
      </c>
      <c r="K148" s="13" t="s">
        <v>17</v>
      </c>
      <c r="M148" s="13" t="s">
        <v>154</v>
      </c>
      <c r="N148" s="13" t="s">
        <v>154</v>
      </c>
      <c r="U148" s="47">
        <f t="shared" si="2"/>
        <v>1376245</v>
      </c>
    </row>
    <row r="149" spans="1:21">
      <c r="A149" s="15">
        <v>160</v>
      </c>
      <c r="B149" s="45">
        <v>922581</v>
      </c>
      <c r="C149" s="13" t="s">
        <v>450</v>
      </c>
      <c r="D149" s="13" t="s">
        <v>551</v>
      </c>
      <c r="E149" s="13" t="s">
        <v>552</v>
      </c>
      <c r="F149" s="13" t="s">
        <v>151</v>
      </c>
      <c r="G149" s="44">
        <v>43831</v>
      </c>
      <c r="H149" s="44">
        <v>45291</v>
      </c>
      <c r="I149" s="13" t="s">
        <v>158</v>
      </c>
      <c r="J149" s="46" t="s">
        <v>553</v>
      </c>
      <c r="K149" s="13" t="s">
        <v>17</v>
      </c>
      <c r="M149" s="13" t="s">
        <v>154</v>
      </c>
      <c r="N149" s="13" t="s">
        <v>154</v>
      </c>
      <c r="U149" s="47">
        <f t="shared" si="2"/>
        <v>922581</v>
      </c>
    </row>
    <row r="150" spans="1:21">
      <c r="A150" s="15">
        <v>161</v>
      </c>
      <c r="B150" s="45">
        <v>102751</v>
      </c>
      <c r="C150" s="13" t="s">
        <v>554</v>
      </c>
      <c r="D150" s="13" t="s">
        <v>555</v>
      </c>
      <c r="E150" s="13" t="s">
        <v>165</v>
      </c>
      <c r="F150" s="13" t="s">
        <v>151</v>
      </c>
      <c r="G150" s="44">
        <v>43831</v>
      </c>
      <c r="H150" s="44">
        <v>45291</v>
      </c>
      <c r="I150" s="13" t="s">
        <v>152</v>
      </c>
      <c r="J150" s="46" t="s">
        <v>153</v>
      </c>
      <c r="K150" s="13" t="s">
        <v>199</v>
      </c>
      <c r="M150" s="13" t="s">
        <v>154</v>
      </c>
      <c r="N150" s="13" t="s">
        <v>154</v>
      </c>
      <c r="U150" s="47">
        <f t="shared" si="2"/>
        <v>102751</v>
      </c>
    </row>
    <row r="151" spans="1:21">
      <c r="A151" s="15">
        <v>162</v>
      </c>
      <c r="B151" s="45">
        <v>20377</v>
      </c>
      <c r="C151" s="13" t="s">
        <v>554</v>
      </c>
      <c r="D151" s="13" t="s">
        <v>556</v>
      </c>
      <c r="E151" s="13" t="s">
        <v>165</v>
      </c>
      <c r="F151" s="13" t="s">
        <v>151</v>
      </c>
      <c r="G151" s="44">
        <v>43831</v>
      </c>
      <c r="H151" s="44">
        <v>48213</v>
      </c>
      <c r="I151" s="13" t="s">
        <v>152</v>
      </c>
      <c r="J151" s="46" t="s">
        <v>153</v>
      </c>
      <c r="K151" s="13" t="s">
        <v>199</v>
      </c>
      <c r="M151" s="13" t="s">
        <v>154</v>
      </c>
      <c r="N151" s="13" t="s">
        <v>154</v>
      </c>
      <c r="U151" s="47">
        <f t="shared" si="2"/>
        <v>20377</v>
      </c>
    </row>
    <row r="152" spans="1:21">
      <c r="A152" s="15">
        <v>163</v>
      </c>
      <c r="B152" s="45">
        <v>108580</v>
      </c>
      <c r="C152" s="13" t="s">
        <v>554</v>
      </c>
      <c r="D152" s="13" t="s">
        <v>557</v>
      </c>
      <c r="E152" s="13" t="s">
        <v>276</v>
      </c>
      <c r="F152" s="13" t="s">
        <v>151</v>
      </c>
      <c r="G152" s="44">
        <v>44562</v>
      </c>
      <c r="H152" s="44">
        <v>45657</v>
      </c>
      <c r="I152" s="13" t="s">
        <v>152</v>
      </c>
      <c r="J152" s="46" t="s">
        <v>153</v>
      </c>
      <c r="K152" s="13" t="s">
        <v>199</v>
      </c>
      <c r="M152" s="13" t="s">
        <v>154</v>
      </c>
      <c r="N152" s="13" t="s">
        <v>154</v>
      </c>
      <c r="U152" s="47">
        <f t="shared" si="2"/>
        <v>108580</v>
      </c>
    </row>
    <row r="153" spans="1:21">
      <c r="A153" s="15">
        <v>164</v>
      </c>
      <c r="B153" s="45">
        <v>49333</v>
      </c>
      <c r="C153" s="13" t="s">
        <v>554</v>
      </c>
      <c r="D153" s="13" t="s">
        <v>558</v>
      </c>
      <c r="E153" s="13" t="s">
        <v>276</v>
      </c>
      <c r="F153" s="13" t="s">
        <v>151</v>
      </c>
      <c r="G153" s="44">
        <v>43831</v>
      </c>
      <c r="H153" s="44">
        <v>46387</v>
      </c>
      <c r="I153" s="13" t="s">
        <v>152</v>
      </c>
      <c r="J153" s="46" t="s">
        <v>559</v>
      </c>
      <c r="K153" s="13" t="s">
        <v>199</v>
      </c>
      <c r="M153" s="13" t="s">
        <v>154</v>
      </c>
      <c r="N153" s="13" t="s">
        <v>154</v>
      </c>
      <c r="U153" s="47">
        <f t="shared" si="2"/>
        <v>49333</v>
      </c>
    </row>
    <row r="154" spans="1:21">
      <c r="A154" s="15">
        <v>165</v>
      </c>
      <c r="B154" s="45">
        <v>49334</v>
      </c>
      <c r="C154" s="13" t="s">
        <v>560</v>
      </c>
      <c r="D154" s="13" t="s">
        <v>561</v>
      </c>
      <c r="E154" s="13" t="s">
        <v>165</v>
      </c>
      <c r="F154" s="13" t="s">
        <v>151</v>
      </c>
      <c r="G154" s="44">
        <v>43831</v>
      </c>
      <c r="H154" s="44">
        <v>46387</v>
      </c>
      <c r="I154" s="13" t="s">
        <v>152</v>
      </c>
      <c r="J154" s="46" t="s">
        <v>153</v>
      </c>
      <c r="K154" s="13" t="s">
        <v>26</v>
      </c>
      <c r="M154" s="13" t="s">
        <v>154</v>
      </c>
      <c r="N154" s="13" t="s">
        <v>154</v>
      </c>
      <c r="U154" s="47">
        <f t="shared" si="2"/>
        <v>49334</v>
      </c>
    </row>
    <row r="155" spans="1:21">
      <c r="A155" s="15">
        <v>166</v>
      </c>
      <c r="B155" s="45">
        <v>49334</v>
      </c>
      <c r="C155" s="13" t="s">
        <v>562</v>
      </c>
      <c r="D155" s="13" t="s">
        <v>563</v>
      </c>
      <c r="E155" s="13" t="s">
        <v>564</v>
      </c>
      <c r="F155" s="13" t="s">
        <v>151</v>
      </c>
      <c r="G155" s="44">
        <v>43831</v>
      </c>
      <c r="H155" s="44">
        <v>46387</v>
      </c>
      <c r="I155" s="13" t="s">
        <v>152</v>
      </c>
      <c r="J155" s="46" t="s">
        <v>153</v>
      </c>
      <c r="K155" s="13" t="s">
        <v>28</v>
      </c>
      <c r="M155" s="13" t="s">
        <v>154</v>
      </c>
      <c r="N155" s="13" t="s">
        <v>154</v>
      </c>
      <c r="U155" s="47">
        <f t="shared" si="2"/>
        <v>49334</v>
      </c>
    </row>
    <row r="156" spans="1:21">
      <c r="A156" s="15">
        <v>167</v>
      </c>
      <c r="B156" s="45">
        <v>920029</v>
      </c>
      <c r="C156" s="13" t="s">
        <v>562</v>
      </c>
      <c r="D156" s="13" t="s">
        <v>565</v>
      </c>
      <c r="E156" s="13" t="s">
        <v>165</v>
      </c>
      <c r="F156" s="13" t="s">
        <v>151</v>
      </c>
      <c r="G156" s="44">
        <v>43831</v>
      </c>
      <c r="H156" s="44">
        <v>48213</v>
      </c>
      <c r="I156" s="13" t="s">
        <v>158</v>
      </c>
      <c r="J156" s="46" t="s">
        <v>566</v>
      </c>
      <c r="K156" s="13" t="s">
        <v>28</v>
      </c>
      <c r="M156" s="13" t="s">
        <v>154</v>
      </c>
      <c r="N156" s="13" t="s">
        <v>154</v>
      </c>
      <c r="U156" s="47">
        <f t="shared" si="2"/>
        <v>920029</v>
      </c>
    </row>
    <row r="157" spans="1:21">
      <c r="A157" s="15">
        <v>168</v>
      </c>
      <c r="B157" s="45">
        <v>87068</v>
      </c>
      <c r="C157" s="13" t="s">
        <v>562</v>
      </c>
      <c r="D157" s="13" t="s">
        <v>567</v>
      </c>
      <c r="E157" s="13" t="s">
        <v>165</v>
      </c>
      <c r="F157" s="13" t="s">
        <v>151</v>
      </c>
      <c r="G157" s="44">
        <v>43831</v>
      </c>
      <c r="H157" s="44">
        <v>48213</v>
      </c>
      <c r="I157" s="13" t="s">
        <v>152</v>
      </c>
      <c r="J157" s="46" t="s">
        <v>568</v>
      </c>
      <c r="K157" s="13" t="s">
        <v>28</v>
      </c>
      <c r="M157" s="13" t="s">
        <v>154</v>
      </c>
      <c r="N157" s="13" t="s">
        <v>154</v>
      </c>
      <c r="U157" s="47">
        <f t="shared" si="2"/>
        <v>87068</v>
      </c>
    </row>
    <row r="158" spans="1:21">
      <c r="A158" s="15">
        <v>169</v>
      </c>
      <c r="B158" s="45">
        <v>81280</v>
      </c>
      <c r="C158" s="13" t="s">
        <v>562</v>
      </c>
      <c r="D158" s="13" t="s">
        <v>569</v>
      </c>
      <c r="E158" s="13" t="s">
        <v>395</v>
      </c>
      <c r="F158" s="13" t="s">
        <v>151</v>
      </c>
      <c r="G158" s="44">
        <v>43831</v>
      </c>
      <c r="H158" s="44">
        <v>45657</v>
      </c>
      <c r="I158" s="13" t="s">
        <v>152</v>
      </c>
      <c r="J158" s="46" t="s">
        <v>153</v>
      </c>
      <c r="K158" s="13" t="s">
        <v>28</v>
      </c>
      <c r="M158" s="13" t="s">
        <v>154</v>
      </c>
      <c r="N158" s="13" t="s">
        <v>154</v>
      </c>
      <c r="U158" s="47">
        <f t="shared" si="2"/>
        <v>81280</v>
      </c>
    </row>
    <row r="159" spans="1:21">
      <c r="A159" s="15">
        <v>170</v>
      </c>
      <c r="B159" s="45">
        <v>919465</v>
      </c>
      <c r="C159" s="13" t="s">
        <v>562</v>
      </c>
      <c r="D159" s="13" t="s">
        <v>570</v>
      </c>
      <c r="E159" s="13" t="s">
        <v>276</v>
      </c>
      <c r="F159" s="13" t="s">
        <v>151</v>
      </c>
      <c r="G159" s="44">
        <v>43831</v>
      </c>
      <c r="H159" s="44">
        <v>48213</v>
      </c>
      <c r="I159" s="13" t="s">
        <v>152</v>
      </c>
      <c r="J159" s="46" t="s">
        <v>571</v>
      </c>
      <c r="K159" s="13" t="s">
        <v>28</v>
      </c>
      <c r="M159" s="13" t="s">
        <v>154</v>
      </c>
      <c r="N159" s="13" t="s">
        <v>154</v>
      </c>
      <c r="U159" s="47">
        <f t="shared" si="2"/>
        <v>919465</v>
      </c>
    </row>
    <row r="160" spans="1:21">
      <c r="A160" s="15">
        <v>171</v>
      </c>
      <c r="B160" s="45">
        <v>127421</v>
      </c>
      <c r="C160" s="13" t="s">
        <v>562</v>
      </c>
      <c r="D160" s="13" t="s">
        <v>572</v>
      </c>
      <c r="E160" s="13" t="s">
        <v>261</v>
      </c>
      <c r="F160" s="13" t="s">
        <v>151</v>
      </c>
      <c r="G160" s="44">
        <v>44348</v>
      </c>
      <c r="H160" s="44">
        <v>48213</v>
      </c>
      <c r="I160" s="13" t="s">
        <v>152</v>
      </c>
      <c r="J160" s="46" t="s">
        <v>153</v>
      </c>
      <c r="K160" s="13" t="s">
        <v>28</v>
      </c>
      <c r="M160" s="13" t="s">
        <v>154</v>
      </c>
      <c r="N160" s="13" t="s">
        <v>154</v>
      </c>
      <c r="U160" s="47">
        <f t="shared" si="2"/>
        <v>127421</v>
      </c>
    </row>
    <row r="161" spans="1:21">
      <c r="A161" s="15">
        <v>172</v>
      </c>
      <c r="B161" s="45">
        <v>108030</v>
      </c>
      <c r="C161" s="13" t="s">
        <v>573</v>
      </c>
      <c r="D161" s="13" t="s">
        <v>574</v>
      </c>
      <c r="E161" s="13" t="s">
        <v>165</v>
      </c>
      <c r="F161" s="13" t="s">
        <v>151</v>
      </c>
      <c r="G161" s="44">
        <v>43831</v>
      </c>
      <c r="H161" s="44">
        <v>48213</v>
      </c>
      <c r="I161" s="13" t="s">
        <v>152</v>
      </c>
      <c r="J161" s="46" t="s">
        <v>153</v>
      </c>
      <c r="K161" s="13" t="s">
        <v>428</v>
      </c>
      <c r="M161" s="13" t="s">
        <v>154</v>
      </c>
      <c r="N161" s="13" t="s">
        <v>154</v>
      </c>
      <c r="U161" s="47">
        <f t="shared" si="2"/>
        <v>108030</v>
      </c>
    </row>
    <row r="162" spans="1:21">
      <c r="A162" s="15">
        <v>173</v>
      </c>
      <c r="B162" s="45">
        <v>108408</v>
      </c>
      <c r="C162" s="13" t="s">
        <v>575</v>
      </c>
      <c r="D162" s="13" t="s">
        <v>576</v>
      </c>
      <c r="E162" s="13" t="s">
        <v>577</v>
      </c>
      <c r="F162" s="13" t="s">
        <v>151</v>
      </c>
      <c r="G162" s="44">
        <v>43831</v>
      </c>
      <c r="H162" s="44">
        <v>48213</v>
      </c>
      <c r="I162" s="13" t="s">
        <v>152</v>
      </c>
      <c r="J162" s="46" t="s">
        <v>153</v>
      </c>
      <c r="K162" s="13" t="s">
        <v>33</v>
      </c>
      <c r="M162" s="13" t="s">
        <v>154</v>
      </c>
      <c r="N162" s="13" t="s">
        <v>154</v>
      </c>
      <c r="U162" s="47">
        <f t="shared" si="2"/>
        <v>108408</v>
      </c>
    </row>
    <row r="163" spans="1:21">
      <c r="A163" s="15">
        <v>174</v>
      </c>
      <c r="B163" s="45">
        <v>52919</v>
      </c>
      <c r="C163" s="13" t="s">
        <v>578</v>
      </c>
      <c r="D163" s="13" t="s">
        <v>579</v>
      </c>
      <c r="E163" s="13" t="s">
        <v>276</v>
      </c>
      <c r="F163" s="13" t="s">
        <v>151</v>
      </c>
      <c r="G163" s="44">
        <v>43831</v>
      </c>
      <c r="H163" s="44">
        <v>48213</v>
      </c>
      <c r="I163" s="13" t="s">
        <v>152</v>
      </c>
      <c r="J163" s="46" t="s">
        <v>580</v>
      </c>
      <c r="K163" s="13" t="s">
        <v>322</v>
      </c>
      <c r="M163" s="13" t="s">
        <v>154</v>
      </c>
      <c r="N163" s="13" t="s">
        <v>154</v>
      </c>
      <c r="U163" s="47">
        <f t="shared" si="2"/>
        <v>52919</v>
      </c>
    </row>
    <row r="164" spans="1:21">
      <c r="A164" s="15">
        <v>175</v>
      </c>
      <c r="B164" s="45">
        <v>37867</v>
      </c>
      <c r="C164" s="13" t="s">
        <v>581</v>
      </c>
      <c r="D164" s="13" t="s">
        <v>582</v>
      </c>
      <c r="E164" s="13" t="s">
        <v>276</v>
      </c>
      <c r="F164" s="13" t="s">
        <v>151</v>
      </c>
      <c r="G164" s="44">
        <v>43831</v>
      </c>
      <c r="H164" s="44">
        <v>48213</v>
      </c>
      <c r="I164" s="13" t="s">
        <v>152</v>
      </c>
      <c r="J164" s="46" t="s">
        <v>351</v>
      </c>
      <c r="K164" s="13" t="s">
        <v>583</v>
      </c>
      <c r="M164" s="13" t="s">
        <v>154</v>
      </c>
      <c r="N164" s="13" t="s">
        <v>154</v>
      </c>
      <c r="U164" s="47">
        <f t="shared" si="2"/>
        <v>37867</v>
      </c>
    </row>
    <row r="165" spans="1:21">
      <c r="A165" s="15">
        <v>176</v>
      </c>
      <c r="B165" s="45">
        <v>49334</v>
      </c>
      <c r="C165" s="13" t="s">
        <v>584</v>
      </c>
      <c r="D165" s="13" t="s">
        <v>585</v>
      </c>
      <c r="E165" s="13" t="s">
        <v>586</v>
      </c>
      <c r="F165" s="13" t="s">
        <v>151</v>
      </c>
      <c r="G165" s="44">
        <v>43831</v>
      </c>
      <c r="H165" s="44">
        <v>46387</v>
      </c>
      <c r="I165" s="13" t="s">
        <v>252</v>
      </c>
      <c r="J165" s="46" t="s">
        <v>587</v>
      </c>
      <c r="K165" s="13" t="s">
        <v>54</v>
      </c>
      <c r="M165" s="13" t="s">
        <v>154</v>
      </c>
      <c r="N165" s="13" t="s">
        <v>154</v>
      </c>
      <c r="O165" s="13" t="s">
        <v>200</v>
      </c>
      <c r="U165" s="47">
        <f t="shared" si="2"/>
        <v>49334</v>
      </c>
    </row>
    <row r="166" spans="1:21">
      <c r="A166" s="15">
        <v>177</v>
      </c>
      <c r="B166" s="45">
        <v>115973</v>
      </c>
      <c r="C166" s="13" t="s">
        <v>588</v>
      </c>
      <c r="D166" s="13" t="s">
        <v>589</v>
      </c>
      <c r="E166" s="13" t="s">
        <v>398</v>
      </c>
      <c r="F166" s="13" t="s">
        <v>151</v>
      </c>
      <c r="G166" s="44">
        <v>43831</v>
      </c>
      <c r="H166" s="44">
        <v>45291</v>
      </c>
      <c r="I166" s="13" t="s">
        <v>252</v>
      </c>
      <c r="J166" s="46" t="s">
        <v>590</v>
      </c>
      <c r="K166" s="13" t="s">
        <v>59</v>
      </c>
      <c r="M166" s="13" t="s">
        <v>154</v>
      </c>
      <c r="N166" s="13" t="s">
        <v>154</v>
      </c>
      <c r="U166" s="47">
        <f t="shared" si="2"/>
        <v>115973</v>
      </c>
    </row>
    <row r="167" spans="1:21">
      <c r="A167" s="15">
        <v>178</v>
      </c>
      <c r="B167" s="45">
        <v>920015</v>
      </c>
      <c r="C167" s="13" t="s">
        <v>588</v>
      </c>
      <c r="D167" s="13" t="s">
        <v>591</v>
      </c>
      <c r="E167" s="13" t="s">
        <v>592</v>
      </c>
      <c r="F167" s="13" t="s">
        <v>151</v>
      </c>
      <c r="G167" s="44">
        <v>43831</v>
      </c>
      <c r="H167" s="44">
        <v>46387</v>
      </c>
      <c r="I167" s="13" t="s">
        <v>252</v>
      </c>
      <c r="J167" s="46" t="s">
        <v>593</v>
      </c>
      <c r="K167" s="13" t="s">
        <v>59</v>
      </c>
      <c r="M167" s="13" t="s">
        <v>154</v>
      </c>
      <c r="N167" s="13" t="s">
        <v>154</v>
      </c>
      <c r="U167" s="47">
        <f t="shared" si="2"/>
        <v>920015</v>
      </c>
    </row>
    <row r="168" spans="1:21">
      <c r="A168" s="15">
        <v>179</v>
      </c>
      <c r="B168" s="45">
        <v>923067</v>
      </c>
      <c r="C168" s="13" t="s">
        <v>594</v>
      </c>
      <c r="D168" s="13" t="s">
        <v>595</v>
      </c>
      <c r="E168" s="13" t="s">
        <v>261</v>
      </c>
      <c r="F168" s="13" t="s">
        <v>151</v>
      </c>
      <c r="G168" s="44">
        <v>44531</v>
      </c>
      <c r="H168" s="44">
        <v>46387</v>
      </c>
      <c r="I168" s="13" t="s">
        <v>252</v>
      </c>
      <c r="J168" s="46" t="s">
        <v>596</v>
      </c>
      <c r="K168" s="13" t="s">
        <v>64</v>
      </c>
      <c r="M168" s="13" t="s">
        <v>154</v>
      </c>
      <c r="N168" s="13" t="s">
        <v>154</v>
      </c>
      <c r="U168" s="47">
        <f t="shared" si="2"/>
        <v>923067</v>
      </c>
    </row>
    <row r="169" spans="1:21">
      <c r="A169" s="15">
        <v>180</v>
      </c>
      <c r="B169" s="45">
        <v>1223278</v>
      </c>
      <c r="C169" s="13" t="s">
        <v>594</v>
      </c>
      <c r="D169" s="13" t="s">
        <v>597</v>
      </c>
      <c r="E169" s="13" t="s">
        <v>598</v>
      </c>
      <c r="F169" s="13" t="s">
        <v>151</v>
      </c>
      <c r="G169" s="44">
        <v>45292</v>
      </c>
      <c r="H169" s="44">
        <v>45657</v>
      </c>
      <c r="I169" s="13" t="s">
        <v>252</v>
      </c>
      <c r="J169" s="46" t="s">
        <v>599</v>
      </c>
      <c r="K169" s="13" t="s">
        <v>64</v>
      </c>
      <c r="M169" s="13" t="s">
        <v>154</v>
      </c>
      <c r="N169" s="13" t="s">
        <v>154</v>
      </c>
      <c r="U169" s="47">
        <f t="shared" si="2"/>
        <v>1223278</v>
      </c>
    </row>
    <row r="170" spans="1:21">
      <c r="A170" s="15">
        <v>181</v>
      </c>
      <c r="B170" s="45">
        <v>49334</v>
      </c>
      <c r="C170" s="13" t="s">
        <v>600</v>
      </c>
      <c r="D170" s="13" t="s">
        <v>601</v>
      </c>
      <c r="E170" s="13" t="s">
        <v>276</v>
      </c>
      <c r="F170" s="13" t="s">
        <v>151</v>
      </c>
      <c r="G170" s="44">
        <v>43831</v>
      </c>
      <c r="H170" s="44">
        <v>46387</v>
      </c>
      <c r="I170" s="13" t="s">
        <v>152</v>
      </c>
      <c r="J170" s="46" t="s">
        <v>153</v>
      </c>
      <c r="K170" s="13" t="s">
        <v>602</v>
      </c>
      <c r="M170" s="13" t="s">
        <v>154</v>
      </c>
      <c r="N170" s="13" t="s">
        <v>154</v>
      </c>
      <c r="U170" s="47">
        <f t="shared" si="2"/>
        <v>49334</v>
      </c>
    </row>
    <row r="171" spans="1:21">
      <c r="A171" s="15">
        <v>182</v>
      </c>
      <c r="B171" s="45">
        <v>1231630</v>
      </c>
      <c r="C171" s="13" t="s">
        <v>603</v>
      </c>
      <c r="D171" s="13" t="s">
        <v>604</v>
      </c>
      <c r="E171" s="13" t="s">
        <v>242</v>
      </c>
      <c r="F171" s="13" t="s">
        <v>151</v>
      </c>
      <c r="G171" s="44">
        <v>45292</v>
      </c>
      <c r="H171" s="44">
        <v>45657</v>
      </c>
      <c r="I171" s="13" t="s">
        <v>152</v>
      </c>
      <c r="J171" s="46" t="s">
        <v>153</v>
      </c>
      <c r="K171" s="13" t="s">
        <v>360</v>
      </c>
      <c r="M171" s="13" t="s">
        <v>154</v>
      </c>
      <c r="N171" s="13" t="s">
        <v>154</v>
      </c>
      <c r="U171" s="47">
        <f t="shared" si="2"/>
        <v>1231630</v>
      </c>
    </row>
    <row r="172" spans="1:21">
      <c r="A172" s="15">
        <v>183</v>
      </c>
      <c r="B172" s="45">
        <v>117719</v>
      </c>
      <c r="C172" s="13" t="s">
        <v>605</v>
      </c>
      <c r="D172" s="13" t="s">
        <v>606</v>
      </c>
      <c r="E172" s="13" t="s">
        <v>607</v>
      </c>
      <c r="F172" s="13" t="s">
        <v>151</v>
      </c>
      <c r="G172" s="44">
        <v>43831</v>
      </c>
      <c r="H172" s="44">
        <v>45291</v>
      </c>
      <c r="I172" s="13" t="s">
        <v>152</v>
      </c>
      <c r="J172" s="46" t="s">
        <v>153</v>
      </c>
      <c r="K172" s="13" t="s">
        <v>368</v>
      </c>
      <c r="M172" s="13" t="s">
        <v>154</v>
      </c>
      <c r="N172" s="13" t="s">
        <v>154</v>
      </c>
      <c r="U172" s="47">
        <f t="shared" si="2"/>
        <v>117719</v>
      </c>
    </row>
    <row r="173" spans="1:21">
      <c r="A173" s="15">
        <v>184</v>
      </c>
      <c r="B173" s="45">
        <v>108581</v>
      </c>
      <c r="C173" s="13" t="s">
        <v>608</v>
      </c>
      <c r="D173" s="13" t="s">
        <v>609</v>
      </c>
      <c r="E173" s="13" t="s">
        <v>426</v>
      </c>
      <c r="F173" s="13" t="s">
        <v>151</v>
      </c>
      <c r="G173" s="44">
        <v>44562</v>
      </c>
      <c r="H173" s="44">
        <v>45291</v>
      </c>
      <c r="I173" s="13" t="s">
        <v>152</v>
      </c>
      <c r="J173" s="46" t="s">
        <v>153</v>
      </c>
      <c r="K173" s="13" t="s">
        <v>610</v>
      </c>
      <c r="M173" s="13" t="s">
        <v>154</v>
      </c>
      <c r="N173" s="13" t="s">
        <v>154</v>
      </c>
      <c r="U173" s="47">
        <f t="shared" si="2"/>
        <v>108581</v>
      </c>
    </row>
    <row r="174" spans="1:21">
      <c r="A174" s="15">
        <v>185</v>
      </c>
      <c r="B174" s="45">
        <v>919710</v>
      </c>
      <c r="C174" s="13" t="s">
        <v>611</v>
      </c>
      <c r="D174" s="13" t="s">
        <v>612</v>
      </c>
      <c r="E174" s="13" t="s">
        <v>165</v>
      </c>
      <c r="F174" s="13" t="s">
        <v>151</v>
      </c>
      <c r="G174" s="44">
        <v>43831</v>
      </c>
      <c r="H174" s="44">
        <v>45291</v>
      </c>
      <c r="I174" s="13" t="s">
        <v>152</v>
      </c>
      <c r="J174" s="46" t="s">
        <v>153</v>
      </c>
      <c r="K174" s="13" t="s">
        <v>70</v>
      </c>
      <c r="M174" s="13" t="s">
        <v>154</v>
      </c>
      <c r="N174" s="13" t="s">
        <v>154</v>
      </c>
      <c r="U174" s="47">
        <f t="shared" si="2"/>
        <v>919710</v>
      </c>
    </row>
    <row r="175" spans="1:21">
      <c r="A175" s="15">
        <v>186</v>
      </c>
      <c r="B175" s="45">
        <v>1222363</v>
      </c>
      <c r="C175" s="13" t="s">
        <v>613</v>
      </c>
      <c r="D175" s="13" t="s">
        <v>614</v>
      </c>
      <c r="E175" s="13" t="s">
        <v>276</v>
      </c>
      <c r="F175" s="13" t="s">
        <v>151</v>
      </c>
      <c r="G175" s="44">
        <v>45292</v>
      </c>
      <c r="H175" s="44">
        <v>45657</v>
      </c>
      <c r="I175" s="13" t="s">
        <v>252</v>
      </c>
      <c r="J175" s="46" t="s">
        <v>615</v>
      </c>
      <c r="M175" s="13" t="s">
        <v>154</v>
      </c>
      <c r="N175" s="13" t="s">
        <v>154</v>
      </c>
      <c r="O175" s="13" t="s">
        <v>200</v>
      </c>
      <c r="U175" s="47">
        <f t="shared" si="2"/>
        <v>1222363</v>
      </c>
    </row>
    <row r="176" spans="1:21">
      <c r="A176" s="15">
        <v>187</v>
      </c>
      <c r="B176" s="45">
        <v>1378228</v>
      </c>
      <c r="C176" s="13" t="s">
        <v>616</v>
      </c>
      <c r="D176" s="13" t="s">
        <v>617</v>
      </c>
      <c r="E176" s="13" t="s">
        <v>366</v>
      </c>
      <c r="F176" s="13" t="s">
        <v>151</v>
      </c>
      <c r="G176" s="44">
        <v>45658</v>
      </c>
      <c r="H176" s="44">
        <v>46022</v>
      </c>
      <c r="I176" s="13" t="s">
        <v>252</v>
      </c>
      <c r="J176" s="46" t="s">
        <v>618</v>
      </c>
      <c r="K176" s="13" t="s">
        <v>619</v>
      </c>
      <c r="M176" s="13" t="s">
        <v>154</v>
      </c>
      <c r="N176" s="13" t="s">
        <v>620</v>
      </c>
      <c r="U176" s="47">
        <f t="shared" si="2"/>
        <v>1378228</v>
      </c>
    </row>
    <row r="177" spans="1:21">
      <c r="A177" s="15">
        <v>188</v>
      </c>
      <c r="B177" s="45">
        <v>40513</v>
      </c>
      <c r="C177" s="13" t="s">
        <v>621</v>
      </c>
      <c r="D177" s="13" t="s">
        <v>622</v>
      </c>
      <c r="E177" s="13" t="s">
        <v>387</v>
      </c>
      <c r="F177" s="13" t="s">
        <v>151</v>
      </c>
      <c r="G177" s="44">
        <v>43831</v>
      </c>
      <c r="H177" s="44">
        <v>45291</v>
      </c>
      <c r="I177" s="13" t="s">
        <v>252</v>
      </c>
      <c r="J177" s="46" t="s">
        <v>623</v>
      </c>
      <c r="M177" s="13" t="s">
        <v>154</v>
      </c>
      <c r="N177" s="13" t="s">
        <v>154</v>
      </c>
      <c r="U177" s="47">
        <f t="shared" si="2"/>
        <v>40513</v>
      </c>
    </row>
    <row r="178" spans="1:21">
      <c r="A178" s="15">
        <v>189</v>
      </c>
      <c r="B178" s="45">
        <v>1305952</v>
      </c>
      <c r="C178" s="13" t="s">
        <v>624</v>
      </c>
      <c r="D178" s="13" t="s">
        <v>625</v>
      </c>
      <c r="E178" s="13" t="s">
        <v>626</v>
      </c>
      <c r="F178" s="13" t="s">
        <v>151</v>
      </c>
      <c r="G178" s="44">
        <v>45505</v>
      </c>
      <c r="H178" s="44">
        <v>46234</v>
      </c>
      <c r="I178" s="13" t="s">
        <v>252</v>
      </c>
      <c r="J178" s="46" t="s">
        <v>627</v>
      </c>
      <c r="K178" s="13" t="s">
        <v>628</v>
      </c>
      <c r="M178" s="13" t="s">
        <v>154</v>
      </c>
      <c r="N178" s="13" t="s">
        <v>154</v>
      </c>
      <c r="U178" s="47">
        <f t="shared" si="2"/>
        <v>1305952</v>
      </c>
    </row>
    <row r="179" spans="1:21">
      <c r="A179" s="15">
        <v>190</v>
      </c>
      <c r="B179" s="45">
        <v>109718</v>
      </c>
      <c r="C179" s="13" t="s">
        <v>629</v>
      </c>
      <c r="D179" s="13" t="s">
        <v>630</v>
      </c>
      <c r="E179" s="13" t="s">
        <v>213</v>
      </c>
      <c r="F179" s="13" t="s">
        <v>151</v>
      </c>
      <c r="G179" s="44">
        <v>43831</v>
      </c>
      <c r="H179" s="44">
        <v>45291</v>
      </c>
      <c r="I179" s="13" t="s">
        <v>252</v>
      </c>
      <c r="J179" s="46" t="s">
        <v>631</v>
      </c>
      <c r="M179" s="13" t="s">
        <v>154</v>
      </c>
      <c r="N179" s="13" t="s">
        <v>620</v>
      </c>
      <c r="U179" s="47">
        <f t="shared" si="2"/>
        <v>109718</v>
      </c>
    </row>
    <row r="180" spans="1:21">
      <c r="A180" s="15">
        <v>191</v>
      </c>
      <c r="B180" s="45">
        <v>117593</v>
      </c>
      <c r="C180" s="13" t="s">
        <v>632</v>
      </c>
      <c r="D180" s="13" t="s">
        <v>633</v>
      </c>
      <c r="E180" s="13" t="s">
        <v>334</v>
      </c>
      <c r="F180" s="13" t="s">
        <v>151</v>
      </c>
      <c r="G180" s="44">
        <v>43831</v>
      </c>
      <c r="H180" s="44">
        <v>45291</v>
      </c>
      <c r="I180" s="13" t="s">
        <v>252</v>
      </c>
      <c r="J180" s="46" t="s">
        <v>634</v>
      </c>
      <c r="M180" s="13" t="s">
        <v>154</v>
      </c>
      <c r="N180" s="13" t="s">
        <v>154</v>
      </c>
      <c r="U180" s="47">
        <f t="shared" si="2"/>
        <v>117593</v>
      </c>
    </row>
    <row r="181" spans="1:21">
      <c r="A181" s="15">
        <v>192</v>
      </c>
      <c r="B181" s="45">
        <v>49334</v>
      </c>
      <c r="C181" s="13" t="s">
        <v>635</v>
      </c>
      <c r="D181" s="13" t="s">
        <v>636</v>
      </c>
      <c r="E181" s="13" t="s">
        <v>637</v>
      </c>
      <c r="F181" s="13" t="s">
        <v>151</v>
      </c>
      <c r="G181" s="44">
        <v>43831</v>
      </c>
      <c r="H181" s="44">
        <v>46387</v>
      </c>
      <c r="I181" s="13" t="s">
        <v>638</v>
      </c>
      <c r="J181" s="46" t="s">
        <v>639</v>
      </c>
      <c r="M181" s="13" t="s">
        <v>154</v>
      </c>
      <c r="N181" s="13" t="s">
        <v>154</v>
      </c>
      <c r="U181" s="47">
        <f t="shared" si="2"/>
        <v>49334</v>
      </c>
    </row>
    <row r="182" spans="1:21">
      <c r="A182" s="15">
        <v>193</v>
      </c>
      <c r="B182" s="45">
        <v>123704</v>
      </c>
      <c r="C182" s="13" t="s">
        <v>640</v>
      </c>
      <c r="D182" s="13" t="s">
        <v>641</v>
      </c>
      <c r="E182" s="13" t="s">
        <v>172</v>
      </c>
      <c r="F182" s="13" t="s">
        <v>151</v>
      </c>
      <c r="G182" s="44">
        <v>44078</v>
      </c>
      <c r="H182" s="44">
        <v>45291</v>
      </c>
      <c r="I182" s="13" t="s">
        <v>335</v>
      </c>
      <c r="J182" s="46" t="s">
        <v>642</v>
      </c>
      <c r="M182" s="13" t="s">
        <v>154</v>
      </c>
      <c r="N182" s="13" t="s">
        <v>154</v>
      </c>
      <c r="U182" s="47">
        <f t="shared" si="2"/>
        <v>123704</v>
      </c>
    </row>
    <row r="183" spans="1:21">
      <c r="A183" s="15">
        <v>194</v>
      </c>
      <c r="B183" s="45">
        <v>40830</v>
      </c>
      <c r="C183" s="13" t="s">
        <v>643</v>
      </c>
      <c r="D183" s="13" t="s">
        <v>644</v>
      </c>
      <c r="E183" s="13" t="s">
        <v>165</v>
      </c>
      <c r="F183" s="13" t="s">
        <v>151</v>
      </c>
      <c r="G183" s="44">
        <v>43831</v>
      </c>
      <c r="H183" s="44">
        <v>48213</v>
      </c>
      <c r="I183" s="13" t="s">
        <v>638</v>
      </c>
      <c r="J183" s="46" t="s">
        <v>645</v>
      </c>
      <c r="M183" s="13" t="s">
        <v>154</v>
      </c>
      <c r="N183" s="13" t="s">
        <v>154</v>
      </c>
      <c r="O183" s="13" t="s">
        <v>646</v>
      </c>
      <c r="U183" s="47">
        <f t="shared" si="2"/>
        <v>40830</v>
      </c>
    </row>
    <row r="184" spans="1:21">
      <c r="A184" s="15">
        <v>195</v>
      </c>
      <c r="B184" s="45">
        <v>1389389</v>
      </c>
      <c r="C184" s="13" t="s">
        <v>647</v>
      </c>
      <c r="D184" s="13" t="s">
        <v>648</v>
      </c>
      <c r="E184" s="13" t="s">
        <v>270</v>
      </c>
      <c r="F184" s="13" t="s">
        <v>151</v>
      </c>
      <c r="G184" s="44">
        <v>45658</v>
      </c>
      <c r="H184" s="44">
        <v>46022</v>
      </c>
      <c r="I184" s="13" t="s">
        <v>638</v>
      </c>
      <c r="J184" s="46" t="s">
        <v>649</v>
      </c>
      <c r="M184" s="13" t="s">
        <v>154</v>
      </c>
      <c r="N184" s="13" t="s">
        <v>154</v>
      </c>
      <c r="U184" s="47">
        <f t="shared" si="2"/>
        <v>1389389</v>
      </c>
    </row>
    <row r="185" spans="1:21">
      <c r="A185" s="15">
        <v>196</v>
      </c>
      <c r="B185" s="45">
        <v>127422</v>
      </c>
      <c r="C185" s="13" t="s">
        <v>650</v>
      </c>
      <c r="D185" s="13" t="s">
        <v>651</v>
      </c>
      <c r="E185" s="13" t="s">
        <v>652</v>
      </c>
      <c r="F185" s="13" t="s">
        <v>151</v>
      </c>
      <c r="G185" s="44">
        <v>44348</v>
      </c>
      <c r="H185" s="44">
        <v>45657</v>
      </c>
      <c r="I185" s="13" t="s">
        <v>638</v>
      </c>
      <c r="J185" s="46" t="s">
        <v>653</v>
      </c>
      <c r="M185" s="13" t="s">
        <v>154</v>
      </c>
      <c r="N185" s="13" t="s">
        <v>154</v>
      </c>
      <c r="U185" s="47">
        <f t="shared" si="2"/>
        <v>127422</v>
      </c>
    </row>
    <row r="186" spans="1:21">
      <c r="A186" s="15">
        <v>197</v>
      </c>
      <c r="B186" s="45">
        <v>81280</v>
      </c>
      <c r="C186" s="13" t="s">
        <v>654</v>
      </c>
      <c r="D186" s="13" t="s">
        <v>655</v>
      </c>
      <c r="E186" s="13" t="s">
        <v>656</v>
      </c>
      <c r="F186" s="13" t="s">
        <v>151</v>
      </c>
      <c r="G186" s="44">
        <v>43831</v>
      </c>
      <c r="H186" s="44">
        <v>45657</v>
      </c>
      <c r="I186" s="13" t="s">
        <v>280</v>
      </c>
      <c r="J186" s="46" t="s">
        <v>657</v>
      </c>
      <c r="M186" s="13" t="s">
        <v>154</v>
      </c>
      <c r="N186" s="13" t="s">
        <v>154</v>
      </c>
      <c r="U186" s="47">
        <f t="shared" si="2"/>
        <v>81280</v>
      </c>
    </row>
    <row r="187" spans="1:21">
      <c r="A187" s="15">
        <v>198</v>
      </c>
      <c r="B187" s="45">
        <v>115973</v>
      </c>
      <c r="C187" s="13" t="s">
        <v>658</v>
      </c>
      <c r="D187" s="13" t="s">
        <v>659</v>
      </c>
      <c r="E187" s="13" t="s">
        <v>165</v>
      </c>
      <c r="F187" s="13" t="s">
        <v>151</v>
      </c>
      <c r="G187" s="44">
        <v>43831</v>
      </c>
      <c r="H187" s="44">
        <v>45291</v>
      </c>
      <c r="I187" s="13" t="s">
        <v>660</v>
      </c>
      <c r="J187" s="46" t="s">
        <v>661</v>
      </c>
      <c r="M187" s="13" t="s">
        <v>154</v>
      </c>
      <c r="N187" s="13" t="s">
        <v>620</v>
      </c>
      <c r="O187" s="13" t="s">
        <v>662</v>
      </c>
      <c r="U187" s="47">
        <f t="shared" si="2"/>
        <v>115973</v>
      </c>
    </row>
    <row r="188" spans="1:21">
      <c r="A188" s="15">
        <v>199</v>
      </c>
      <c r="B188" s="45">
        <v>40513</v>
      </c>
      <c r="C188" s="13" t="s">
        <v>663</v>
      </c>
      <c r="D188" s="13" t="s">
        <v>664</v>
      </c>
      <c r="E188" s="13" t="s">
        <v>334</v>
      </c>
      <c r="F188" s="13" t="s">
        <v>151</v>
      </c>
      <c r="G188" s="44">
        <v>43831</v>
      </c>
      <c r="H188" s="44">
        <v>45657</v>
      </c>
      <c r="I188" s="13" t="s">
        <v>638</v>
      </c>
      <c r="J188" s="46" t="s">
        <v>665</v>
      </c>
      <c r="M188" s="13" t="s">
        <v>154</v>
      </c>
      <c r="N188" s="13" t="s">
        <v>154</v>
      </c>
      <c r="U188" s="47">
        <f t="shared" si="2"/>
        <v>40513</v>
      </c>
    </row>
    <row r="189" spans="1:21">
      <c r="A189" s="15">
        <v>200</v>
      </c>
      <c r="B189" s="45">
        <v>1224599</v>
      </c>
      <c r="C189" s="13" t="s">
        <v>666</v>
      </c>
      <c r="D189" s="13" t="s">
        <v>667</v>
      </c>
      <c r="E189" s="13" t="s">
        <v>668</v>
      </c>
      <c r="F189" s="13" t="s">
        <v>151</v>
      </c>
      <c r="G189" s="44">
        <v>45292</v>
      </c>
      <c r="H189" s="44">
        <v>45747</v>
      </c>
      <c r="I189" s="13" t="s">
        <v>252</v>
      </c>
      <c r="J189" s="46" t="s">
        <v>669</v>
      </c>
      <c r="M189" s="13" t="s">
        <v>154</v>
      </c>
      <c r="N189" s="13" t="s">
        <v>154</v>
      </c>
      <c r="U189" s="47">
        <f t="shared" si="2"/>
        <v>1224599</v>
      </c>
    </row>
    <row r="190" spans="1:21">
      <c r="A190" s="15">
        <v>201</v>
      </c>
      <c r="B190" s="45">
        <v>116580</v>
      </c>
      <c r="C190" s="13" t="s">
        <v>670</v>
      </c>
      <c r="D190" s="13" t="s">
        <v>671</v>
      </c>
      <c r="E190" s="13" t="s">
        <v>358</v>
      </c>
      <c r="F190" s="13" t="s">
        <v>151</v>
      </c>
      <c r="G190" s="44">
        <v>43831</v>
      </c>
      <c r="H190" s="44">
        <v>45291</v>
      </c>
      <c r="I190" s="13" t="s">
        <v>252</v>
      </c>
      <c r="J190" s="46" t="s">
        <v>672</v>
      </c>
      <c r="M190" s="13" t="s">
        <v>154</v>
      </c>
      <c r="N190" s="13" t="s">
        <v>154</v>
      </c>
      <c r="U190" s="47">
        <f t="shared" si="2"/>
        <v>116580</v>
      </c>
    </row>
    <row r="191" spans="1:21">
      <c r="A191" s="15">
        <v>202</v>
      </c>
      <c r="B191" s="45">
        <v>1010013</v>
      </c>
      <c r="C191" s="13" t="s">
        <v>673</v>
      </c>
      <c r="D191" s="13" t="s">
        <v>674</v>
      </c>
      <c r="E191" s="13" t="s">
        <v>334</v>
      </c>
      <c r="F191" s="13" t="s">
        <v>151</v>
      </c>
      <c r="G191" s="44">
        <v>44197</v>
      </c>
      <c r="H191" s="44">
        <v>45657</v>
      </c>
      <c r="I191" s="13" t="s">
        <v>638</v>
      </c>
      <c r="J191" s="46" t="s">
        <v>675</v>
      </c>
      <c r="M191" s="13" t="s">
        <v>154</v>
      </c>
      <c r="N191" s="13" t="s">
        <v>154</v>
      </c>
      <c r="O191" s="13" t="s">
        <v>200</v>
      </c>
      <c r="U191" s="47">
        <f t="shared" si="2"/>
        <v>1010013</v>
      </c>
    </row>
    <row r="192" spans="1:21">
      <c r="A192" s="15">
        <v>203</v>
      </c>
      <c r="B192" s="45">
        <v>920028</v>
      </c>
      <c r="C192" s="13" t="s">
        <v>676</v>
      </c>
      <c r="D192" s="13" t="s">
        <v>677</v>
      </c>
      <c r="E192" s="13" t="s">
        <v>165</v>
      </c>
      <c r="F192" s="13" t="s">
        <v>151</v>
      </c>
      <c r="G192" s="44">
        <v>43831</v>
      </c>
      <c r="H192" s="44">
        <v>48213</v>
      </c>
      <c r="I192" s="13" t="s">
        <v>678</v>
      </c>
      <c r="J192" s="46" t="s">
        <v>679</v>
      </c>
      <c r="M192" s="13" t="s">
        <v>154</v>
      </c>
      <c r="N192" s="13" t="s">
        <v>620</v>
      </c>
      <c r="O192" s="13" t="s">
        <v>680</v>
      </c>
      <c r="U192" s="47">
        <f t="shared" si="2"/>
        <v>920028</v>
      </c>
    </row>
    <row r="193" spans="1:21">
      <c r="A193" s="15">
        <v>204</v>
      </c>
      <c r="B193" s="45">
        <v>104547</v>
      </c>
      <c r="C193" s="13" t="s">
        <v>681</v>
      </c>
      <c r="D193" s="13" t="s">
        <v>682</v>
      </c>
      <c r="E193" s="13" t="s">
        <v>165</v>
      </c>
      <c r="F193" s="13" t="s">
        <v>151</v>
      </c>
      <c r="G193" s="44">
        <v>43831</v>
      </c>
      <c r="H193" s="44">
        <v>45291</v>
      </c>
      <c r="I193" s="13" t="s">
        <v>158</v>
      </c>
      <c r="J193" s="46" t="s">
        <v>683</v>
      </c>
      <c r="M193" s="13" t="s">
        <v>154</v>
      </c>
      <c r="N193" s="13" t="s">
        <v>620</v>
      </c>
      <c r="O193" s="13" t="s">
        <v>684</v>
      </c>
      <c r="U193" s="47">
        <f t="shared" si="2"/>
        <v>104547</v>
      </c>
    </row>
    <row r="194" spans="1:21">
      <c r="A194" s="15">
        <v>205</v>
      </c>
      <c r="B194" s="45">
        <v>40830</v>
      </c>
      <c r="C194" s="13" t="s">
        <v>685</v>
      </c>
      <c r="D194" s="13" t="s">
        <v>686</v>
      </c>
      <c r="E194" s="13" t="s">
        <v>431</v>
      </c>
      <c r="F194" s="13" t="s">
        <v>151</v>
      </c>
      <c r="G194" s="44">
        <v>43831</v>
      </c>
      <c r="H194" s="44">
        <v>48213</v>
      </c>
      <c r="I194" s="13" t="s">
        <v>252</v>
      </c>
      <c r="J194" s="46" t="s">
        <v>687</v>
      </c>
      <c r="M194" s="13" t="s">
        <v>154</v>
      </c>
      <c r="N194" s="13" t="s">
        <v>620</v>
      </c>
      <c r="O194" s="13" t="s">
        <v>688</v>
      </c>
      <c r="U194" s="47">
        <f t="shared" si="2"/>
        <v>40830</v>
      </c>
    </row>
    <row r="195" spans="1:21">
      <c r="A195" s="15">
        <v>206</v>
      </c>
      <c r="B195" s="45">
        <v>116663</v>
      </c>
      <c r="C195" s="13" t="s">
        <v>689</v>
      </c>
      <c r="D195" s="13" t="s">
        <v>690</v>
      </c>
      <c r="E195" s="13" t="s">
        <v>652</v>
      </c>
      <c r="F195" s="13" t="s">
        <v>151</v>
      </c>
      <c r="G195" s="44">
        <v>44197</v>
      </c>
      <c r="H195" s="44">
        <v>46022</v>
      </c>
      <c r="I195" s="13" t="s">
        <v>638</v>
      </c>
      <c r="J195" s="46" t="s">
        <v>691</v>
      </c>
      <c r="M195" s="13" t="s">
        <v>154</v>
      </c>
      <c r="N195" s="13" t="s">
        <v>154</v>
      </c>
      <c r="U195" s="47">
        <f t="shared" ref="U195:U258" si="3">TRUNC(B195)</f>
        <v>116663</v>
      </c>
    </row>
    <row r="196" spans="1:21">
      <c r="A196" s="15">
        <v>207</v>
      </c>
      <c r="B196" s="45">
        <v>921529</v>
      </c>
      <c r="C196" s="13" t="s">
        <v>692</v>
      </c>
      <c r="D196" s="13" t="s">
        <v>693</v>
      </c>
      <c r="E196" s="13" t="s">
        <v>694</v>
      </c>
      <c r="F196" s="13" t="s">
        <v>151</v>
      </c>
      <c r="G196" s="44">
        <v>43831</v>
      </c>
      <c r="H196" s="44">
        <v>48213</v>
      </c>
      <c r="I196" s="13" t="s">
        <v>638</v>
      </c>
      <c r="J196" s="46" t="s">
        <v>695</v>
      </c>
      <c r="M196" s="13" t="s">
        <v>154</v>
      </c>
      <c r="N196" s="13" t="s">
        <v>154</v>
      </c>
      <c r="U196" s="47">
        <f t="shared" si="3"/>
        <v>921529</v>
      </c>
    </row>
    <row r="197" spans="1:21">
      <c r="A197" s="15">
        <v>208</v>
      </c>
      <c r="B197" s="45">
        <v>40830</v>
      </c>
      <c r="C197" s="13" t="s">
        <v>689</v>
      </c>
      <c r="D197" s="13" t="s">
        <v>696</v>
      </c>
      <c r="E197" s="13" t="s">
        <v>652</v>
      </c>
      <c r="F197" s="13" t="s">
        <v>151</v>
      </c>
      <c r="G197" s="44">
        <v>43831</v>
      </c>
      <c r="H197" s="44">
        <v>48213</v>
      </c>
      <c r="I197" s="13" t="s">
        <v>638</v>
      </c>
      <c r="J197" s="46" t="s">
        <v>697</v>
      </c>
      <c r="M197" s="13" t="s">
        <v>154</v>
      </c>
      <c r="N197" s="13" t="s">
        <v>154</v>
      </c>
      <c r="U197" s="47">
        <f t="shared" si="3"/>
        <v>40830</v>
      </c>
    </row>
    <row r="198" spans="1:21">
      <c r="A198" s="15">
        <v>209</v>
      </c>
      <c r="B198" s="45">
        <v>127423</v>
      </c>
      <c r="C198" s="13" t="s">
        <v>698</v>
      </c>
      <c r="D198" s="13" t="s">
        <v>699</v>
      </c>
      <c r="E198" s="13" t="s">
        <v>165</v>
      </c>
      <c r="F198" s="13" t="s">
        <v>151</v>
      </c>
      <c r="G198" s="44">
        <v>44348</v>
      </c>
      <c r="H198" s="44">
        <v>45291</v>
      </c>
      <c r="I198" s="13" t="s">
        <v>660</v>
      </c>
      <c r="J198" s="46" t="s">
        <v>700</v>
      </c>
      <c r="M198" s="13" t="s">
        <v>154</v>
      </c>
      <c r="N198" s="13" t="s">
        <v>620</v>
      </c>
      <c r="O198" s="13" t="s">
        <v>200</v>
      </c>
      <c r="U198" s="47">
        <f t="shared" si="3"/>
        <v>127423</v>
      </c>
    </row>
    <row r="199" spans="1:21">
      <c r="A199" s="15">
        <v>210</v>
      </c>
      <c r="B199" s="45">
        <v>1386371</v>
      </c>
      <c r="C199" s="13" t="s">
        <v>701</v>
      </c>
      <c r="D199" s="13" t="s">
        <v>702</v>
      </c>
      <c r="E199" s="13" t="s">
        <v>652</v>
      </c>
      <c r="F199" s="13" t="s">
        <v>151</v>
      </c>
      <c r="G199" s="44">
        <v>45658</v>
      </c>
      <c r="H199" s="44">
        <v>46022</v>
      </c>
      <c r="I199" s="13" t="s">
        <v>638</v>
      </c>
      <c r="J199" s="46" t="s">
        <v>703</v>
      </c>
      <c r="M199" s="13" t="s">
        <v>154</v>
      </c>
      <c r="N199" s="13" t="s">
        <v>154</v>
      </c>
      <c r="U199" s="47">
        <f t="shared" si="3"/>
        <v>1386371</v>
      </c>
    </row>
    <row r="200" spans="1:21">
      <c r="A200" s="15">
        <v>211</v>
      </c>
      <c r="B200" s="45">
        <v>116664</v>
      </c>
      <c r="C200" s="13" t="s">
        <v>704</v>
      </c>
      <c r="D200" s="13" t="s">
        <v>705</v>
      </c>
      <c r="E200" s="13" t="s">
        <v>426</v>
      </c>
      <c r="F200" s="13" t="s">
        <v>151</v>
      </c>
      <c r="G200" s="44">
        <v>44228</v>
      </c>
      <c r="H200" s="44">
        <v>45291</v>
      </c>
      <c r="I200" s="13" t="s">
        <v>638</v>
      </c>
      <c r="J200" s="46" t="s">
        <v>706</v>
      </c>
      <c r="M200" s="13" t="s">
        <v>154</v>
      </c>
      <c r="N200" s="13" t="s">
        <v>154</v>
      </c>
      <c r="U200" s="47">
        <f t="shared" si="3"/>
        <v>116664</v>
      </c>
    </row>
    <row r="201" spans="1:21">
      <c r="A201" s="15">
        <v>212</v>
      </c>
      <c r="B201" s="45">
        <v>115973</v>
      </c>
      <c r="C201" s="13" t="s">
        <v>707</v>
      </c>
      <c r="D201" s="13" t="s">
        <v>708</v>
      </c>
      <c r="E201" s="13" t="s">
        <v>276</v>
      </c>
      <c r="F201" s="13" t="s">
        <v>151</v>
      </c>
      <c r="G201" s="44">
        <v>43831</v>
      </c>
      <c r="H201" s="44">
        <v>45291</v>
      </c>
      <c r="I201" s="13" t="s">
        <v>638</v>
      </c>
      <c r="J201" s="46" t="s">
        <v>709</v>
      </c>
      <c r="M201" s="13" t="s">
        <v>154</v>
      </c>
      <c r="N201" s="13" t="s">
        <v>154</v>
      </c>
      <c r="U201" s="47">
        <f t="shared" si="3"/>
        <v>115973</v>
      </c>
    </row>
    <row r="202" spans="1:21">
      <c r="A202" s="15">
        <v>213</v>
      </c>
      <c r="B202" s="45">
        <v>88974</v>
      </c>
      <c r="C202" s="13" t="s">
        <v>710</v>
      </c>
      <c r="D202" s="13" t="s">
        <v>711</v>
      </c>
      <c r="E202" s="13" t="s">
        <v>276</v>
      </c>
      <c r="F202" s="13" t="s">
        <v>151</v>
      </c>
      <c r="G202" s="44">
        <v>43831</v>
      </c>
      <c r="H202" s="44">
        <v>48213</v>
      </c>
      <c r="I202" s="13" t="s">
        <v>638</v>
      </c>
      <c r="J202" s="46" t="s">
        <v>712</v>
      </c>
      <c r="M202" s="13" t="s">
        <v>154</v>
      </c>
      <c r="N202" s="13" t="s">
        <v>154</v>
      </c>
      <c r="U202" s="47">
        <f t="shared" si="3"/>
        <v>88974</v>
      </c>
    </row>
    <row r="203" spans="1:21">
      <c r="A203" s="15">
        <v>214</v>
      </c>
      <c r="B203" s="45">
        <v>52919</v>
      </c>
      <c r="C203" s="13" t="s">
        <v>713</v>
      </c>
      <c r="D203" s="13" t="s">
        <v>714</v>
      </c>
      <c r="E203" s="13" t="s">
        <v>366</v>
      </c>
      <c r="F203" s="13" t="s">
        <v>151</v>
      </c>
      <c r="G203" s="44">
        <v>43831</v>
      </c>
      <c r="H203" s="44">
        <v>48213</v>
      </c>
      <c r="I203" s="13" t="s">
        <v>252</v>
      </c>
      <c r="J203" s="46" t="s">
        <v>715</v>
      </c>
      <c r="M203" s="13" t="s">
        <v>154</v>
      </c>
      <c r="N203" s="13" t="s">
        <v>154</v>
      </c>
      <c r="U203" s="47">
        <f t="shared" si="3"/>
        <v>52919</v>
      </c>
    </row>
    <row r="204" spans="1:21">
      <c r="A204" s="15">
        <v>215</v>
      </c>
      <c r="B204" s="45">
        <v>919956</v>
      </c>
      <c r="C204" s="13" t="s">
        <v>716</v>
      </c>
      <c r="D204" s="13" t="s">
        <v>717</v>
      </c>
      <c r="E204" s="13" t="s">
        <v>718</v>
      </c>
      <c r="F204" s="13" t="s">
        <v>151</v>
      </c>
      <c r="G204" s="44">
        <v>43831</v>
      </c>
      <c r="H204" s="44">
        <v>48213</v>
      </c>
      <c r="I204" s="13" t="s">
        <v>638</v>
      </c>
      <c r="J204" s="46" t="s">
        <v>719</v>
      </c>
      <c r="M204" s="13" t="s">
        <v>154</v>
      </c>
      <c r="N204" s="13" t="s">
        <v>154</v>
      </c>
      <c r="U204" s="47">
        <f t="shared" si="3"/>
        <v>919956</v>
      </c>
    </row>
    <row r="205" spans="1:21">
      <c r="A205" s="15">
        <v>216</v>
      </c>
      <c r="B205" s="45">
        <v>94044</v>
      </c>
      <c r="C205" s="13" t="s">
        <v>720</v>
      </c>
      <c r="D205" s="13" t="s">
        <v>721</v>
      </c>
      <c r="E205" s="13" t="s">
        <v>722</v>
      </c>
      <c r="F205" s="13" t="s">
        <v>151</v>
      </c>
      <c r="G205" s="44">
        <v>43831</v>
      </c>
      <c r="H205" s="44">
        <v>48213</v>
      </c>
      <c r="I205" s="13" t="s">
        <v>638</v>
      </c>
      <c r="J205" s="46" t="s">
        <v>723</v>
      </c>
      <c r="M205" s="13" t="s">
        <v>154</v>
      </c>
      <c r="N205" s="13" t="s">
        <v>154</v>
      </c>
      <c r="U205" s="47">
        <f t="shared" si="3"/>
        <v>94044</v>
      </c>
    </row>
    <row r="206" spans="1:21">
      <c r="A206" s="15">
        <v>217</v>
      </c>
      <c r="B206" s="45">
        <v>1376275</v>
      </c>
      <c r="C206" s="13" t="s">
        <v>724</v>
      </c>
      <c r="D206" s="13" t="s">
        <v>725</v>
      </c>
      <c r="E206" s="13" t="s">
        <v>726</v>
      </c>
      <c r="F206" s="13" t="s">
        <v>151</v>
      </c>
      <c r="G206" s="44">
        <v>45658</v>
      </c>
      <c r="H206" s="44">
        <v>46022</v>
      </c>
      <c r="I206" s="13" t="s">
        <v>638</v>
      </c>
      <c r="J206" s="46" t="s">
        <v>727</v>
      </c>
      <c r="M206" s="13" t="s">
        <v>154</v>
      </c>
      <c r="N206" s="13" t="s">
        <v>154</v>
      </c>
      <c r="U206" s="47">
        <f t="shared" si="3"/>
        <v>1376275</v>
      </c>
    </row>
    <row r="207" spans="1:21">
      <c r="A207" s="15">
        <v>218</v>
      </c>
      <c r="B207" s="45">
        <v>49334</v>
      </c>
      <c r="C207" s="13" t="s">
        <v>728</v>
      </c>
      <c r="D207" s="13" t="s">
        <v>729</v>
      </c>
      <c r="E207" s="13" t="s">
        <v>276</v>
      </c>
      <c r="F207" s="13" t="s">
        <v>151</v>
      </c>
      <c r="G207" s="44">
        <v>43831</v>
      </c>
      <c r="H207" s="44">
        <v>46387</v>
      </c>
      <c r="I207" s="13" t="s">
        <v>638</v>
      </c>
      <c r="J207" s="46" t="s">
        <v>730</v>
      </c>
      <c r="M207" s="13" t="s">
        <v>154</v>
      </c>
      <c r="N207" s="13" t="s">
        <v>154</v>
      </c>
      <c r="U207" s="47">
        <f t="shared" si="3"/>
        <v>49334</v>
      </c>
    </row>
    <row r="208" spans="1:21">
      <c r="A208" s="15">
        <v>219</v>
      </c>
      <c r="B208" s="45">
        <v>119090</v>
      </c>
      <c r="C208" s="13" t="s">
        <v>731</v>
      </c>
      <c r="D208" s="13" t="s">
        <v>732</v>
      </c>
      <c r="E208" s="13" t="s">
        <v>382</v>
      </c>
      <c r="F208" s="13" t="s">
        <v>151</v>
      </c>
      <c r="G208" s="44">
        <v>43831</v>
      </c>
      <c r="H208" s="44">
        <v>48213</v>
      </c>
      <c r="I208" s="13" t="s">
        <v>252</v>
      </c>
      <c r="J208" s="46" t="s">
        <v>733</v>
      </c>
      <c r="M208" s="13" t="s">
        <v>154</v>
      </c>
      <c r="N208" s="13" t="s">
        <v>154</v>
      </c>
      <c r="U208" s="47">
        <f t="shared" si="3"/>
        <v>119090</v>
      </c>
    </row>
    <row r="209" spans="1:21">
      <c r="A209" s="15">
        <v>220</v>
      </c>
      <c r="B209" s="45">
        <v>113429</v>
      </c>
      <c r="C209" s="13" t="s">
        <v>123</v>
      </c>
      <c r="D209" s="13" t="s">
        <v>734</v>
      </c>
      <c r="E209" s="13" t="s">
        <v>735</v>
      </c>
      <c r="F209" s="13" t="s">
        <v>151</v>
      </c>
      <c r="G209" s="44">
        <v>43831</v>
      </c>
      <c r="H209" s="44">
        <v>45657</v>
      </c>
      <c r="I209" s="13" t="s">
        <v>736</v>
      </c>
      <c r="J209" s="46" t="s">
        <v>737</v>
      </c>
      <c r="M209" s="13" t="s">
        <v>154</v>
      </c>
      <c r="N209" s="13" t="s">
        <v>620</v>
      </c>
      <c r="O209" s="13" t="s">
        <v>738</v>
      </c>
      <c r="U209" s="47">
        <f t="shared" si="3"/>
        <v>113429</v>
      </c>
    </row>
    <row r="210" spans="1:21">
      <c r="A210" s="15">
        <v>221</v>
      </c>
      <c r="B210" s="45">
        <v>1354207</v>
      </c>
      <c r="C210" s="13" t="s">
        <v>739</v>
      </c>
      <c r="D210" s="13" t="s">
        <v>740</v>
      </c>
      <c r="E210" s="13" t="s">
        <v>391</v>
      </c>
      <c r="F210" s="13" t="s">
        <v>151</v>
      </c>
      <c r="G210" s="44">
        <v>45580</v>
      </c>
      <c r="H210" s="44">
        <v>46022</v>
      </c>
      <c r="I210" s="13" t="s">
        <v>638</v>
      </c>
      <c r="J210" s="46" t="s">
        <v>741</v>
      </c>
      <c r="M210" s="13" t="s">
        <v>154</v>
      </c>
      <c r="N210" s="13" t="s">
        <v>154</v>
      </c>
      <c r="U210" s="47">
        <f t="shared" si="3"/>
        <v>1354207</v>
      </c>
    </row>
    <row r="211" spans="1:21">
      <c r="A211" s="15">
        <v>222</v>
      </c>
      <c r="B211" s="45">
        <v>919473</v>
      </c>
      <c r="C211" s="13" t="s">
        <v>742</v>
      </c>
      <c r="D211" s="13" t="s">
        <v>743</v>
      </c>
      <c r="E211" s="13" t="s">
        <v>744</v>
      </c>
      <c r="F211" s="13" t="s">
        <v>151</v>
      </c>
      <c r="G211" s="44">
        <v>43831</v>
      </c>
      <c r="H211" s="44">
        <v>48213</v>
      </c>
      <c r="I211" s="13" t="s">
        <v>638</v>
      </c>
      <c r="J211" s="46" t="s">
        <v>745</v>
      </c>
      <c r="M211" s="13" t="s">
        <v>154</v>
      </c>
      <c r="N211" s="13" t="s">
        <v>154</v>
      </c>
      <c r="U211" s="47">
        <f t="shared" si="3"/>
        <v>919473</v>
      </c>
    </row>
    <row r="212" spans="1:21">
      <c r="A212" s="15">
        <v>223</v>
      </c>
      <c r="B212" s="45">
        <v>919472</v>
      </c>
      <c r="C212" s="13" t="s">
        <v>746</v>
      </c>
      <c r="D212" s="13" t="s">
        <v>747</v>
      </c>
      <c r="E212" s="13" t="s">
        <v>165</v>
      </c>
      <c r="F212" s="13" t="s">
        <v>151</v>
      </c>
      <c r="G212" s="44">
        <v>43831</v>
      </c>
      <c r="H212" s="44">
        <v>48213</v>
      </c>
      <c r="I212" s="13" t="s">
        <v>638</v>
      </c>
      <c r="J212" s="46" t="s">
        <v>748</v>
      </c>
      <c r="M212" s="13" t="s">
        <v>154</v>
      </c>
      <c r="N212" s="13" t="s">
        <v>154</v>
      </c>
      <c r="O212" s="13" t="s">
        <v>749</v>
      </c>
      <c r="U212" s="47">
        <f t="shared" si="3"/>
        <v>919472</v>
      </c>
    </row>
    <row r="213" spans="1:21">
      <c r="A213" s="15">
        <v>224</v>
      </c>
      <c r="B213" s="45">
        <v>920027</v>
      </c>
      <c r="C213" s="13" t="s">
        <v>750</v>
      </c>
      <c r="D213" s="13" t="s">
        <v>751</v>
      </c>
      <c r="E213" s="13" t="s">
        <v>752</v>
      </c>
      <c r="F213" s="13" t="s">
        <v>151</v>
      </c>
      <c r="G213" s="44">
        <v>43831</v>
      </c>
      <c r="H213" s="44">
        <v>48213</v>
      </c>
      <c r="I213" s="13" t="s">
        <v>638</v>
      </c>
      <c r="J213" s="46" t="s">
        <v>753</v>
      </c>
      <c r="M213" s="13" t="s">
        <v>154</v>
      </c>
      <c r="N213" s="13" t="s">
        <v>154</v>
      </c>
      <c r="U213" s="47">
        <f t="shared" si="3"/>
        <v>920027</v>
      </c>
    </row>
    <row r="214" spans="1:21">
      <c r="A214" s="15">
        <v>225</v>
      </c>
      <c r="B214" s="45">
        <v>20377</v>
      </c>
      <c r="C214" s="13" t="s">
        <v>404</v>
      </c>
      <c r="D214" s="13" t="s">
        <v>754</v>
      </c>
      <c r="E214" s="13" t="s">
        <v>406</v>
      </c>
      <c r="F214" s="13" t="s">
        <v>151</v>
      </c>
      <c r="G214" s="44">
        <v>43831</v>
      </c>
      <c r="H214" s="44">
        <v>48213</v>
      </c>
      <c r="I214" s="13" t="s">
        <v>252</v>
      </c>
      <c r="J214" s="46" t="s">
        <v>755</v>
      </c>
      <c r="M214" s="13" t="s">
        <v>154</v>
      </c>
      <c r="N214" s="13" t="s">
        <v>154</v>
      </c>
      <c r="U214" s="47">
        <f t="shared" si="3"/>
        <v>20377</v>
      </c>
    </row>
    <row r="215" spans="1:21">
      <c r="A215" s="15">
        <v>226</v>
      </c>
      <c r="B215" s="45">
        <v>138120</v>
      </c>
      <c r="C215" s="13" t="s">
        <v>756</v>
      </c>
      <c r="D215" s="13" t="s">
        <v>757</v>
      </c>
      <c r="E215" s="13" t="s">
        <v>758</v>
      </c>
      <c r="F215" s="13" t="s">
        <v>151</v>
      </c>
      <c r="G215" s="44">
        <v>44407</v>
      </c>
      <c r="H215" s="44">
        <v>48213</v>
      </c>
      <c r="I215" s="13" t="s">
        <v>638</v>
      </c>
      <c r="J215" s="46" t="s">
        <v>759</v>
      </c>
      <c r="M215" s="13" t="s">
        <v>154</v>
      </c>
      <c r="N215" s="13" t="s">
        <v>154</v>
      </c>
      <c r="U215" s="47">
        <f t="shared" si="3"/>
        <v>138120</v>
      </c>
    </row>
    <row r="216" spans="1:21">
      <c r="A216" s="15">
        <v>227</v>
      </c>
      <c r="B216" s="45">
        <v>919481</v>
      </c>
      <c r="C216" s="13" t="s">
        <v>760</v>
      </c>
      <c r="D216" s="13" t="s">
        <v>761</v>
      </c>
      <c r="E216" s="13" t="s">
        <v>762</v>
      </c>
      <c r="F216" s="13" t="s">
        <v>151</v>
      </c>
      <c r="G216" s="44">
        <v>43831</v>
      </c>
      <c r="H216" s="44">
        <v>48213</v>
      </c>
      <c r="I216" s="13" t="s">
        <v>638</v>
      </c>
      <c r="J216" s="46" t="s">
        <v>763</v>
      </c>
      <c r="M216" s="13" t="s">
        <v>154</v>
      </c>
      <c r="N216" s="13" t="s">
        <v>154</v>
      </c>
      <c r="U216" s="47">
        <f t="shared" si="3"/>
        <v>919481</v>
      </c>
    </row>
    <row r="217" spans="1:21">
      <c r="A217" s="15">
        <v>228</v>
      </c>
      <c r="B217" s="45">
        <v>1224303</v>
      </c>
      <c r="C217" s="13" t="s">
        <v>764</v>
      </c>
      <c r="D217" s="13" t="s">
        <v>765</v>
      </c>
      <c r="E217" s="13" t="s">
        <v>172</v>
      </c>
      <c r="F217" s="13" t="s">
        <v>151</v>
      </c>
      <c r="G217" s="44">
        <v>45307</v>
      </c>
      <c r="H217" s="44">
        <v>45657</v>
      </c>
      <c r="I217" s="13" t="s">
        <v>638</v>
      </c>
      <c r="J217" s="46" t="s">
        <v>766</v>
      </c>
      <c r="M217" s="13" t="s">
        <v>154</v>
      </c>
      <c r="N217" s="13" t="s">
        <v>154</v>
      </c>
      <c r="U217" s="47">
        <f t="shared" si="3"/>
        <v>1224303</v>
      </c>
    </row>
    <row r="218" spans="1:21">
      <c r="A218" s="15">
        <v>229</v>
      </c>
      <c r="B218" s="45">
        <v>919480</v>
      </c>
      <c r="C218" s="13" t="s">
        <v>767</v>
      </c>
      <c r="D218" s="13" t="s">
        <v>768</v>
      </c>
      <c r="E218" s="13" t="s">
        <v>652</v>
      </c>
      <c r="F218" s="13" t="s">
        <v>151</v>
      </c>
      <c r="G218" s="44">
        <v>43831</v>
      </c>
      <c r="H218" s="44">
        <v>48213</v>
      </c>
      <c r="I218" s="13" t="s">
        <v>638</v>
      </c>
      <c r="J218" s="46" t="s">
        <v>769</v>
      </c>
      <c r="M218" s="13" t="s">
        <v>154</v>
      </c>
      <c r="N218" s="13" t="s">
        <v>154</v>
      </c>
      <c r="U218" s="47">
        <f t="shared" si="3"/>
        <v>919480</v>
      </c>
    </row>
    <row r="219" spans="1:21">
      <c r="A219" s="15">
        <v>230</v>
      </c>
      <c r="B219" s="45">
        <v>1336192</v>
      </c>
      <c r="C219" s="13" t="s">
        <v>770</v>
      </c>
      <c r="D219" s="13" t="s">
        <v>771</v>
      </c>
      <c r="E219" s="13" t="s">
        <v>652</v>
      </c>
      <c r="F219" s="13" t="s">
        <v>151</v>
      </c>
      <c r="G219" s="44">
        <v>45609</v>
      </c>
      <c r="H219" s="44">
        <v>45961</v>
      </c>
      <c r="I219" s="13" t="s">
        <v>638</v>
      </c>
      <c r="J219" s="46" t="s">
        <v>772</v>
      </c>
      <c r="M219" s="13" t="s">
        <v>154</v>
      </c>
      <c r="N219" s="13" t="s">
        <v>154</v>
      </c>
      <c r="U219" s="47">
        <f t="shared" si="3"/>
        <v>1336192</v>
      </c>
    </row>
    <row r="220" spans="1:21">
      <c r="A220" s="15">
        <v>231</v>
      </c>
      <c r="B220" s="45">
        <v>1382830</v>
      </c>
      <c r="C220" s="13" t="s">
        <v>773</v>
      </c>
      <c r="D220" s="13" t="s">
        <v>774</v>
      </c>
      <c r="E220" s="13" t="s">
        <v>652</v>
      </c>
      <c r="F220" s="13" t="s">
        <v>151</v>
      </c>
      <c r="G220" s="44">
        <v>45747</v>
      </c>
      <c r="H220" s="44">
        <v>46022</v>
      </c>
      <c r="I220" s="13" t="s">
        <v>638</v>
      </c>
      <c r="J220" s="46" t="s">
        <v>775</v>
      </c>
      <c r="M220" s="13" t="s">
        <v>154</v>
      </c>
      <c r="N220" s="13" t="s">
        <v>154</v>
      </c>
      <c r="U220" s="47">
        <f t="shared" si="3"/>
        <v>1382830</v>
      </c>
    </row>
    <row r="221" spans="1:21">
      <c r="A221" s="15">
        <v>232</v>
      </c>
      <c r="B221" s="45">
        <v>919495</v>
      </c>
      <c r="C221" s="13" t="s">
        <v>776</v>
      </c>
      <c r="D221" s="13" t="s">
        <v>777</v>
      </c>
      <c r="E221" s="13" t="s">
        <v>358</v>
      </c>
      <c r="F221" s="13" t="s">
        <v>151</v>
      </c>
      <c r="G221" s="44">
        <v>43831</v>
      </c>
      <c r="H221" s="44">
        <v>48213</v>
      </c>
      <c r="I221" s="13" t="s">
        <v>638</v>
      </c>
      <c r="J221" s="46" t="s">
        <v>778</v>
      </c>
      <c r="M221" s="13" t="s">
        <v>154</v>
      </c>
      <c r="N221" s="13" t="s">
        <v>154</v>
      </c>
      <c r="U221" s="47">
        <f t="shared" si="3"/>
        <v>919495</v>
      </c>
    </row>
    <row r="222" spans="1:21">
      <c r="A222" s="15">
        <v>233</v>
      </c>
      <c r="B222" s="45">
        <v>919506</v>
      </c>
      <c r="C222" s="13" t="s">
        <v>779</v>
      </c>
      <c r="D222" s="13" t="s">
        <v>780</v>
      </c>
      <c r="E222" s="13" t="s">
        <v>781</v>
      </c>
      <c r="F222" s="13" t="s">
        <v>151</v>
      </c>
      <c r="G222" s="44">
        <v>43831</v>
      </c>
      <c r="H222" s="44">
        <v>48213</v>
      </c>
      <c r="I222" s="13" t="s">
        <v>638</v>
      </c>
      <c r="J222" s="46" t="s">
        <v>782</v>
      </c>
      <c r="M222" s="13" t="s">
        <v>154</v>
      </c>
      <c r="N222" s="13" t="s">
        <v>154</v>
      </c>
      <c r="U222" s="47">
        <f t="shared" si="3"/>
        <v>919506</v>
      </c>
    </row>
    <row r="223" spans="1:21">
      <c r="A223" s="15">
        <v>234</v>
      </c>
      <c r="B223" s="45">
        <v>919498</v>
      </c>
      <c r="C223" s="13" t="s">
        <v>783</v>
      </c>
      <c r="D223" s="13" t="s">
        <v>784</v>
      </c>
      <c r="E223" s="13" t="s">
        <v>165</v>
      </c>
      <c r="F223" s="13" t="s">
        <v>151</v>
      </c>
      <c r="G223" s="44">
        <v>43831</v>
      </c>
      <c r="H223" s="44">
        <v>48213</v>
      </c>
      <c r="I223" s="13" t="s">
        <v>660</v>
      </c>
      <c r="J223" s="46" t="s">
        <v>785</v>
      </c>
      <c r="M223" s="13" t="s">
        <v>154</v>
      </c>
      <c r="N223" s="13" t="s">
        <v>154</v>
      </c>
      <c r="O223" s="13" t="s">
        <v>786</v>
      </c>
      <c r="U223" s="47">
        <f t="shared" si="3"/>
        <v>919498</v>
      </c>
    </row>
    <row r="224" spans="1:21">
      <c r="A224" s="15">
        <v>235</v>
      </c>
      <c r="B224" s="45">
        <v>919497</v>
      </c>
      <c r="C224" s="13" t="s">
        <v>764</v>
      </c>
      <c r="D224" s="13" t="s">
        <v>787</v>
      </c>
      <c r="E224" s="13" t="s">
        <v>788</v>
      </c>
      <c r="F224" s="13" t="s">
        <v>151</v>
      </c>
      <c r="G224" s="44">
        <v>43831</v>
      </c>
      <c r="H224" s="44">
        <v>48213</v>
      </c>
      <c r="I224" s="13" t="s">
        <v>638</v>
      </c>
      <c r="J224" s="46" t="s">
        <v>789</v>
      </c>
      <c r="M224" s="13" t="s">
        <v>154</v>
      </c>
      <c r="N224" s="13" t="s">
        <v>154</v>
      </c>
      <c r="U224" s="47">
        <f t="shared" si="3"/>
        <v>919497</v>
      </c>
    </row>
    <row r="225" spans="1:21">
      <c r="A225" s="15">
        <v>236</v>
      </c>
      <c r="B225" s="45">
        <v>124147</v>
      </c>
      <c r="C225" s="13" t="s">
        <v>790</v>
      </c>
      <c r="D225" s="13" t="s">
        <v>791</v>
      </c>
      <c r="E225" s="13" t="s">
        <v>431</v>
      </c>
      <c r="F225" s="13" t="s">
        <v>151</v>
      </c>
      <c r="G225" s="44">
        <v>43831</v>
      </c>
      <c r="H225" s="44">
        <v>48213</v>
      </c>
      <c r="I225" s="13" t="s">
        <v>252</v>
      </c>
      <c r="J225" s="46" t="s">
        <v>792</v>
      </c>
      <c r="M225" s="13" t="s">
        <v>154</v>
      </c>
      <c r="N225" s="13" t="s">
        <v>154</v>
      </c>
      <c r="O225" s="13" t="s">
        <v>688</v>
      </c>
      <c r="U225" s="47">
        <f t="shared" si="3"/>
        <v>124147</v>
      </c>
    </row>
    <row r="226" spans="1:21">
      <c r="A226" s="15">
        <v>237</v>
      </c>
      <c r="B226" s="45">
        <v>1395471</v>
      </c>
      <c r="C226" s="13" t="s">
        <v>793</v>
      </c>
      <c r="D226" s="13" t="s">
        <v>794</v>
      </c>
      <c r="E226" s="13" t="s">
        <v>366</v>
      </c>
      <c r="F226" s="13" t="s">
        <v>795</v>
      </c>
      <c r="G226" s="44">
        <v>45820</v>
      </c>
      <c r="H226" s="44">
        <v>46387</v>
      </c>
      <c r="I226" s="13" t="s">
        <v>638</v>
      </c>
      <c r="J226" s="46" t="s">
        <v>796</v>
      </c>
      <c r="K226" s="13" t="s">
        <v>619</v>
      </c>
      <c r="L226" s="13" t="s">
        <v>797</v>
      </c>
      <c r="M226" s="13" t="s">
        <v>154</v>
      </c>
      <c r="N226" s="13" t="s">
        <v>620</v>
      </c>
      <c r="U226" s="47">
        <f t="shared" si="3"/>
        <v>1395471</v>
      </c>
    </row>
    <row r="227" spans="1:21">
      <c r="A227" s="15">
        <v>238</v>
      </c>
      <c r="B227" s="45">
        <v>52919</v>
      </c>
      <c r="C227" s="13" t="s">
        <v>798</v>
      </c>
      <c r="D227" s="13" t="s">
        <v>799</v>
      </c>
      <c r="E227" s="13" t="s">
        <v>800</v>
      </c>
      <c r="F227" s="13" t="s">
        <v>795</v>
      </c>
      <c r="G227" s="44">
        <v>43831</v>
      </c>
      <c r="H227" s="44">
        <v>48213</v>
      </c>
      <c r="I227" s="13" t="s">
        <v>638</v>
      </c>
      <c r="J227" s="46" t="s">
        <v>801</v>
      </c>
      <c r="M227" s="13" t="s">
        <v>154</v>
      </c>
      <c r="N227" s="13" t="s">
        <v>154</v>
      </c>
      <c r="U227" s="47">
        <f t="shared" si="3"/>
        <v>52919</v>
      </c>
    </row>
    <row r="228" spans="1:21">
      <c r="A228" s="15">
        <v>239</v>
      </c>
      <c r="B228" s="45">
        <v>40513</v>
      </c>
      <c r="C228" s="13" t="s">
        <v>802</v>
      </c>
      <c r="D228" s="13" t="s">
        <v>803</v>
      </c>
      <c r="E228" s="13" t="s">
        <v>334</v>
      </c>
      <c r="F228" s="13" t="s">
        <v>795</v>
      </c>
      <c r="G228" s="44">
        <v>43831</v>
      </c>
      <c r="H228" s="44">
        <v>45291</v>
      </c>
      <c r="I228" s="13" t="s">
        <v>252</v>
      </c>
      <c r="J228" s="46" t="s">
        <v>804</v>
      </c>
      <c r="M228" s="13" t="s">
        <v>154</v>
      </c>
      <c r="N228" s="13" t="s">
        <v>154</v>
      </c>
      <c r="U228" s="47">
        <f t="shared" si="3"/>
        <v>40513</v>
      </c>
    </row>
    <row r="229" spans="1:21">
      <c r="A229" s="15">
        <v>240</v>
      </c>
      <c r="B229" s="45">
        <v>921763</v>
      </c>
      <c r="C229" s="13" t="s">
        <v>805</v>
      </c>
      <c r="D229" s="13" t="s">
        <v>806</v>
      </c>
      <c r="E229" s="13" t="s">
        <v>165</v>
      </c>
      <c r="F229" s="13" t="s">
        <v>795</v>
      </c>
      <c r="G229" s="44">
        <v>43831</v>
      </c>
      <c r="H229" s="44">
        <v>48213</v>
      </c>
      <c r="I229" s="13" t="s">
        <v>660</v>
      </c>
      <c r="J229" s="46" t="s">
        <v>804</v>
      </c>
      <c r="M229" s="13" t="s">
        <v>154</v>
      </c>
      <c r="N229" s="13" t="s">
        <v>154</v>
      </c>
      <c r="O229" s="13" t="s">
        <v>807</v>
      </c>
      <c r="U229" s="47">
        <f t="shared" si="3"/>
        <v>921763</v>
      </c>
    </row>
    <row r="230" spans="1:21">
      <c r="A230" s="15">
        <v>241</v>
      </c>
      <c r="B230" s="45">
        <v>922918</v>
      </c>
      <c r="C230" s="13" t="s">
        <v>808</v>
      </c>
      <c r="D230" s="13" t="s">
        <v>809</v>
      </c>
      <c r="E230" s="13" t="s">
        <v>165</v>
      </c>
      <c r="F230" s="13" t="s">
        <v>795</v>
      </c>
      <c r="G230" s="44">
        <v>44078</v>
      </c>
      <c r="H230" s="44">
        <v>45291</v>
      </c>
      <c r="I230" s="13" t="s">
        <v>158</v>
      </c>
      <c r="J230" s="46" t="s">
        <v>804</v>
      </c>
      <c r="K230" s="13" t="s">
        <v>19</v>
      </c>
      <c r="M230" s="13" t="s">
        <v>154</v>
      </c>
      <c r="N230" s="13" t="s">
        <v>154</v>
      </c>
      <c r="O230" s="13" t="s">
        <v>808</v>
      </c>
      <c r="U230" s="47">
        <f t="shared" si="3"/>
        <v>922918</v>
      </c>
    </row>
    <row r="231" spans="1:21">
      <c r="A231" s="15">
        <v>242</v>
      </c>
      <c r="B231" s="45">
        <v>922480</v>
      </c>
      <c r="C231" s="13" t="s">
        <v>810</v>
      </c>
      <c r="D231" s="13" t="s">
        <v>811</v>
      </c>
      <c r="E231" s="13" t="s">
        <v>165</v>
      </c>
      <c r="F231" s="13" t="s">
        <v>795</v>
      </c>
      <c r="G231" s="44">
        <v>44197</v>
      </c>
      <c r="H231" s="44">
        <v>46022</v>
      </c>
      <c r="I231" s="13" t="s">
        <v>678</v>
      </c>
      <c r="J231" s="46" t="s">
        <v>812</v>
      </c>
      <c r="M231" s="13" t="s">
        <v>154</v>
      </c>
      <c r="N231" s="13" t="s">
        <v>154</v>
      </c>
      <c r="O231" s="13" t="s">
        <v>813</v>
      </c>
      <c r="U231" s="47">
        <f t="shared" si="3"/>
        <v>922480</v>
      </c>
    </row>
    <row r="232" spans="1:21">
      <c r="A232" s="15">
        <v>243</v>
      </c>
      <c r="B232" s="45">
        <v>920032</v>
      </c>
      <c r="C232" s="13" t="s">
        <v>814</v>
      </c>
      <c r="D232" s="13" t="s">
        <v>815</v>
      </c>
      <c r="E232" s="13" t="s">
        <v>637</v>
      </c>
      <c r="F232" s="13" t="s">
        <v>795</v>
      </c>
      <c r="G232" s="44">
        <v>43831</v>
      </c>
      <c r="H232" s="44">
        <v>48213</v>
      </c>
      <c r="I232" s="13" t="s">
        <v>678</v>
      </c>
      <c r="J232" s="46" t="s">
        <v>804</v>
      </c>
      <c r="L232" s="13" t="s">
        <v>816</v>
      </c>
      <c r="M232" s="13" t="s">
        <v>154</v>
      </c>
      <c r="N232" s="13" t="s">
        <v>154</v>
      </c>
      <c r="U232" s="47">
        <f t="shared" si="3"/>
        <v>920032</v>
      </c>
    </row>
    <row r="233" spans="1:21">
      <c r="A233" s="15">
        <v>244</v>
      </c>
      <c r="B233" s="45">
        <v>52919</v>
      </c>
      <c r="C233" s="13" t="s">
        <v>746</v>
      </c>
      <c r="D233" s="13" t="s">
        <v>817</v>
      </c>
      <c r="E233" s="13" t="s">
        <v>165</v>
      </c>
      <c r="F233" s="13" t="s">
        <v>795</v>
      </c>
      <c r="G233" s="44">
        <v>43831</v>
      </c>
      <c r="H233" s="44">
        <v>48213</v>
      </c>
      <c r="I233" s="13" t="s">
        <v>638</v>
      </c>
      <c r="J233" s="46" t="s">
        <v>818</v>
      </c>
      <c r="M233" s="13" t="s">
        <v>154</v>
      </c>
      <c r="N233" s="13" t="s">
        <v>154</v>
      </c>
      <c r="U233" s="47">
        <f t="shared" si="3"/>
        <v>52919</v>
      </c>
    </row>
    <row r="234" spans="1:21">
      <c r="A234" s="15">
        <v>245</v>
      </c>
      <c r="B234" s="45">
        <v>922481</v>
      </c>
      <c r="C234" s="13" t="s">
        <v>790</v>
      </c>
      <c r="D234" s="13" t="s">
        <v>819</v>
      </c>
      <c r="E234" s="13" t="s">
        <v>431</v>
      </c>
      <c r="F234" s="13" t="s">
        <v>820</v>
      </c>
      <c r="G234" s="44">
        <v>44197</v>
      </c>
      <c r="H234" s="44">
        <v>46022</v>
      </c>
      <c r="I234" s="13" t="s">
        <v>638</v>
      </c>
      <c r="J234" s="46" t="s">
        <v>821</v>
      </c>
      <c r="M234" s="13" t="s">
        <v>154</v>
      </c>
      <c r="N234" s="13" t="s">
        <v>154</v>
      </c>
      <c r="U234" s="47">
        <f t="shared" si="3"/>
        <v>922481</v>
      </c>
    </row>
    <row r="235" spans="1:21">
      <c r="A235" s="15">
        <v>246</v>
      </c>
      <c r="B235" s="45">
        <v>920498</v>
      </c>
      <c r="G235" s="44">
        <v>43831</v>
      </c>
      <c r="H235" s="44">
        <v>45291</v>
      </c>
      <c r="S235" s="12">
        <v>1456407</v>
      </c>
      <c r="U235" s="47">
        <f t="shared" si="3"/>
        <v>920498</v>
      </c>
    </row>
    <row r="236" spans="1:21">
      <c r="A236" s="15">
        <v>247</v>
      </c>
      <c r="B236" s="45">
        <v>52919</v>
      </c>
      <c r="G236" s="44">
        <v>43831</v>
      </c>
      <c r="H236" s="44">
        <v>48213</v>
      </c>
      <c r="S236" s="12">
        <v>1456407</v>
      </c>
      <c r="U236" s="47">
        <f t="shared" si="3"/>
        <v>52919</v>
      </c>
    </row>
    <row r="237" spans="1:21">
      <c r="A237" s="15">
        <v>248</v>
      </c>
      <c r="B237" s="45">
        <v>143033</v>
      </c>
      <c r="G237" s="44">
        <v>44197</v>
      </c>
      <c r="H237" s="44">
        <v>46022</v>
      </c>
      <c r="S237" s="12">
        <v>1456407</v>
      </c>
      <c r="U237" s="47">
        <f t="shared" si="3"/>
        <v>143033</v>
      </c>
    </row>
    <row r="238" spans="1:21">
      <c r="A238" s="15">
        <v>249</v>
      </c>
      <c r="B238" s="45">
        <v>82379</v>
      </c>
      <c r="G238" s="44">
        <v>43831</v>
      </c>
      <c r="H238" s="44">
        <v>45716</v>
      </c>
      <c r="S238" s="12">
        <v>1456407</v>
      </c>
      <c r="U238" s="47">
        <f t="shared" si="3"/>
        <v>82379</v>
      </c>
    </row>
    <row r="239" spans="1:21">
      <c r="A239" s="15">
        <v>250</v>
      </c>
      <c r="B239" s="45">
        <v>52919</v>
      </c>
      <c r="G239" s="44">
        <v>43831</v>
      </c>
      <c r="H239" s="44">
        <v>48213</v>
      </c>
      <c r="S239" s="12">
        <v>1456407</v>
      </c>
      <c r="U239" s="47">
        <f t="shared" si="3"/>
        <v>52919</v>
      </c>
    </row>
    <row r="240" spans="1:21">
      <c r="A240" s="15">
        <v>251</v>
      </c>
      <c r="B240" s="45">
        <v>1251807</v>
      </c>
      <c r="G240" s="44">
        <v>45385</v>
      </c>
      <c r="H240" s="44">
        <v>45657</v>
      </c>
      <c r="S240" s="12">
        <v>1456407</v>
      </c>
      <c r="U240" s="47">
        <f t="shared" si="3"/>
        <v>1251807</v>
      </c>
    </row>
    <row r="241" spans="1:21">
      <c r="A241" s="15">
        <v>252</v>
      </c>
      <c r="B241" s="45">
        <v>919482</v>
      </c>
      <c r="G241" s="44">
        <v>43831</v>
      </c>
      <c r="H241" s="44">
        <v>48213</v>
      </c>
      <c r="S241" s="12">
        <v>1456407</v>
      </c>
      <c r="U241" s="47">
        <f t="shared" si="3"/>
        <v>919482</v>
      </c>
    </row>
    <row r="242" spans="1:21">
      <c r="A242" s="15">
        <v>253</v>
      </c>
      <c r="B242" s="45">
        <v>919483</v>
      </c>
      <c r="G242" s="44">
        <v>43831</v>
      </c>
      <c r="H242" s="44">
        <v>48213</v>
      </c>
      <c r="S242" s="12">
        <v>1456407</v>
      </c>
      <c r="U242" s="47">
        <f t="shared" si="3"/>
        <v>919483</v>
      </c>
    </row>
    <row r="243" spans="1:21">
      <c r="A243" s="15">
        <v>254</v>
      </c>
      <c r="B243" s="45">
        <v>919468</v>
      </c>
      <c r="G243" s="44">
        <v>43831</v>
      </c>
      <c r="H243" s="44">
        <v>48213</v>
      </c>
      <c r="S243" s="12">
        <v>1456407</v>
      </c>
      <c r="U243" s="47">
        <f t="shared" si="3"/>
        <v>919468</v>
      </c>
    </row>
    <row r="244" spans="1:21">
      <c r="A244" s="15">
        <v>255</v>
      </c>
      <c r="B244" s="45">
        <v>919469</v>
      </c>
      <c r="G244" s="44">
        <v>43831</v>
      </c>
      <c r="H244" s="44">
        <v>48213</v>
      </c>
      <c r="S244" s="12">
        <v>1456407</v>
      </c>
      <c r="U244" s="47">
        <f t="shared" si="3"/>
        <v>919469</v>
      </c>
    </row>
    <row r="245" spans="1:21">
      <c r="A245" s="15">
        <v>256</v>
      </c>
      <c r="B245" s="45">
        <v>1370261</v>
      </c>
      <c r="G245" s="44">
        <v>45635</v>
      </c>
      <c r="H245" s="44">
        <v>46387</v>
      </c>
      <c r="S245" s="12">
        <v>1456407</v>
      </c>
      <c r="U245" s="47">
        <f t="shared" si="3"/>
        <v>1370261</v>
      </c>
    </row>
    <row r="246" spans="1:21">
      <c r="A246" s="15">
        <v>257</v>
      </c>
      <c r="B246" s="45">
        <v>1509408</v>
      </c>
      <c r="G246" s="44">
        <v>45809</v>
      </c>
      <c r="H246" s="44">
        <v>46113</v>
      </c>
      <c r="S246" s="12">
        <v>1456407</v>
      </c>
      <c r="U246" s="47">
        <f t="shared" si="3"/>
        <v>1509408</v>
      </c>
    </row>
    <row r="247" spans="1:21">
      <c r="A247" s="15">
        <v>258</v>
      </c>
      <c r="B247" s="45">
        <v>921109</v>
      </c>
      <c r="G247" s="44">
        <v>43831</v>
      </c>
      <c r="H247" s="44">
        <v>48213</v>
      </c>
      <c r="U247" s="47">
        <f t="shared" si="3"/>
        <v>921109</v>
      </c>
    </row>
    <row r="248" spans="1:21">
      <c r="A248" s="15">
        <v>259</v>
      </c>
      <c r="B248" s="45">
        <v>52919</v>
      </c>
      <c r="G248" s="44">
        <v>43831</v>
      </c>
      <c r="H248" s="44">
        <v>48213</v>
      </c>
      <c r="U248" s="47">
        <f t="shared" si="3"/>
        <v>52919</v>
      </c>
    </row>
    <row r="249" spans="1:21">
      <c r="A249" s="15">
        <v>260</v>
      </c>
      <c r="B249" s="45">
        <v>101738</v>
      </c>
      <c r="G249" s="44">
        <v>42697</v>
      </c>
      <c r="H249" s="44">
        <v>48213</v>
      </c>
      <c r="U249" s="47">
        <f t="shared" si="3"/>
        <v>101738</v>
      </c>
    </row>
    <row r="250" spans="1:21">
      <c r="A250" s="15">
        <v>261</v>
      </c>
      <c r="B250" s="45">
        <v>1310150</v>
      </c>
      <c r="G250" s="14">
        <v>45575</v>
      </c>
      <c r="H250" s="14">
        <v>46752</v>
      </c>
      <c r="U250" s="47">
        <f t="shared" si="3"/>
        <v>1310150</v>
      </c>
    </row>
    <row r="251" spans="1:21">
      <c r="A251" s="15">
        <v>262</v>
      </c>
      <c r="B251" s="45">
        <v>78878</v>
      </c>
      <c r="G251" s="14">
        <v>41522</v>
      </c>
      <c r="H251" s="14">
        <v>48213</v>
      </c>
      <c r="U251" s="47">
        <f t="shared" si="3"/>
        <v>78878</v>
      </c>
    </row>
    <row r="252" spans="1:21">
      <c r="A252" s="15">
        <v>263</v>
      </c>
      <c r="B252" s="45">
        <v>88589</v>
      </c>
      <c r="G252" s="14">
        <v>43831</v>
      </c>
      <c r="H252" s="14">
        <v>48213</v>
      </c>
      <c r="U252" s="47">
        <f t="shared" si="3"/>
        <v>88589</v>
      </c>
    </row>
    <row r="253" spans="1:21">
      <c r="A253" s="15">
        <v>264</v>
      </c>
      <c r="B253" s="45">
        <v>1382472</v>
      </c>
      <c r="G253" s="14">
        <v>45723</v>
      </c>
      <c r="H253" s="14">
        <v>46812</v>
      </c>
      <c r="U253" s="47">
        <f t="shared" si="3"/>
        <v>1382472</v>
      </c>
    </row>
    <row r="254" spans="1:21">
      <c r="A254" s="15">
        <v>265</v>
      </c>
      <c r="B254" s="45">
        <v>133246</v>
      </c>
      <c r="G254" s="14">
        <v>43831</v>
      </c>
      <c r="H254" s="14">
        <v>45838</v>
      </c>
      <c r="U254" s="47">
        <f t="shared" si="3"/>
        <v>133246</v>
      </c>
    </row>
    <row r="255" spans="1:21">
      <c r="A255" s="15">
        <v>266</v>
      </c>
      <c r="B255" s="45">
        <v>1486417</v>
      </c>
      <c r="G255" s="14">
        <v>45658</v>
      </c>
      <c r="H255" s="14">
        <v>46752</v>
      </c>
      <c r="U255" s="47">
        <f t="shared" si="3"/>
        <v>1486417</v>
      </c>
    </row>
    <row r="256" spans="1:21">
      <c r="A256" s="15">
        <v>267</v>
      </c>
      <c r="B256" s="45">
        <v>20377</v>
      </c>
      <c r="G256" s="14">
        <v>43831</v>
      </c>
      <c r="H256" s="14">
        <v>48213</v>
      </c>
      <c r="U256" s="47">
        <f t="shared" si="3"/>
        <v>20377</v>
      </c>
    </row>
    <row r="257" spans="1:21">
      <c r="A257" s="15">
        <v>268</v>
      </c>
      <c r="B257" s="45">
        <v>79751</v>
      </c>
      <c r="G257" s="14">
        <v>43831</v>
      </c>
      <c r="H257" s="14">
        <v>48213</v>
      </c>
      <c r="U257" s="47">
        <f t="shared" si="3"/>
        <v>79751</v>
      </c>
    </row>
    <row r="258" spans="1:21">
      <c r="A258" s="15">
        <v>269</v>
      </c>
      <c r="B258" s="45">
        <v>49334</v>
      </c>
      <c r="G258" s="14">
        <v>43831</v>
      </c>
      <c r="H258" s="14">
        <v>46387</v>
      </c>
      <c r="U258" s="47">
        <f t="shared" si="3"/>
        <v>49334</v>
      </c>
    </row>
    <row r="259" spans="1:21">
      <c r="A259" s="15">
        <v>270</v>
      </c>
      <c r="B259" s="45">
        <v>92170</v>
      </c>
      <c r="G259" s="14">
        <v>43831</v>
      </c>
      <c r="H259" s="14">
        <v>48213</v>
      </c>
      <c r="U259" s="47">
        <f t="shared" ref="U259:U322" si="4">TRUNC(B259)</f>
        <v>92170</v>
      </c>
    </row>
    <row r="260" spans="1:21">
      <c r="A260" s="15">
        <v>271</v>
      </c>
      <c r="B260" s="45">
        <v>1396407</v>
      </c>
      <c r="G260" s="14">
        <v>45809</v>
      </c>
      <c r="H260" s="14">
        <v>46113</v>
      </c>
      <c r="U260" s="47">
        <f t="shared" si="4"/>
        <v>1396407</v>
      </c>
    </row>
    <row r="261" spans="1:21">
      <c r="A261" s="15">
        <v>272</v>
      </c>
      <c r="B261" s="45">
        <v>1288899</v>
      </c>
      <c r="G261" s="14">
        <v>45482</v>
      </c>
      <c r="H261" s="14">
        <v>46396</v>
      </c>
      <c r="U261" s="47">
        <f t="shared" si="4"/>
        <v>1288899</v>
      </c>
    </row>
    <row r="262" spans="1:21">
      <c r="A262" s="15">
        <v>273</v>
      </c>
      <c r="B262" s="45">
        <v>83530</v>
      </c>
      <c r="G262" s="14">
        <v>43831</v>
      </c>
      <c r="H262" s="14">
        <v>45291</v>
      </c>
      <c r="U262" s="47">
        <f t="shared" si="4"/>
        <v>83530</v>
      </c>
    </row>
    <row r="263" spans="1:21">
      <c r="A263" s="15">
        <v>274</v>
      </c>
      <c r="B263" s="45">
        <v>919455</v>
      </c>
      <c r="G263" s="14">
        <v>43831</v>
      </c>
      <c r="H263" s="14">
        <v>48213</v>
      </c>
      <c r="U263" s="47">
        <f t="shared" si="4"/>
        <v>919455</v>
      </c>
    </row>
    <row r="264" spans="1:21">
      <c r="A264" s="15">
        <v>275</v>
      </c>
      <c r="B264" s="45">
        <v>919456</v>
      </c>
      <c r="G264" s="14">
        <v>43831</v>
      </c>
      <c r="H264" s="14">
        <v>48213</v>
      </c>
      <c r="U264" s="47">
        <f t="shared" si="4"/>
        <v>919456</v>
      </c>
    </row>
    <row r="265" spans="1:21">
      <c r="A265" s="15">
        <v>276</v>
      </c>
      <c r="B265" s="45">
        <v>1253783</v>
      </c>
      <c r="G265" s="14">
        <v>45385</v>
      </c>
      <c r="H265" s="14">
        <v>45716</v>
      </c>
      <c r="U265" s="47">
        <f t="shared" si="4"/>
        <v>1253783</v>
      </c>
    </row>
    <row r="266" spans="1:21">
      <c r="A266" s="15">
        <v>277</v>
      </c>
      <c r="B266" s="45">
        <v>919463</v>
      </c>
      <c r="G266" s="14">
        <v>43831</v>
      </c>
      <c r="H266" s="14">
        <v>48213</v>
      </c>
      <c r="U266" s="47">
        <f t="shared" si="4"/>
        <v>919463</v>
      </c>
    </row>
    <row r="267" spans="1:21">
      <c r="A267" s="15">
        <v>278</v>
      </c>
      <c r="B267" s="45">
        <v>20377</v>
      </c>
      <c r="G267" s="14">
        <v>43831</v>
      </c>
      <c r="H267" s="14">
        <v>48213</v>
      </c>
      <c r="U267" s="47">
        <f t="shared" si="4"/>
        <v>20377</v>
      </c>
    </row>
    <row r="268" spans="1:21">
      <c r="A268" s="15">
        <v>279</v>
      </c>
      <c r="B268" s="45">
        <v>919457</v>
      </c>
      <c r="G268" s="14">
        <v>43831</v>
      </c>
      <c r="H268" s="14">
        <v>48213</v>
      </c>
      <c r="U268" s="47">
        <f t="shared" si="4"/>
        <v>919457</v>
      </c>
    </row>
    <row r="269" spans="1:21">
      <c r="A269" s="15">
        <v>280</v>
      </c>
      <c r="B269" s="45">
        <v>919458</v>
      </c>
      <c r="G269" s="14">
        <v>43831</v>
      </c>
      <c r="H269" s="14">
        <v>48213</v>
      </c>
      <c r="U269" s="47">
        <f t="shared" si="4"/>
        <v>919458</v>
      </c>
    </row>
    <row r="270" spans="1:21">
      <c r="A270" s="15">
        <v>281</v>
      </c>
      <c r="B270" s="45">
        <v>1395415</v>
      </c>
      <c r="G270" s="14">
        <v>45726</v>
      </c>
      <c r="H270" s="14">
        <v>46752</v>
      </c>
      <c r="U270" s="47">
        <f t="shared" si="4"/>
        <v>1395415</v>
      </c>
    </row>
    <row r="271" spans="1:21">
      <c r="A271" s="15">
        <v>282</v>
      </c>
      <c r="B271" s="45">
        <v>52919</v>
      </c>
      <c r="G271" s="14">
        <v>43831</v>
      </c>
      <c r="H271" s="14">
        <v>48213</v>
      </c>
      <c r="U271" s="47">
        <f t="shared" si="4"/>
        <v>52919</v>
      </c>
    </row>
    <row r="272" spans="1:21">
      <c r="A272" s="15">
        <v>283</v>
      </c>
      <c r="B272" s="45">
        <v>1286973</v>
      </c>
      <c r="G272" s="14">
        <v>45476</v>
      </c>
      <c r="H272" s="14">
        <v>45747</v>
      </c>
      <c r="U272" s="47">
        <f t="shared" si="4"/>
        <v>1286973</v>
      </c>
    </row>
    <row r="273" spans="1:21">
      <c r="A273" s="15">
        <v>284</v>
      </c>
      <c r="B273" s="45">
        <v>132325</v>
      </c>
      <c r="G273" s="14">
        <v>44138</v>
      </c>
      <c r="H273" s="14">
        <v>45657</v>
      </c>
      <c r="U273" s="47">
        <f t="shared" si="4"/>
        <v>132325</v>
      </c>
    </row>
    <row r="274" spans="1:21">
      <c r="A274" s="15">
        <v>285</v>
      </c>
      <c r="B274" s="45">
        <v>1287892</v>
      </c>
      <c r="G274" s="14">
        <v>45477</v>
      </c>
      <c r="H274" s="14">
        <v>45747</v>
      </c>
      <c r="U274" s="47">
        <f t="shared" si="4"/>
        <v>1287892</v>
      </c>
    </row>
    <row r="275" spans="1:21">
      <c r="A275" s="15">
        <v>286</v>
      </c>
      <c r="B275" s="45">
        <v>1137199</v>
      </c>
      <c r="G275" s="14">
        <v>45108</v>
      </c>
      <c r="H275" s="14">
        <v>46112</v>
      </c>
      <c r="U275" s="47">
        <f t="shared" si="4"/>
        <v>1137199</v>
      </c>
    </row>
    <row r="276" spans="1:21">
      <c r="A276" s="15">
        <v>287</v>
      </c>
      <c r="B276" s="45">
        <v>1382680</v>
      </c>
      <c r="G276" s="14">
        <v>45581</v>
      </c>
      <c r="H276" s="14">
        <v>47042</v>
      </c>
      <c r="U276" s="47">
        <f t="shared" si="4"/>
        <v>1382680</v>
      </c>
    </row>
    <row r="277" spans="1:21">
      <c r="A277" s="15">
        <v>288</v>
      </c>
      <c r="B277" s="45">
        <v>49334</v>
      </c>
      <c r="G277" s="14">
        <v>43831</v>
      </c>
      <c r="H277" s="14">
        <v>46387</v>
      </c>
      <c r="U277" s="47">
        <f t="shared" si="4"/>
        <v>49334</v>
      </c>
    </row>
    <row r="278" spans="1:21">
      <c r="A278" s="15">
        <v>289</v>
      </c>
      <c r="B278" s="45">
        <v>132348</v>
      </c>
      <c r="G278" s="14">
        <v>43831</v>
      </c>
      <c r="H278" s="14">
        <v>45291</v>
      </c>
      <c r="U278" s="47">
        <f t="shared" si="4"/>
        <v>132348</v>
      </c>
    </row>
    <row r="279" spans="1:21">
      <c r="A279" s="15">
        <v>290</v>
      </c>
      <c r="B279" s="45">
        <v>140530</v>
      </c>
      <c r="G279" s="14">
        <v>43831</v>
      </c>
      <c r="H279" s="14">
        <v>46022</v>
      </c>
      <c r="U279" s="47">
        <f t="shared" si="4"/>
        <v>140530</v>
      </c>
    </row>
    <row r="280" spans="1:21">
      <c r="A280" s="15">
        <v>291</v>
      </c>
      <c r="B280" s="45">
        <v>1394546</v>
      </c>
      <c r="G280" s="14">
        <v>45658</v>
      </c>
      <c r="H280" s="14">
        <v>46752</v>
      </c>
      <c r="U280" s="47">
        <f t="shared" si="4"/>
        <v>1394546</v>
      </c>
    </row>
    <row r="281" spans="1:21">
      <c r="A281" s="15">
        <v>292</v>
      </c>
      <c r="B281" s="45">
        <v>1313207</v>
      </c>
      <c r="G281" s="14">
        <v>45565</v>
      </c>
      <c r="H281" s="14">
        <v>45930</v>
      </c>
      <c r="U281" s="47">
        <f t="shared" si="4"/>
        <v>1313207</v>
      </c>
    </row>
    <row r="282" spans="1:21">
      <c r="A282" s="15">
        <v>293</v>
      </c>
      <c r="B282" s="45">
        <v>140138</v>
      </c>
      <c r="G282" s="14">
        <v>44197</v>
      </c>
      <c r="H282" s="14">
        <v>46022</v>
      </c>
      <c r="U282" s="47">
        <f t="shared" si="4"/>
        <v>140138</v>
      </c>
    </row>
    <row r="283" spans="1:21">
      <c r="A283" s="15">
        <v>294</v>
      </c>
      <c r="B283" s="45">
        <v>922392</v>
      </c>
      <c r="G283" s="14">
        <v>43831</v>
      </c>
      <c r="H283" s="14">
        <v>46022</v>
      </c>
      <c r="U283" s="47">
        <f t="shared" si="4"/>
        <v>922392</v>
      </c>
    </row>
    <row r="284" spans="1:21">
      <c r="A284" s="15">
        <v>295</v>
      </c>
      <c r="B284" s="45">
        <v>135681</v>
      </c>
      <c r="G284" s="14">
        <v>44197</v>
      </c>
      <c r="H284" s="14">
        <v>46022</v>
      </c>
      <c r="U284" s="47">
        <f t="shared" si="4"/>
        <v>135681</v>
      </c>
    </row>
    <row r="285" spans="1:21">
      <c r="A285" s="15">
        <v>296</v>
      </c>
      <c r="B285" s="45">
        <v>923185</v>
      </c>
      <c r="G285" s="14">
        <v>44734</v>
      </c>
      <c r="H285" s="14">
        <v>48213</v>
      </c>
      <c r="U285" s="47">
        <f t="shared" si="4"/>
        <v>923185</v>
      </c>
    </row>
    <row r="286" spans="1:21">
      <c r="A286" s="15">
        <v>297</v>
      </c>
      <c r="B286" s="45">
        <v>14145</v>
      </c>
      <c r="G286" s="14">
        <v>43831</v>
      </c>
      <c r="H286" s="14">
        <v>45291</v>
      </c>
      <c r="U286" s="47">
        <f t="shared" si="4"/>
        <v>14145</v>
      </c>
    </row>
    <row r="287" spans="1:21">
      <c r="A287" s="15">
        <v>298</v>
      </c>
      <c r="B287" s="45">
        <v>919957</v>
      </c>
      <c r="G287" s="14">
        <v>43831</v>
      </c>
      <c r="H287" s="14">
        <v>48213</v>
      </c>
      <c r="U287" s="47">
        <f t="shared" si="4"/>
        <v>919957</v>
      </c>
    </row>
    <row r="288" spans="1:21">
      <c r="A288" s="15">
        <v>299</v>
      </c>
      <c r="B288" s="45">
        <v>919958</v>
      </c>
      <c r="G288" s="14">
        <v>43831</v>
      </c>
      <c r="H288" s="14">
        <v>48213</v>
      </c>
      <c r="U288" s="47">
        <f t="shared" si="4"/>
        <v>919958</v>
      </c>
    </row>
    <row r="289" spans="1:21">
      <c r="A289" s="15">
        <v>300</v>
      </c>
      <c r="B289" s="45">
        <v>918468</v>
      </c>
      <c r="G289" s="14">
        <v>43831</v>
      </c>
      <c r="H289" s="14">
        <v>45291</v>
      </c>
      <c r="U289" s="47">
        <f t="shared" si="4"/>
        <v>918468</v>
      </c>
    </row>
    <row r="290" spans="1:21">
      <c r="A290" s="15">
        <v>301</v>
      </c>
      <c r="B290" s="45">
        <v>923038</v>
      </c>
      <c r="G290" s="14">
        <v>44228</v>
      </c>
      <c r="H290" s="14">
        <v>45291</v>
      </c>
      <c r="U290" s="47">
        <f t="shared" si="4"/>
        <v>923038</v>
      </c>
    </row>
    <row r="291" spans="1:21">
      <c r="A291" s="15">
        <v>302</v>
      </c>
      <c r="B291" s="45">
        <v>134164</v>
      </c>
      <c r="G291" s="14">
        <v>44228</v>
      </c>
      <c r="H291" s="14">
        <v>45291</v>
      </c>
      <c r="U291" s="47">
        <f t="shared" si="4"/>
        <v>134164</v>
      </c>
    </row>
    <row r="292" spans="1:21">
      <c r="A292" s="15">
        <v>303</v>
      </c>
      <c r="B292" s="45">
        <v>1044028</v>
      </c>
      <c r="G292" s="14">
        <v>44927</v>
      </c>
      <c r="H292" s="14">
        <v>45717</v>
      </c>
      <c r="U292" s="47">
        <f t="shared" si="4"/>
        <v>1044028</v>
      </c>
    </row>
    <row r="293" spans="1:21">
      <c r="A293" s="15">
        <v>304</v>
      </c>
      <c r="B293" s="45">
        <v>127128</v>
      </c>
      <c r="G293" s="14">
        <v>43905</v>
      </c>
      <c r="H293" s="14">
        <v>48213</v>
      </c>
      <c r="U293" s="47">
        <f t="shared" si="4"/>
        <v>127128</v>
      </c>
    </row>
    <row r="294" spans="1:21">
      <c r="A294" s="15">
        <v>305</v>
      </c>
      <c r="B294" s="45">
        <v>1159159</v>
      </c>
      <c r="G294" s="14">
        <v>44927</v>
      </c>
      <c r="H294" s="14">
        <v>45657</v>
      </c>
      <c r="U294" s="47">
        <f t="shared" si="4"/>
        <v>1159159</v>
      </c>
    </row>
    <row r="295" spans="1:21">
      <c r="A295" s="15">
        <v>306</v>
      </c>
      <c r="B295" s="45">
        <v>142989</v>
      </c>
      <c r="G295" s="14">
        <v>44634</v>
      </c>
      <c r="H295" s="14">
        <v>45657</v>
      </c>
      <c r="U295" s="47">
        <f t="shared" si="4"/>
        <v>142989</v>
      </c>
    </row>
    <row r="296" spans="1:21">
      <c r="A296" s="15">
        <v>307</v>
      </c>
      <c r="B296" s="45">
        <v>52919</v>
      </c>
      <c r="G296" s="14">
        <v>43831</v>
      </c>
      <c r="H296" s="14">
        <v>48213</v>
      </c>
      <c r="U296" s="47">
        <f t="shared" si="4"/>
        <v>52919</v>
      </c>
    </row>
    <row r="297" spans="1:21">
      <c r="A297" s="15">
        <v>308</v>
      </c>
      <c r="B297" s="45">
        <v>1381380</v>
      </c>
      <c r="G297" s="14">
        <v>45695</v>
      </c>
      <c r="H297" s="14">
        <v>46112</v>
      </c>
      <c r="U297" s="47">
        <f t="shared" si="4"/>
        <v>1381380</v>
      </c>
    </row>
    <row r="298" spans="1:21">
      <c r="A298" s="15">
        <v>309</v>
      </c>
      <c r="B298" s="45">
        <v>1381382</v>
      </c>
      <c r="G298" s="14">
        <v>45695</v>
      </c>
      <c r="H298" s="14">
        <v>46112</v>
      </c>
      <c r="U298" s="47">
        <f t="shared" si="4"/>
        <v>1381382</v>
      </c>
    </row>
    <row r="299" spans="1:21">
      <c r="A299" s="15">
        <v>310</v>
      </c>
      <c r="B299" s="45">
        <v>922002</v>
      </c>
      <c r="G299" s="14">
        <v>43831</v>
      </c>
      <c r="H299" s="14">
        <v>48213</v>
      </c>
      <c r="U299" s="47">
        <f t="shared" si="4"/>
        <v>922002</v>
      </c>
    </row>
    <row r="300" spans="1:21">
      <c r="A300" s="15">
        <v>311</v>
      </c>
      <c r="B300" s="45">
        <v>1382498</v>
      </c>
      <c r="G300" s="14">
        <v>45716</v>
      </c>
      <c r="H300" s="14">
        <v>46081</v>
      </c>
      <c r="U300" s="47">
        <f t="shared" si="4"/>
        <v>1382498</v>
      </c>
    </row>
    <row r="301" spans="1:21">
      <c r="A301" s="15">
        <v>312</v>
      </c>
      <c r="B301" s="45">
        <v>922058</v>
      </c>
      <c r="G301" s="14">
        <v>43831</v>
      </c>
      <c r="H301" s="14">
        <v>45291</v>
      </c>
      <c r="U301" s="47">
        <f t="shared" si="4"/>
        <v>922058</v>
      </c>
    </row>
    <row r="302" spans="1:21">
      <c r="A302" s="15">
        <v>313</v>
      </c>
      <c r="B302" s="45">
        <v>922027</v>
      </c>
      <c r="G302" s="14">
        <v>43831</v>
      </c>
      <c r="H302" s="14">
        <v>48213</v>
      </c>
      <c r="U302" s="47">
        <f t="shared" si="4"/>
        <v>922027</v>
      </c>
    </row>
    <row r="303" spans="1:21">
      <c r="A303" s="15">
        <v>314</v>
      </c>
      <c r="B303" s="45">
        <v>922744</v>
      </c>
      <c r="G303" s="14">
        <v>43909</v>
      </c>
      <c r="H303" s="14">
        <v>48213</v>
      </c>
      <c r="U303" s="47">
        <f t="shared" si="4"/>
        <v>922744</v>
      </c>
    </row>
    <row r="304" spans="1:21">
      <c r="A304" s="15">
        <v>315</v>
      </c>
      <c r="B304" s="45">
        <v>923171</v>
      </c>
      <c r="G304" s="14">
        <v>44636</v>
      </c>
      <c r="H304" s="14">
        <v>45657</v>
      </c>
      <c r="U304" s="47">
        <f t="shared" si="4"/>
        <v>923171</v>
      </c>
    </row>
    <row r="305" spans="1:21">
      <c r="A305" s="15">
        <v>316</v>
      </c>
      <c r="B305" s="45">
        <v>923170</v>
      </c>
      <c r="G305" s="14">
        <v>44636</v>
      </c>
      <c r="H305" s="14">
        <v>45657</v>
      </c>
      <c r="U305" s="47">
        <f t="shared" si="4"/>
        <v>923170</v>
      </c>
    </row>
    <row r="306" spans="1:21">
      <c r="A306" s="15">
        <v>317</v>
      </c>
      <c r="B306" s="45">
        <v>921797</v>
      </c>
      <c r="G306" s="14">
        <v>43831</v>
      </c>
      <c r="H306" s="14">
        <v>45291</v>
      </c>
      <c r="U306" s="47">
        <f t="shared" si="4"/>
        <v>921797</v>
      </c>
    </row>
    <row r="307" spans="1:21">
      <c r="A307" s="15">
        <v>318</v>
      </c>
      <c r="B307" s="45">
        <v>1037009</v>
      </c>
      <c r="G307" s="14">
        <v>44973</v>
      </c>
      <c r="H307" s="14">
        <v>46022</v>
      </c>
      <c r="U307" s="47">
        <f t="shared" si="4"/>
        <v>1037009</v>
      </c>
    </row>
    <row r="308" spans="1:21">
      <c r="A308" s="15">
        <v>319</v>
      </c>
      <c r="B308" s="45">
        <v>14145</v>
      </c>
      <c r="G308" s="14">
        <v>43831</v>
      </c>
      <c r="H308" s="14">
        <v>46022</v>
      </c>
      <c r="U308" s="47">
        <f t="shared" si="4"/>
        <v>14145</v>
      </c>
    </row>
    <row r="309" spans="1:21">
      <c r="A309" s="15">
        <v>320</v>
      </c>
      <c r="B309" s="45">
        <v>920031</v>
      </c>
      <c r="G309" s="14">
        <v>43831</v>
      </c>
      <c r="H309" s="14">
        <v>48213</v>
      </c>
      <c r="U309" s="47">
        <f t="shared" si="4"/>
        <v>920031</v>
      </c>
    </row>
    <row r="310" spans="1:21">
      <c r="A310" s="15">
        <v>321</v>
      </c>
      <c r="B310" s="45">
        <v>137328</v>
      </c>
      <c r="G310" s="14">
        <v>44348</v>
      </c>
      <c r="H310" s="14">
        <v>48213</v>
      </c>
      <c r="U310" s="47">
        <f t="shared" si="4"/>
        <v>137328</v>
      </c>
    </row>
    <row r="311" spans="1:21">
      <c r="A311" s="15">
        <v>322</v>
      </c>
      <c r="B311" s="45">
        <v>1381321</v>
      </c>
      <c r="G311" s="14">
        <v>45646</v>
      </c>
      <c r="H311" s="14">
        <v>45736</v>
      </c>
      <c r="U311" s="47">
        <f t="shared" si="4"/>
        <v>1381321</v>
      </c>
    </row>
    <row r="312" spans="1:21">
      <c r="A312" s="15">
        <v>323</v>
      </c>
      <c r="B312" s="45">
        <v>140434</v>
      </c>
      <c r="G312" s="14">
        <v>44531</v>
      </c>
      <c r="H312" s="14">
        <v>46387</v>
      </c>
      <c r="U312" s="47">
        <f t="shared" si="4"/>
        <v>140434</v>
      </c>
    </row>
    <row r="313" spans="1:21">
      <c r="A313" s="15">
        <v>324</v>
      </c>
      <c r="B313" s="45">
        <v>142387</v>
      </c>
      <c r="G313" s="14">
        <v>44197</v>
      </c>
      <c r="H313" s="14">
        <v>46022</v>
      </c>
      <c r="U313" s="47">
        <f t="shared" si="4"/>
        <v>142387</v>
      </c>
    </row>
    <row r="314" spans="1:21">
      <c r="A314" s="15">
        <v>325</v>
      </c>
      <c r="B314" s="45">
        <v>1382395</v>
      </c>
      <c r="G314" s="14">
        <v>45707</v>
      </c>
      <c r="H314" s="14">
        <v>46387</v>
      </c>
      <c r="U314" s="47">
        <f t="shared" si="4"/>
        <v>1382395</v>
      </c>
    </row>
    <row r="315" spans="1:21">
      <c r="A315" s="15">
        <v>326</v>
      </c>
      <c r="B315" s="45">
        <v>133660</v>
      </c>
      <c r="G315" s="14">
        <v>44159</v>
      </c>
      <c r="H315" s="14">
        <v>48213</v>
      </c>
      <c r="U315" s="47">
        <f t="shared" si="4"/>
        <v>133660</v>
      </c>
    </row>
    <row r="316" spans="1:21">
      <c r="A316" s="15">
        <v>327</v>
      </c>
      <c r="B316" s="45">
        <v>1093036</v>
      </c>
      <c r="G316" s="14">
        <v>45044</v>
      </c>
      <c r="H316" s="14">
        <v>46022</v>
      </c>
      <c r="U316" s="47">
        <f t="shared" si="4"/>
        <v>1093036</v>
      </c>
    </row>
    <row r="317" spans="1:21">
      <c r="A317" s="15">
        <v>328</v>
      </c>
      <c r="B317" s="45">
        <v>1093038</v>
      </c>
      <c r="G317" s="14">
        <v>45044</v>
      </c>
      <c r="H317" s="14">
        <v>46022</v>
      </c>
      <c r="U317" s="47">
        <f t="shared" si="4"/>
        <v>1093038</v>
      </c>
    </row>
    <row r="318" spans="1:21">
      <c r="A318" s="15">
        <v>329</v>
      </c>
      <c r="B318" s="45">
        <v>139160</v>
      </c>
      <c r="G318" s="14">
        <v>44378</v>
      </c>
      <c r="H318" s="14">
        <v>45657</v>
      </c>
      <c r="U318" s="47">
        <f t="shared" si="4"/>
        <v>139160</v>
      </c>
    </row>
    <row r="319" spans="1:21">
      <c r="A319" s="15">
        <v>330</v>
      </c>
      <c r="B319" s="45">
        <v>1386363</v>
      </c>
      <c r="G319" s="14">
        <v>45772</v>
      </c>
      <c r="H319" s="14">
        <v>46295</v>
      </c>
      <c r="U319" s="47">
        <f t="shared" si="4"/>
        <v>1386363</v>
      </c>
    </row>
    <row r="320" spans="1:21">
      <c r="A320" s="15">
        <v>331</v>
      </c>
      <c r="B320" s="45">
        <v>922028</v>
      </c>
      <c r="G320" s="14">
        <v>44470</v>
      </c>
      <c r="H320" s="14">
        <v>45657</v>
      </c>
      <c r="U320" s="47">
        <f t="shared" si="4"/>
        <v>922028</v>
      </c>
    </row>
    <row r="321" spans="1:21">
      <c r="A321" s="15">
        <v>332</v>
      </c>
      <c r="B321" s="45">
        <v>137325</v>
      </c>
      <c r="G321" s="14">
        <v>44166</v>
      </c>
      <c r="H321" s="14">
        <v>48213</v>
      </c>
      <c r="U321" s="47">
        <f t="shared" si="4"/>
        <v>137325</v>
      </c>
    </row>
    <row r="322" spans="1:21">
      <c r="A322" s="15">
        <v>333</v>
      </c>
      <c r="B322" s="45">
        <v>1382376</v>
      </c>
      <c r="G322" s="14">
        <v>45707</v>
      </c>
      <c r="H322" s="14">
        <v>46387</v>
      </c>
      <c r="U322" s="47">
        <f t="shared" si="4"/>
        <v>1382376</v>
      </c>
    </row>
    <row r="323" spans="1:21">
      <c r="A323" s="15">
        <v>334</v>
      </c>
      <c r="B323" s="45">
        <v>1489410</v>
      </c>
      <c r="G323" s="14">
        <v>45901</v>
      </c>
      <c r="H323" s="14">
        <v>46203</v>
      </c>
      <c r="U323" s="47">
        <f t="shared" ref="U323:U351" si="5">TRUNC(B323)</f>
        <v>1489410</v>
      </c>
    </row>
    <row r="324" spans="1:21">
      <c r="A324" s="15">
        <v>335</v>
      </c>
      <c r="B324" s="45">
        <v>130889</v>
      </c>
      <c r="G324" s="14">
        <v>44078</v>
      </c>
      <c r="H324" s="14">
        <v>45657</v>
      </c>
      <c r="U324" s="47">
        <f t="shared" si="5"/>
        <v>130889</v>
      </c>
    </row>
    <row r="325" spans="1:21">
      <c r="A325" s="15">
        <v>336</v>
      </c>
      <c r="B325" s="45">
        <v>1376322</v>
      </c>
      <c r="G325" s="14">
        <v>45658</v>
      </c>
      <c r="H325" s="14">
        <v>46203</v>
      </c>
      <c r="U325" s="47">
        <f t="shared" si="5"/>
        <v>1376322</v>
      </c>
    </row>
    <row r="326" spans="1:21">
      <c r="A326" s="15">
        <v>337</v>
      </c>
      <c r="B326" s="45">
        <v>921742</v>
      </c>
      <c r="G326" s="14">
        <v>43831</v>
      </c>
      <c r="H326" s="14">
        <v>45657</v>
      </c>
      <c r="U326" s="47">
        <f t="shared" si="5"/>
        <v>921742</v>
      </c>
    </row>
    <row r="327" spans="1:21">
      <c r="A327" s="15">
        <v>338</v>
      </c>
      <c r="B327" s="45">
        <v>147495</v>
      </c>
      <c r="G327" s="14">
        <v>44927</v>
      </c>
      <c r="H327" s="14">
        <v>46387</v>
      </c>
      <c r="U327" s="47">
        <f t="shared" si="5"/>
        <v>147495</v>
      </c>
    </row>
    <row r="328" spans="1:21">
      <c r="A328" s="15">
        <v>339</v>
      </c>
      <c r="B328" s="45">
        <v>147361</v>
      </c>
      <c r="G328" s="14">
        <v>44562</v>
      </c>
      <c r="H328" s="14">
        <v>46477</v>
      </c>
      <c r="U328" s="47">
        <f t="shared" si="5"/>
        <v>147361</v>
      </c>
    </row>
    <row r="329" spans="1:21">
      <c r="A329" s="15">
        <v>340</v>
      </c>
      <c r="B329" s="45">
        <v>122345</v>
      </c>
      <c r="G329" s="14">
        <v>43831</v>
      </c>
      <c r="H329" s="14">
        <v>45657</v>
      </c>
      <c r="U329" s="47">
        <f t="shared" si="5"/>
        <v>122345</v>
      </c>
    </row>
    <row r="330" spans="1:21">
      <c r="A330" s="15">
        <v>341</v>
      </c>
      <c r="B330" s="45">
        <v>49334</v>
      </c>
      <c r="G330" s="14">
        <v>43831</v>
      </c>
      <c r="H330" s="14">
        <v>46387</v>
      </c>
      <c r="U330" s="47">
        <f t="shared" si="5"/>
        <v>49334</v>
      </c>
    </row>
    <row r="331" spans="1:21">
      <c r="A331" s="15">
        <v>342</v>
      </c>
      <c r="B331" s="45">
        <v>106028</v>
      </c>
      <c r="G331" s="14">
        <v>43831</v>
      </c>
      <c r="H331" s="14">
        <v>48213</v>
      </c>
      <c r="U331" s="47">
        <f t="shared" si="5"/>
        <v>106028</v>
      </c>
    </row>
    <row r="332" spans="1:21">
      <c r="A332" s="15">
        <v>343</v>
      </c>
      <c r="B332" s="45">
        <v>108377</v>
      </c>
      <c r="G332" s="14">
        <v>43831</v>
      </c>
      <c r="H332" s="14">
        <v>48213</v>
      </c>
      <c r="U332" s="47">
        <f t="shared" si="5"/>
        <v>108377</v>
      </c>
    </row>
    <row r="333" spans="1:21">
      <c r="A333" s="15">
        <v>344</v>
      </c>
      <c r="B333" s="45">
        <v>922806</v>
      </c>
      <c r="G333" s="14">
        <v>43943</v>
      </c>
      <c r="H333" s="14">
        <v>48213</v>
      </c>
      <c r="U333" s="47">
        <f t="shared" si="5"/>
        <v>922806</v>
      </c>
    </row>
    <row r="334" spans="1:21">
      <c r="A334" s="15">
        <v>345</v>
      </c>
      <c r="B334" s="45">
        <v>922582</v>
      </c>
      <c r="G334" s="14">
        <v>43831</v>
      </c>
      <c r="H334" s="14">
        <v>45291</v>
      </c>
      <c r="U334" s="47">
        <f t="shared" si="5"/>
        <v>922582</v>
      </c>
    </row>
    <row r="335" spans="1:21">
      <c r="A335" s="15">
        <v>346</v>
      </c>
      <c r="B335" s="45">
        <v>922543</v>
      </c>
      <c r="G335" s="14">
        <v>43831</v>
      </c>
      <c r="H335" s="14">
        <v>45291</v>
      </c>
      <c r="U335" s="47">
        <f t="shared" si="5"/>
        <v>922543</v>
      </c>
    </row>
    <row r="336" spans="1:21">
      <c r="A336" s="15">
        <v>347</v>
      </c>
      <c r="B336" s="45">
        <v>108394</v>
      </c>
      <c r="G336" s="14">
        <v>43831</v>
      </c>
      <c r="H336" s="14">
        <v>48213</v>
      </c>
      <c r="U336" s="47">
        <f t="shared" si="5"/>
        <v>108394</v>
      </c>
    </row>
    <row r="337" spans="1:21">
      <c r="A337" s="15">
        <v>348</v>
      </c>
      <c r="B337" s="45">
        <v>1295972</v>
      </c>
      <c r="G337" s="14">
        <v>45505</v>
      </c>
      <c r="H337" s="14">
        <v>46234</v>
      </c>
      <c r="U337" s="47">
        <f t="shared" si="5"/>
        <v>1295972</v>
      </c>
    </row>
    <row r="338" spans="1:21">
      <c r="A338" s="15">
        <v>349</v>
      </c>
      <c r="B338" s="45">
        <v>1376569</v>
      </c>
      <c r="G338" s="14">
        <v>45673</v>
      </c>
      <c r="H338" s="14">
        <v>46752</v>
      </c>
      <c r="U338" s="47">
        <f t="shared" si="5"/>
        <v>1376569</v>
      </c>
    </row>
    <row r="339" spans="1:21">
      <c r="A339" s="15">
        <v>350</v>
      </c>
      <c r="B339" s="45">
        <v>1405437</v>
      </c>
      <c r="G339" s="14">
        <v>45876</v>
      </c>
      <c r="H339" s="14">
        <v>46387</v>
      </c>
      <c r="U339" s="47">
        <f t="shared" si="5"/>
        <v>1405437</v>
      </c>
    </row>
    <row r="340" spans="1:21">
      <c r="A340" s="15">
        <v>351</v>
      </c>
      <c r="B340" s="45">
        <v>1377280</v>
      </c>
      <c r="G340" s="14">
        <v>45673</v>
      </c>
      <c r="H340" s="14">
        <v>46037</v>
      </c>
      <c r="U340" s="47">
        <f t="shared" si="5"/>
        <v>1377280</v>
      </c>
    </row>
    <row r="341" spans="1:21">
      <c r="A341" s="15">
        <v>352</v>
      </c>
      <c r="B341" s="45">
        <v>1405440</v>
      </c>
      <c r="G341" s="14">
        <v>45876</v>
      </c>
      <c r="H341" s="14">
        <v>46387</v>
      </c>
      <c r="U341" s="47">
        <f t="shared" si="5"/>
        <v>1405440</v>
      </c>
    </row>
    <row r="342" spans="1:21">
      <c r="A342" s="15">
        <v>353</v>
      </c>
      <c r="B342" s="45">
        <v>1379251</v>
      </c>
      <c r="G342" s="14">
        <v>45681</v>
      </c>
      <c r="H342" s="14">
        <v>46045</v>
      </c>
      <c r="U342" s="47">
        <f t="shared" si="5"/>
        <v>1379251</v>
      </c>
    </row>
    <row r="343" spans="1:21">
      <c r="A343" s="15">
        <v>354</v>
      </c>
      <c r="B343" s="45">
        <v>1336238</v>
      </c>
      <c r="G343" s="14">
        <v>45594</v>
      </c>
      <c r="H343" s="14">
        <v>46387</v>
      </c>
      <c r="U343" s="47">
        <f t="shared" si="5"/>
        <v>1336238</v>
      </c>
    </row>
    <row r="344" spans="1:21">
      <c r="A344" s="15">
        <v>355</v>
      </c>
      <c r="B344" s="45">
        <v>1405439</v>
      </c>
      <c r="G344" s="14">
        <v>45876</v>
      </c>
      <c r="H344" s="14">
        <v>46387</v>
      </c>
      <c r="U344" s="47">
        <f t="shared" si="5"/>
        <v>1405439</v>
      </c>
    </row>
    <row r="345" spans="1:21">
      <c r="A345" s="15">
        <v>356</v>
      </c>
      <c r="B345" s="45">
        <v>1377276</v>
      </c>
      <c r="G345" s="14">
        <v>45671</v>
      </c>
      <c r="H345" s="14">
        <v>46036</v>
      </c>
      <c r="U345" s="47">
        <f t="shared" si="5"/>
        <v>1377276</v>
      </c>
    </row>
    <row r="346" spans="1:21">
      <c r="A346" s="15">
        <v>357</v>
      </c>
      <c r="B346" s="45">
        <v>1382397</v>
      </c>
      <c r="G346" s="14">
        <v>45699</v>
      </c>
      <c r="H346" s="14">
        <v>46063</v>
      </c>
      <c r="U346" s="47">
        <f t="shared" si="5"/>
        <v>1382397</v>
      </c>
    </row>
    <row r="347" spans="1:21">
      <c r="A347" s="15">
        <v>358</v>
      </c>
      <c r="B347" s="45">
        <v>1456407</v>
      </c>
      <c r="G347" s="14">
        <v>45877</v>
      </c>
      <c r="H347" s="14">
        <v>46752</v>
      </c>
      <c r="U347" s="47">
        <f t="shared" si="5"/>
        <v>1456407</v>
      </c>
    </row>
    <row r="348" spans="1:21">
      <c r="A348" s="15">
        <v>359</v>
      </c>
      <c r="B348" s="45">
        <v>1220507</v>
      </c>
      <c r="G348" s="14">
        <v>45274</v>
      </c>
      <c r="H348" s="14">
        <v>46387</v>
      </c>
      <c r="U348" s="47">
        <f t="shared" si="5"/>
        <v>1220507</v>
      </c>
    </row>
    <row r="349" spans="1:21">
      <c r="A349" s="15">
        <v>360</v>
      </c>
      <c r="B349" s="45">
        <v>1370263</v>
      </c>
      <c r="G349" s="14">
        <v>45635</v>
      </c>
      <c r="H349" s="14">
        <v>46752</v>
      </c>
      <c r="U349" s="47">
        <f t="shared" si="5"/>
        <v>1370263</v>
      </c>
    </row>
    <row r="350" spans="1:21">
      <c r="A350" s="15">
        <v>361</v>
      </c>
      <c r="B350" s="45">
        <v>1527415</v>
      </c>
      <c r="G350" s="14">
        <v>45962</v>
      </c>
      <c r="H350" s="14">
        <v>46203</v>
      </c>
      <c r="U350" s="47">
        <f t="shared" si="5"/>
        <v>1527415</v>
      </c>
    </row>
    <row r="351" spans="1:21">
      <c r="A351" s="15">
        <v>362</v>
      </c>
      <c r="B351" s="45">
        <v>1394503</v>
      </c>
      <c r="G351" s="14">
        <v>45805</v>
      </c>
      <c r="H351" s="14">
        <v>46203</v>
      </c>
      <c r="U351" s="47">
        <f t="shared" si="5"/>
        <v>1394503</v>
      </c>
    </row>
    <row r="352" spans="1:21">
      <c r="A352" s="15">
        <v>363</v>
      </c>
    </row>
    <row r="353" spans="1:1">
      <c r="A353" s="15">
        <v>364</v>
      </c>
    </row>
    <row r="354" spans="1:1">
      <c r="A354" s="15">
        <v>365</v>
      </c>
    </row>
    <row r="355" spans="1:1">
      <c r="A355" s="15">
        <v>366</v>
      </c>
    </row>
    <row r="356" spans="1:1">
      <c r="A356" s="15">
        <v>367</v>
      </c>
    </row>
    <row r="357" spans="1:1">
      <c r="A357" s="15">
        <v>368</v>
      </c>
    </row>
    <row r="358" spans="1:1">
      <c r="A358" s="15">
        <v>369</v>
      </c>
    </row>
    <row r="359" spans="1:1">
      <c r="A359" s="15">
        <v>370</v>
      </c>
    </row>
    <row r="360" spans="1:1">
      <c r="A360" s="15">
        <v>371</v>
      </c>
    </row>
    <row r="361" spans="1:1">
      <c r="A361" s="15">
        <v>372</v>
      </c>
    </row>
    <row r="362" spans="1:1">
      <c r="A362" s="15">
        <v>373</v>
      </c>
    </row>
    <row r="363" spans="1:1">
      <c r="A363" s="15">
        <v>374</v>
      </c>
    </row>
    <row r="364" spans="1:1">
      <c r="A364" s="15">
        <v>375</v>
      </c>
    </row>
    <row r="365" spans="1:1">
      <c r="A365" s="15">
        <v>376</v>
      </c>
    </row>
    <row r="366" spans="1:1">
      <c r="A366" s="15">
        <v>377</v>
      </c>
    </row>
    <row r="367" spans="1:1">
      <c r="A367" s="15">
        <v>378</v>
      </c>
    </row>
    <row r="368" spans="1:1">
      <c r="A368" s="15">
        <v>379</v>
      </c>
    </row>
    <row r="369" spans="1:1">
      <c r="A369" s="15">
        <v>380</v>
      </c>
    </row>
    <row r="370" spans="1:1">
      <c r="A370" s="15">
        <v>381</v>
      </c>
    </row>
    <row r="371" spans="1:1">
      <c r="A371" s="15">
        <v>382</v>
      </c>
    </row>
    <row r="372" spans="1:1">
      <c r="A372" s="15">
        <v>383</v>
      </c>
    </row>
    <row r="373" spans="1:1">
      <c r="A373" s="15">
        <v>384</v>
      </c>
    </row>
    <row r="374" spans="1:1">
      <c r="A374" s="15">
        <v>385</v>
      </c>
    </row>
    <row r="375" spans="1:1">
      <c r="A375" s="15">
        <v>386</v>
      </c>
    </row>
    <row r="376" spans="1:1">
      <c r="A376" s="15">
        <v>387</v>
      </c>
    </row>
    <row r="377" spans="1:1">
      <c r="A377" s="15">
        <v>388</v>
      </c>
    </row>
    <row r="378" spans="1:1">
      <c r="A378" s="15">
        <v>389</v>
      </c>
    </row>
    <row r="379" spans="1:1">
      <c r="A379" s="15">
        <v>390</v>
      </c>
    </row>
    <row r="380" spans="1:1">
      <c r="A380" s="15">
        <v>391</v>
      </c>
    </row>
    <row r="381" spans="1:1">
      <c r="A381" s="15">
        <v>392</v>
      </c>
    </row>
    <row r="382" spans="1:1">
      <c r="A382" s="15">
        <v>393</v>
      </c>
    </row>
    <row r="383" spans="1:1">
      <c r="A383" s="15">
        <v>394</v>
      </c>
    </row>
    <row r="384" spans="1:1">
      <c r="A384" s="15">
        <v>395</v>
      </c>
    </row>
    <row r="385" spans="1:1">
      <c r="A385" s="15">
        <v>396</v>
      </c>
    </row>
    <row r="386" spans="1:1">
      <c r="A386" s="15">
        <v>397</v>
      </c>
    </row>
    <row r="387" spans="1:1">
      <c r="A387" s="15">
        <v>398</v>
      </c>
    </row>
    <row r="388" spans="1:1">
      <c r="A388" s="15">
        <v>399</v>
      </c>
    </row>
    <row r="389" spans="1:1">
      <c r="A389" s="15">
        <v>400</v>
      </c>
    </row>
    <row r="390" spans="1:1">
      <c r="A390" s="15">
        <v>401</v>
      </c>
    </row>
    <row r="391" spans="1:1">
      <c r="A391" s="15">
        <v>402</v>
      </c>
    </row>
    <row r="392" spans="1:1">
      <c r="A392" s="15">
        <v>403</v>
      </c>
    </row>
    <row r="393" spans="1:1">
      <c r="A393" s="15">
        <v>404</v>
      </c>
    </row>
    <row r="394" spans="1:1">
      <c r="A394" s="15">
        <v>405</v>
      </c>
    </row>
    <row r="395" spans="1:1">
      <c r="A395" s="15">
        <v>406</v>
      </c>
    </row>
    <row r="396" spans="1:1">
      <c r="A396" s="15">
        <v>407</v>
      </c>
    </row>
    <row r="397" spans="1:1">
      <c r="A397" s="15">
        <v>408</v>
      </c>
    </row>
    <row r="398" spans="1:1">
      <c r="A398" s="15">
        <v>409</v>
      </c>
    </row>
    <row r="399" spans="1:1">
      <c r="A399" s="15">
        <v>410</v>
      </c>
    </row>
    <row r="400" spans="1:1">
      <c r="A400" s="15">
        <v>411</v>
      </c>
    </row>
    <row r="401" spans="1:1">
      <c r="A401" s="15">
        <v>412</v>
      </c>
    </row>
    <row r="402" spans="1:1">
      <c r="A402" s="15">
        <v>413</v>
      </c>
    </row>
    <row r="403" spans="1:1">
      <c r="A403" s="15">
        <v>414</v>
      </c>
    </row>
    <row r="404" spans="1:1">
      <c r="A404" s="15">
        <v>415</v>
      </c>
    </row>
    <row r="405" spans="1:1">
      <c r="A405" s="15">
        <v>416</v>
      </c>
    </row>
    <row r="406" spans="1:1">
      <c r="A406" s="15">
        <v>417</v>
      </c>
    </row>
    <row r="407" spans="1:1">
      <c r="A407" s="15">
        <v>418</v>
      </c>
    </row>
    <row r="408" spans="1:1">
      <c r="A408" s="15">
        <v>419</v>
      </c>
    </row>
    <row r="409" spans="1:1">
      <c r="A409" s="15">
        <v>420</v>
      </c>
    </row>
    <row r="410" spans="1:1">
      <c r="A410" s="15">
        <v>421</v>
      </c>
    </row>
    <row r="411" spans="1:1">
      <c r="A411" s="15">
        <v>422</v>
      </c>
    </row>
    <row r="412" spans="1:1">
      <c r="A412" s="15">
        <v>423</v>
      </c>
    </row>
    <row r="413" spans="1:1">
      <c r="A413" s="15">
        <v>424</v>
      </c>
    </row>
    <row r="414" spans="1:1">
      <c r="A414" s="15">
        <v>425</v>
      </c>
    </row>
    <row r="415" spans="1:1">
      <c r="A415" s="15">
        <v>426</v>
      </c>
    </row>
    <row r="416" spans="1:1">
      <c r="A416" s="15">
        <v>427</v>
      </c>
    </row>
    <row r="417" spans="1:1">
      <c r="A417" s="15">
        <v>428</v>
      </c>
    </row>
    <row r="418" spans="1:1">
      <c r="A418" s="15">
        <v>429</v>
      </c>
    </row>
    <row r="419" spans="1:1">
      <c r="A419" s="15">
        <v>430</v>
      </c>
    </row>
    <row r="420" spans="1:1">
      <c r="A420" s="15">
        <v>431</v>
      </c>
    </row>
    <row r="421" spans="1:1">
      <c r="A421" s="15">
        <v>432</v>
      </c>
    </row>
    <row r="422" spans="1:1">
      <c r="A422" s="15">
        <v>433</v>
      </c>
    </row>
    <row r="423" spans="1:1">
      <c r="A423" s="15">
        <v>434</v>
      </c>
    </row>
    <row r="424" spans="1:1">
      <c r="A424" s="15">
        <v>435</v>
      </c>
    </row>
    <row r="425" spans="1:1">
      <c r="A425" s="15">
        <v>436</v>
      </c>
    </row>
    <row r="426" spans="1:1">
      <c r="A426" s="15">
        <v>437</v>
      </c>
    </row>
    <row r="427" spans="1:1">
      <c r="A427" s="15">
        <v>438</v>
      </c>
    </row>
    <row r="428" spans="1:1">
      <c r="A428" s="15">
        <v>439</v>
      </c>
    </row>
    <row r="429" spans="1:1">
      <c r="A429" s="15">
        <v>440</v>
      </c>
    </row>
    <row r="430" spans="1:1">
      <c r="A430" s="15">
        <v>441</v>
      </c>
    </row>
    <row r="431" spans="1:1">
      <c r="A431" s="15">
        <v>442</v>
      </c>
    </row>
    <row r="432" spans="1:1">
      <c r="A432" s="15">
        <v>443</v>
      </c>
    </row>
    <row r="433" spans="1:1">
      <c r="A433" s="15">
        <v>444</v>
      </c>
    </row>
    <row r="434" spans="1:1">
      <c r="A434" s="15">
        <v>445</v>
      </c>
    </row>
    <row r="435" spans="1:1">
      <c r="A435" s="15">
        <v>446</v>
      </c>
    </row>
    <row r="436" spans="1:1">
      <c r="A436" s="15">
        <v>447</v>
      </c>
    </row>
    <row r="437" spans="1:1">
      <c r="A437" s="15">
        <v>448</v>
      </c>
    </row>
    <row r="438" spans="1:1">
      <c r="A438" s="15">
        <v>449</v>
      </c>
    </row>
    <row r="439" spans="1:1">
      <c r="A439" s="15">
        <v>450</v>
      </c>
    </row>
    <row r="440" spans="1:1">
      <c r="A440" s="15">
        <v>451</v>
      </c>
    </row>
    <row r="441" spans="1:1">
      <c r="A441" s="15">
        <v>452</v>
      </c>
    </row>
    <row r="442" spans="1:1">
      <c r="A442" s="15">
        <v>453</v>
      </c>
    </row>
    <row r="443" spans="1:1">
      <c r="A443" s="15">
        <v>454</v>
      </c>
    </row>
    <row r="444" spans="1:1">
      <c r="A444" s="15">
        <v>455</v>
      </c>
    </row>
    <row r="445" spans="1:1">
      <c r="A445" s="15">
        <v>456</v>
      </c>
    </row>
    <row r="446" spans="1:1">
      <c r="A446" s="15">
        <v>457</v>
      </c>
    </row>
    <row r="447" spans="1:1">
      <c r="A447" s="15">
        <v>458</v>
      </c>
    </row>
    <row r="448" spans="1:1">
      <c r="A448" s="15">
        <v>459</v>
      </c>
    </row>
    <row r="449" spans="1:1">
      <c r="A449" s="15">
        <v>460</v>
      </c>
    </row>
    <row r="450" spans="1:1">
      <c r="A450" s="15">
        <v>461</v>
      </c>
    </row>
    <row r="451" spans="1:1">
      <c r="A451" s="15">
        <v>462</v>
      </c>
    </row>
    <row r="452" spans="1:1">
      <c r="A452" s="15">
        <v>463</v>
      </c>
    </row>
    <row r="453" spans="1:1">
      <c r="A453" s="15">
        <v>464</v>
      </c>
    </row>
    <row r="454" spans="1:1">
      <c r="A454" s="15">
        <v>465</v>
      </c>
    </row>
    <row r="455" spans="1:1">
      <c r="A455" s="15">
        <v>466</v>
      </c>
    </row>
    <row r="456" spans="1:1">
      <c r="A456" s="15">
        <v>467</v>
      </c>
    </row>
    <row r="457" spans="1:1">
      <c r="A457" s="15">
        <v>468</v>
      </c>
    </row>
    <row r="458" spans="1:1">
      <c r="A458" s="15">
        <v>469</v>
      </c>
    </row>
    <row r="459" spans="1:1">
      <c r="A459" s="15">
        <v>470</v>
      </c>
    </row>
    <row r="460" spans="1:1">
      <c r="A460" s="15">
        <v>471</v>
      </c>
    </row>
    <row r="461" spans="1:1">
      <c r="A461" s="15">
        <v>472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D4822-5945-493F-B48F-3E16FC2550B4}">
  <sheetPr codeName="Sheet11"/>
  <dimension ref="A1:H247"/>
  <sheetViews>
    <sheetView showGridLines="0" workbookViewId="0">
      <selection activeCell="C2" sqref="C2"/>
    </sheetView>
  </sheetViews>
  <sheetFormatPr defaultColWidth="8.7109375" defaultRowHeight="12.95"/>
  <cols>
    <col min="1" max="1" width="16.140625" customWidth="1"/>
    <col min="2" max="2" width="18.42578125" customWidth="1"/>
    <col min="3" max="3" width="15.42578125" customWidth="1"/>
    <col min="4" max="4" width="28.140625" customWidth="1"/>
    <col min="5" max="5" width="21.42578125" customWidth="1"/>
  </cols>
  <sheetData>
    <row r="1" spans="1:8" ht="15">
      <c r="A1" s="18" t="s">
        <v>822</v>
      </c>
      <c r="B1" s="19" t="s">
        <v>823</v>
      </c>
      <c r="C1" s="19" t="s">
        <v>824</v>
      </c>
      <c r="D1" s="20" t="s">
        <v>825</v>
      </c>
      <c r="E1" s="19" t="s">
        <v>826</v>
      </c>
    </row>
    <row r="2" spans="1:8" ht="14.1">
      <c r="A2" s="21">
        <v>40513</v>
      </c>
      <c r="B2" s="22" t="s">
        <v>827</v>
      </c>
      <c r="C2" s="22">
        <v>12</v>
      </c>
      <c r="D2" s="23" t="s">
        <v>828</v>
      </c>
      <c r="E2" s="22">
        <v>11507</v>
      </c>
      <c r="G2" s="23" t="s">
        <v>165</v>
      </c>
      <c r="H2" t="str">
        <f>PROPER(Table3[[#This Row],[Donor Name]])</f>
        <v>United Nations Development Programme</v>
      </c>
    </row>
    <row r="3" spans="1:8" ht="14.1">
      <c r="A3" s="21">
        <v>49334</v>
      </c>
      <c r="B3" s="22" t="s">
        <v>827</v>
      </c>
      <c r="C3" s="22">
        <v>12</v>
      </c>
      <c r="D3" s="23" t="s">
        <v>828</v>
      </c>
      <c r="E3" s="22">
        <v>11507</v>
      </c>
      <c r="G3" s="23" t="s">
        <v>165</v>
      </c>
      <c r="H3" t="str">
        <f>PROPER(Table3[[#This Row],[Donor Name]])</f>
        <v>United Nations Development Programme</v>
      </c>
    </row>
    <row r="4" spans="1:8" ht="14.1">
      <c r="A4" s="21">
        <v>52919</v>
      </c>
      <c r="B4" s="22" t="s">
        <v>827</v>
      </c>
      <c r="C4" s="22">
        <v>12</v>
      </c>
      <c r="D4" s="23" t="s">
        <v>828</v>
      </c>
      <c r="E4" s="22">
        <v>11507</v>
      </c>
      <c r="G4" s="23" t="s">
        <v>165</v>
      </c>
      <c r="H4" t="str">
        <f>PROPER(Table3[[#This Row],[Donor Name]])</f>
        <v>United Nations Development Programme</v>
      </c>
    </row>
    <row r="5" spans="1:8" ht="14.1">
      <c r="A5" s="21">
        <v>103834</v>
      </c>
      <c r="B5" s="22" t="s">
        <v>827</v>
      </c>
      <c r="C5" s="22">
        <v>12</v>
      </c>
      <c r="D5" s="23" t="s">
        <v>828</v>
      </c>
      <c r="E5" s="22">
        <v>11507</v>
      </c>
      <c r="G5" s="23" t="s">
        <v>165</v>
      </c>
      <c r="H5" t="str">
        <f>PROPER(Table3[[#This Row],[Donor Name]])</f>
        <v>United Nations Development Programme</v>
      </c>
    </row>
    <row r="6" spans="1:8" ht="14.1">
      <c r="A6" s="21">
        <v>110308</v>
      </c>
      <c r="B6" s="22" t="s">
        <v>827</v>
      </c>
      <c r="C6" s="22">
        <v>12</v>
      </c>
      <c r="D6" s="23" t="s">
        <v>828</v>
      </c>
      <c r="E6" s="22">
        <v>11507</v>
      </c>
      <c r="G6" s="23" t="s">
        <v>165</v>
      </c>
      <c r="H6" t="str">
        <f>PROPER(Table3[[#This Row],[Donor Name]])</f>
        <v>United Nations Development Programme</v>
      </c>
    </row>
    <row r="7" spans="1:8" ht="14.1">
      <c r="A7" s="21">
        <v>113429</v>
      </c>
      <c r="B7" s="22" t="s">
        <v>827</v>
      </c>
      <c r="C7" s="22">
        <v>12</v>
      </c>
      <c r="D7" s="23" t="s">
        <v>828</v>
      </c>
      <c r="E7" s="22">
        <v>11507</v>
      </c>
      <c r="G7" s="23" t="s">
        <v>165</v>
      </c>
      <c r="H7" t="str">
        <f>PROPER(Table3[[#This Row],[Donor Name]])</f>
        <v>United Nations Development Programme</v>
      </c>
    </row>
    <row r="8" spans="1:8" ht="14.1">
      <c r="A8" s="21">
        <v>133751</v>
      </c>
      <c r="B8" s="22" t="s">
        <v>827</v>
      </c>
      <c r="C8" s="22">
        <v>12</v>
      </c>
      <c r="D8" s="23" t="s">
        <v>828</v>
      </c>
      <c r="E8" s="22">
        <v>11507</v>
      </c>
      <c r="G8" s="23" t="s">
        <v>165</v>
      </c>
      <c r="H8" t="str">
        <f>PROPER(Table3[[#This Row],[Donor Name]])</f>
        <v>United Nations Development Programme</v>
      </c>
    </row>
    <row r="9" spans="1:8" ht="14.1">
      <c r="A9" s="21">
        <v>103834</v>
      </c>
      <c r="B9" s="22" t="s">
        <v>829</v>
      </c>
      <c r="C9" s="22">
        <v>20</v>
      </c>
      <c r="D9" s="23" t="s">
        <v>830</v>
      </c>
      <c r="E9" s="22">
        <v>30000</v>
      </c>
      <c r="G9" s="23" t="s">
        <v>270</v>
      </c>
      <c r="H9" t="str">
        <f>PROPER(Table3[[#This Row],[Donor Name]])</f>
        <v>Islamic Development Bank</v>
      </c>
    </row>
    <row r="10" spans="1:8" ht="14.1">
      <c r="A10" s="21">
        <v>131755</v>
      </c>
      <c r="B10" s="22" t="s">
        <v>614</v>
      </c>
      <c r="C10" s="22">
        <v>12</v>
      </c>
      <c r="D10" s="23" t="s">
        <v>828</v>
      </c>
      <c r="E10" s="22">
        <v>4950</v>
      </c>
      <c r="G10" s="23" t="s">
        <v>165</v>
      </c>
      <c r="H10" t="str">
        <f>PROPER(Table3[[#This Row],[Donor Name]])</f>
        <v>United Nations Development Programme</v>
      </c>
    </row>
    <row r="11" spans="1:8" ht="14.1">
      <c r="A11" s="21">
        <v>131755</v>
      </c>
      <c r="B11" s="22" t="s">
        <v>614</v>
      </c>
      <c r="C11" s="22">
        <v>141</v>
      </c>
      <c r="D11" s="23" t="s">
        <v>831</v>
      </c>
      <c r="E11" s="22">
        <v>30000</v>
      </c>
      <c r="G11" s="23" t="s">
        <v>276</v>
      </c>
      <c r="H11" t="str">
        <f>PROPER(Table3[[#This Row],[Donor Name]])</f>
        <v>Government Of Japan</v>
      </c>
    </row>
    <row r="12" spans="1:8" ht="14.1">
      <c r="A12" s="21">
        <v>103834</v>
      </c>
      <c r="B12" s="22" t="s">
        <v>832</v>
      </c>
      <c r="C12" s="22">
        <v>12</v>
      </c>
      <c r="D12" s="23" t="s">
        <v>828</v>
      </c>
      <c r="E12" s="22">
        <v>4950</v>
      </c>
      <c r="G12" s="23" t="s">
        <v>165</v>
      </c>
      <c r="H12" t="str">
        <f>PROPER(Table3[[#This Row],[Donor Name]])</f>
        <v>United Nations Development Programme</v>
      </c>
    </row>
    <row r="13" spans="1:8" ht="14.1">
      <c r="A13" s="21">
        <v>1000480</v>
      </c>
      <c r="B13" s="22" t="s">
        <v>833</v>
      </c>
      <c r="C13" s="22">
        <v>141</v>
      </c>
      <c r="D13" s="23" t="s">
        <v>831</v>
      </c>
      <c r="E13" s="22">
        <v>32045</v>
      </c>
      <c r="G13" s="23" t="s">
        <v>276</v>
      </c>
      <c r="H13" t="str">
        <f>PROPER(Table3[[#This Row],[Donor Name]])</f>
        <v>Government Of Japan</v>
      </c>
    </row>
    <row r="14" spans="1:8" ht="14.1">
      <c r="A14" s="21">
        <v>108580</v>
      </c>
      <c r="B14" s="22" t="s">
        <v>834</v>
      </c>
      <c r="C14" s="22">
        <v>12</v>
      </c>
      <c r="D14" s="23" t="s">
        <v>828</v>
      </c>
      <c r="E14" s="22">
        <v>4950</v>
      </c>
      <c r="G14" s="23" t="s">
        <v>165</v>
      </c>
      <c r="H14" t="str">
        <f>PROPER(Table3[[#This Row],[Donor Name]])</f>
        <v>United Nations Development Programme</v>
      </c>
    </row>
    <row r="15" spans="1:8" ht="14.1">
      <c r="A15" s="21">
        <v>116663</v>
      </c>
      <c r="B15" s="22" t="s">
        <v>617</v>
      </c>
      <c r="C15" s="22">
        <v>95</v>
      </c>
      <c r="D15" s="23" t="s">
        <v>835</v>
      </c>
      <c r="E15" s="22">
        <v>30000</v>
      </c>
      <c r="G15" s="23" t="s">
        <v>366</v>
      </c>
      <c r="H15" t="str">
        <f>PROPER(Table3[[#This Row],[Donor Name]])</f>
        <v>Government Of Denmark</v>
      </c>
    </row>
    <row r="16" spans="1:8" ht="14.1">
      <c r="A16" s="21">
        <v>110314</v>
      </c>
      <c r="B16" s="22" t="s">
        <v>836</v>
      </c>
      <c r="C16" s="22">
        <v>12</v>
      </c>
      <c r="D16" s="23" t="s">
        <v>828</v>
      </c>
      <c r="E16" s="22">
        <v>4950</v>
      </c>
      <c r="G16" s="23" t="s">
        <v>165</v>
      </c>
      <c r="H16" t="str">
        <f>PROPER(Table3[[#This Row],[Donor Name]])</f>
        <v>United Nations Development Programme</v>
      </c>
    </row>
    <row r="17" spans="1:8" ht="14.1">
      <c r="A17" s="21">
        <v>108769</v>
      </c>
      <c r="B17" s="22" t="s">
        <v>622</v>
      </c>
      <c r="C17" s="22">
        <v>10282</v>
      </c>
      <c r="D17" s="23" t="s">
        <v>837</v>
      </c>
      <c r="E17" s="22">
        <v>30000</v>
      </c>
      <c r="G17" s="23" t="s">
        <v>387</v>
      </c>
      <c r="H17" t="str">
        <f>PROPER(Table3[[#This Row],[Donor Name]])</f>
        <v>Swiss Agy For Development &amp; Cooperation</v>
      </c>
    </row>
    <row r="18" spans="1:8" ht="14.1">
      <c r="A18" s="21">
        <v>113429</v>
      </c>
      <c r="B18" s="22" t="s">
        <v>838</v>
      </c>
      <c r="C18" s="22">
        <v>12</v>
      </c>
      <c r="D18" s="23" t="s">
        <v>828</v>
      </c>
      <c r="E18" s="22">
        <v>4950</v>
      </c>
      <c r="G18" s="23" t="s">
        <v>165</v>
      </c>
      <c r="H18" t="str">
        <f>PROPER(Table3[[#This Row],[Donor Name]])</f>
        <v>United Nations Development Programme</v>
      </c>
    </row>
    <row r="19" spans="1:8" ht="14.1">
      <c r="A19" s="21">
        <v>134428</v>
      </c>
      <c r="B19" s="22" t="s">
        <v>625</v>
      </c>
      <c r="C19" s="22">
        <v>13645</v>
      </c>
      <c r="D19" s="23" t="s">
        <v>626</v>
      </c>
      <c r="E19" s="22">
        <v>30000</v>
      </c>
      <c r="G19" s="23" t="s">
        <v>626</v>
      </c>
      <c r="H19" t="str">
        <f>PROPER(Table3[[#This Row],[Donor Name]])</f>
        <v>Foreign,Commonwealth &amp; Dev.Off.</v>
      </c>
    </row>
    <row r="20" spans="1:8" ht="14.1">
      <c r="A20" s="21">
        <v>115973</v>
      </c>
      <c r="B20" s="22" t="s">
        <v>839</v>
      </c>
      <c r="C20" s="22">
        <v>12</v>
      </c>
      <c r="D20" s="23" t="s">
        <v>828</v>
      </c>
      <c r="E20" s="22">
        <v>11005</v>
      </c>
      <c r="G20" s="23" t="s">
        <v>165</v>
      </c>
      <c r="H20" t="str">
        <f>PROPER(Table3[[#This Row],[Donor Name]])</f>
        <v>United Nations Development Programme</v>
      </c>
    </row>
    <row r="21" spans="1:8" ht="14.1">
      <c r="A21" s="21">
        <v>115973</v>
      </c>
      <c r="B21" s="22" t="s">
        <v>840</v>
      </c>
      <c r="C21" s="22">
        <v>12</v>
      </c>
      <c r="D21" s="23" t="s">
        <v>828</v>
      </c>
      <c r="E21" s="22">
        <v>11970</v>
      </c>
      <c r="G21" s="23" t="s">
        <v>165</v>
      </c>
      <c r="H21" t="str">
        <f>PROPER(Table3[[#This Row],[Donor Name]])</f>
        <v>United Nations Development Programme</v>
      </c>
    </row>
    <row r="22" spans="1:8" ht="14.1">
      <c r="A22" s="21">
        <v>115973</v>
      </c>
      <c r="B22" s="22" t="s">
        <v>841</v>
      </c>
      <c r="C22" s="22">
        <v>12</v>
      </c>
      <c r="D22" s="23" t="s">
        <v>828</v>
      </c>
      <c r="E22" s="22">
        <v>2525</v>
      </c>
      <c r="G22" s="23" t="s">
        <v>165</v>
      </c>
      <c r="H22" t="str">
        <f>PROPER(Table3[[#This Row],[Donor Name]])</f>
        <v>United Nations Development Programme</v>
      </c>
    </row>
    <row r="23" spans="1:8" ht="14.1">
      <c r="A23" s="21">
        <v>115973</v>
      </c>
      <c r="B23" s="22" t="s">
        <v>842</v>
      </c>
      <c r="C23" s="22">
        <v>12</v>
      </c>
      <c r="D23" s="23" t="s">
        <v>828</v>
      </c>
      <c r="E23" s="22">
        <v>4950</v>
      </c>
      <c r="G23" s="23" t="s">
        <v>165</v>
      </c>
      <c r="H23" t="str">
        <f>PROPER(Table3[[#This Row],[Donor Name]])</f>
        <v>United Nations Development Programme</v>
      </c>
    </row>
    <row r="24" spans="1:8" ht="14.1">
      <c r="A24" s="21">
        <v>116663</v>
      </c>
      <c r="B24" s="22" t="s">
        <v>843</v>
      </c>
      <c r="C24" s="22">
        <v>296</v>
      </c>
      <c r="D24" s="23" t="s">
        <v>844</v>
      </c>
      <c r="E24" s="22">
        <v>4950</v>
      </c>
      <c r="G24" s="23" t="s">
        <v>325</v>
      </c>
      <c r="H24" t="str">
        <f>PROPER(Table3[[#This Row],[Donor Name]])</f>
        <v>United Nations</v>
      </c>
    </row>
    <row r="25" spans="1:8" ht="14.1">
      <c r="A25" s="21">
        <v>116663</v>
      </c>
      <c r="B25" s="22" t="s">
        <v>845</v>
      </c>
      <c r="C25" s="22">
        <v>12</v>
      </c>
      <c r="D25" s="23" t="s">
        <v>828</v>
      </c>
      <c r="E25" s="22">
        <v>4950</v>
      </c>
      <c r="G25" s="23" t="s">
        <v>165</v>
      </c>
      <c r="H25" t="str">
        <f>PROPER(Table3[[#This Row],[Donor Name]])</f>
        <v>United Nations Development Programme</v>
      </c>
    </row>
    <row r="26" spans="1:8" ht="14.1">
      <c r="A26" s="21">
        <v>1001486</v>
      </c>
      <c r="B26" s="22" t="s">
        <v>630</v>
      </c>
      <c r="C26" s="22">
        <v>13165</v>
      </c>
      <c r="D26" s="23" t="s">
        <v>846</v>
      </c>
      <c r="E26" s="22">
        <v>30000</v>
      </c>
      <c r="G26" s="23" t="s">
        <v>847</v>
      </c>
      <c r="H26" t="str">
        <f>PROPER(Table3[[#This Row],[Donor Name]])</f>
        <v>Mptf Jp Opt Rule Of Law Ii</v>
      </c>
    </row>
    <row r="27" spans="1:8" ht="14.1">
      <c r="A27" s="21">
        <v>1001808</v>
      </c>
      <c r="B27" s="22" t="s">
        <v>633</v>
      </c>
      <c r="C27" s="22">
        <v>10283</v>
      </c>
      <c r="D27" s="23" t="s">
        <v>848</v>
      </c>
      <c r="E27" s="22">
        <v>30000</v>
      </c>
      <c r="G27" s="23" t="s">
        <v>334</v>
      </c>
      <c r="H27" t="str">
        <f>PROPER(Table3[[#This Row],[Donor Name]])</f>
        <v>Kreditanstalt Fur Wiederaufbau</v>
      </c>
    </row>
    <row r="28" spans="1:8" ht="14.1">
      <c r="A28" s="21">
        <v>14145</v>
      </c>
      <c r="B28" s="22" t="s">
        <v>849</v>
      </c>
      <c r="C28" s="22">
        <v>12</v>
      </c>
      <c r="D28" s="23" t="s">
        <v>828</v>
      </c>
      <c r="E28" s="22">
        <v>11509</v>
      </c>
      <c r="G28" s="23" t="s">
        <v>165</v>
      </c>
      <c r="H28" t="str">
        <f>PROPER(Table3[[#This Row],[Donor Name]])</f>
        <v>United Nations Development Programme</v>
      </c>
    </row>
    <row r="29" spans="1:8" ht="14.1">
      <c r="A29" s="21">
        <v>40513</v>
      </c>
      <c r="B29" s="22" t="s">
        <v>849</v>
      </c>
      <c r="C29" s="22">
        <v>12</v>
      </c>
      <c r="D29" s="23" t="s">
        <v>828</v>
      </c>
      <c r="E29" s="22">
        <v>11509</v>
      </c>
      <c r="G29" s="23" t="s">
        <v>165</v>
      </c>
      <c r="H29" t="str">
        <f>PROPER(Table3[[#This Row],[Donor Name]])</f>
        <v>United Nations Development Programme</v>
      </c>
    </row>
    <row r="30" spans="1:8" ht="14.1">
      <c r="A30" s="21">
        <v>49334</v>
      </c>
      <c r="B30" s="22" t="s">
        <v>849</v>
      </c>
      <c r="C30" s="22">
        <v>12</v>
      </c>
      <c r="D30" s="23" t="s">
        <v>828</v>
      </c>
      <c r="E30" s="22">
        <v>11509</v>
      </c>
      <c r="G30" s="23" t="s">
        <v>165</v>
      </c>
      <c r="H30" t="str">
        <f>PROPER(Table3[[#This Row],[Donor Name]])</f>
        <v>United Nations Development Programme</v>
      </c>
    </row>
    <row r="31" spans="1:8" ht="14.1">
      <c r="A31" s="21">
        <v>52919</v>
      </c>
      <c r="B31" s="22" t="s">
        <v>849</v>
      </c>
      <c r="C31" s="22">
        <v>12</v>
      </c>
      <c r="D31" s="23" t="s">
        <v>828</v>
      </c>
      <c r="E31" s="22">
        <v>11509</v>
      </c>
      <c r="G31" s="23" t="s">
        <v>165</v>
      </c>
      <c r="H31" t="str">
        <f>PROPER(Table3[[#This Row],[Donor Name]])</f>
        <v>United Nations Development Programme</v>
      </c>
    </row>
    <row r="32" spans="1:8" ht="14.1">
      <c r="A32" s="21">
        <v>110314</v>
      </c>
      <c r="B32" s="22" t="s">
        <v>849</v>
      </c>
      <c r="C32" s="22">
        <v>12</v>
      </c>
      <c r="D32" s="23" t="s">
        <v>828</v>
      </c>
      <c r="E32" s="22">
        <v>11509</v>
      </c>
      <c r="G32" s="23" t="s">
        <v>165</v>
      </c>
      <c r="H32" t="str">
        <f>PROPER(Table3[[#This Row],[Donor Name]])</f>
        <v>United Nations Development Programme</v>
      </c>
    </row>
    <row r="33" spans="1:8" ht="14.1">
      <c r="A33" s="21">
        <v>113429</v>
      </c>
      <c r="B33" s="22" t="s">
        <v>849</v>
      </c>
      <c r="C33" s="22">
        <v>12</v>
      </c>
      <c r="D33" s="23" t="s">
        <v>828</v>
      </c>
      <c r="E33" s="22">
        <v>11509</v>
      </c>
      <c r="G33" s="23" t="s">
        <v>165</v>
      </c>
      <c r="H33" t="str">
        <f>PROPER(Table3[[#This Row],[Donor Name]])</f>
        <v>United Nations Development Programme</v>
      </c>
    </row>
    <row r="34" spans="1:8" ht="14.1">
      <c r="A34" s="21">
        <v>134428</v>
      </c>
      <c r="B34" s="22" t="s">
        <v>849</v>
      </c>
      <c r="C34" s="22">
        <v>12</v>
      </c>
      <c r="D34" s="23" t="s">
        <v>828</v>
      </c>
      <c r="E34" s="22">
        <v>11509</v>
      </c>
      <c r="G34" s="23" t="s">
        <v>165</v>
      </c>
      <c r="H34" t="str">
        <f>PROPER(Table3[[#This Row],[Donor Name]])</f>
        <v>United Nations Development Programme</v>
      </c>
    </row>
    <row r="35" spans="1:8" ht="14.1">
      <c r="A35" s="21">
        <v>1001856</v>
      </c>
      <c r="B35" s="22" t="s">
        <v>850</v>
      </c>
      <c r="C35" s="22">
        <v>12</v>
      </c>
      <c r="D35" s="23" t="s">
        <v>828</v>
      </c>
      <c r="E35" s="22">
        <v>4120</v>
      </c>
      <c r="G35" s="23" t="s">
        <v>165</v>
      </c>
      <c r="H35" t="str">
        <f>PROPER(Table3[[#This Row],[Donor Name]])</f>
        <v>United Nations Development Programme</v>
      </c>
    </row>
    <row r="36" spans="1:8" ht="14.1">
      <c r="A36" s="21">
        <v>129324</v>
      </c>
      <c r="B36" s="22" t="s">
        <v>851</v>
      </c>
      <c r="C36" s="22">
        <v>38</v>
      </c>
      <c r="D36" s="23" t="s">
        <v>852</v>
      </c>
      <c r="E36" s="22">
        <v>30000</v>
      </c>
      <c r="G36" s="23" t="s">
        <v>391</v>
      </c>
      <c r="H36" t="str">
        <f>PROPER(Table3[[#This Row],[Donor Name]])</f>
        <v>Unocha</v>
      </c>
    </row>
    <row r="37" spans="1:8" ht="14.1">
      <c r="A37" s="21">
        <v>1001856</v>
      </c>
      <c r="B37" s="22" t="s">
        <v>853</v>
      </c>
      <c r="C37" s="22">
        <v>12</v>
      </c>
      <c r="D37" s="23" t="s">
        <v>828</v>
      </c>
      <c r="E37" s="22">
        <v>4010</v>
      </c>
      <c r="G37" s="23" t="s">
        <v>165</v>
      </c>
      <c r="H37" t="str">
        <f>PROPER(Table3[[#This Row],[Donor Name]])</f>
        <v>United Nations Development Programme</v>
      </c>
    </row>
    <row r="38" spans="1:8" ht="14.1">
      <c r="A38" s="21">
        <v>1001856</v>
      </c>
      <c r="B38" s="22" t="s">
        <v>854</v>
      </c>
      <c r="C38" s="22">
        <v>12</v>
      </c>
      <c r="D38" s="23" t="s">
        <v>828</v>
      </c>
      <c r="E38" s="22">
        <v>4130</v>
      </c>
      <c r="G38" s="23" t="s">
        <v>165</v>
      </c>
      <c r="H38" t="str">
        <f>PROPER(Table3[[#This Row],[Donor Name]])</f>
        <v>United Nations Development Programme</v>
      </c>
    </row>
    <row r="39" spans="1:8" ht="14.1">
      <c r="A39" s="21">
        <v>108769</v>
      </c>
      <c r="B39" s="22" t="s">
        <v>855</v>
      </c>
      <c r="C39" s="22">
        <v>3</v>
      </c>
      <c r="D39" s="23" t="s">
        <v>856</v>
      </c>
      <c r="E39" s="22">
        <v>30000</v>
      </c>
      <c r="G39" s="23" t="s">
        <v>453</v>
      </c>
      <c r="H39" t="str">
        <f>PROPER(Table3[[#This Row],[Donor Name]])</f>
        <v>International Labour Organization</v>
      </c>
    </row>
    <row r="40" spans="1:8" ht="14.1">
      <c r="A40" s="21">
        <v>1002381</v>
      </c>
      <c r="B40" s="22" t="s">
        <v>636</v>
      </c>
      <c r="C40" s="22">
        <v>10480</v>
      </c>
      <c r="D40" s="23" t="s">
        <v>857</v>
      </c>
      <c r="E40" s="22">
        <v>16610</v>
      </c>
      <c r="G40" s="23" t="s">
        <v>637</v>
      </c>
      <c r="H40" t="str">
        <f>PROPER(Table3[[#This Row],[Donor Name]])</f>
        <v>Usaid</v>
      </c>
    </row>
    <row r="41" spans="1:8" ht="14.1">
      <c r="A41" s="21">
        <v>110314</v>
      </c>
      <c r="B41" s="22" t="s">
        <v>641</v>
      </c>
      <c r="C41" s="22">
        <v>10159</v>
      </c>
      <c r="D41" s="23" t="s">
        <v>858</v>
      </c>
      <c r="E41" s="22">
        <v>30079</v>
      </c>
      <c r="G41" s="23" t="s">
        <v>172</v>
      </c>
      <c r="H41" t="str">
        <f>PROPER(Table3[[#This Row],[Donor Name]])</f>
        <v>European Commission</v>
      </c>
    </row>
    <row r="42" spans="1:8" ht="14.1">
      <c r="A42" s="21">
        <v>115973</v>
      </c>
      <c r="B42" s="22" t="s">
        <v>859</v>
      </c>
      <c r="C42" s="22">
        <v>12</v>
      </c>
      <c r="D42" s="23" t="s">
        <v>828</v>
      </c>
      <c r="E42" s="22">
        <v>11970</v>
      </c>
      <c r="G42" s="23" t="s">
        <v>165</v>
      </c>
      <c r="H42" t="str">
        <f>PROPER(Table3[[#This Row],[Donor Name]])</f>
        <v>United Nations Development Programme</v>
      </c>
    </row>
    <row r="43" spans="1:8" ht="14.1">
      <c r="A43" s="21">
        <v>113429</v>
      </c>
      <c r="B43" s="22" t="s">
        <v>644</v>
      </c>
      <c r="C43" s="22">
        <v>12</v>
      </c>
      <c r="D43" s="23" t="s">
        <v>828</v>
      </c>
      <c r="E43" s="22">
        <v>55021</v>
      </c>
      <c r="G43" s="23" t="s">
        <v>165</v>
      </c>
      <c r="H43" t="str">
        <f>PROPER(Table3[[#This Row],[Donor Name]])</f>
        <v>United Nations Development Programme</v>
      </c>
    </row>
    <row r="44" spans="1:8" ht="14.1">
      <c r="A44" s="21">
        <v>49334</v>
      </c>
      <c r="B44" s="22" t="s">
        <v>860</v>
      </c>
      <c r="C44" s="22">
        <v>12</v>
      </c>
      <c r="D44" s="23" t="s">
        <v>828</v>
      </c>
      <c r="E44" s="22">
        <v>2530</v>
      </c>
      <c r="G44" s="23" t="s">
        <v>165</v>
      </c>
      <c r="H44" t="str">
        <f>PROPER(Table3[[#This Row],[Donor Name]])</f>
        <v>United Nations Development Programme</v>
      </c>
    </row>
    <row r="45" spans="1:8" ht="14.1">
      <c r="A45" s="21">
        <v>132972</v>
      </c>
      <c r="B45" s="22" t="s">
        <v>648</v>
      </c>
      <c r="C45" s="22">
        <v>20</v>
      </c>
      <c r="D45" s="23" t="s">
        <v>830</v>
      </c>
      <c r="E45" s="22">
        <v>30000</v>
      </c>
      <c r="G45" s="23" t="s">
        <v>270</v>
      </c>
      <c r="H45" t="str">
        <f>PROPER(Table3[[#This Row],[Donor Name]])</f>
        <v>Islamic Development Bank</v>
      </c>
    </row>
    <row r="46" spans="1:8" ht="14.1">
      <c r="A46" s="21">
        <v>108676</v>
      </c>
      <c r="B46" s="22" t="s">
        <v>861</v>
      </c>
      <c r="C46" s="22">
        <v>248</v>
      </c>
      <c r="D46" s="23" t="s">
        <v>862</v>
      </c>
      <c r="E46" s="22">
        <v>30000</v>
      </c>
      <c r="G46" s="23" t="s">
        <v>863</v>
      </c>
      <c r="H46" t="str">
        <f>PROPER(Table3[[#This Row],[Donor Name]])</f>
        <v>Government Of United Kingdom</v>
      </c>
    </row>
    <row r="47" spans="1:8" ht="14.1">
      <c r="A47" s="21">
        <v>1003178</v>
      </c>
      <c r="B47" s="22" t="s">
        <v>864</v>
      </c>
      <c r="C47" s="22">
        <v>117</v>
      </c>
      <c r="D47" s="23" t="s">
        <v>865</v>
      </c>
      <c r="E47" s="22">
        <v>30000</v>
      </c>
      <c r="G47" s="23" t="s">
        <v>398</v>
      </c>
      <c r="H47" t="str">
        <f>PROPER(Table3[[#This Row],[Donor Name]])</f>
        <v>Government Of Germany</v>
      </c>
    </row>
    <row r="48" spans="1:8" ht="14.1">
      <c r="A48" s="21">
        <v>131755</v>
      </c>
      <c r="B48" s="22" t="s">
        <v>866</v>
      </c>
      <c r="C48" s="22">
        <v>12</v>
      </c>
      <c r="D48" s="23" t="s">
        <v>828</v>
      </c>
      <c r="E48" s="22">
        <v>4950</v>
      </c>
      <c r="G48" s="23" t="s">
        <v>165</v>
      </c>
      <c r="H48" t="str">
        <f>PROPER(Table3[[#This Row],[Donor Name]])</f>
        <v>United Nations Development Programme</v>
      </c>
    </row>
    <row r="49" spans="1:8" ht="14.1">
      <c r="A49" s="21">
        <v>113429</v>
      </c>
      <c r="B49" s="22" t="s">
        <v>867</v>
      </c>
      <c r="C49" s="22">
        <v>11266</v>
      </c>
      <c r="D49" s="23" t="s">
        <v>781</v>
      </c>
      <c r="E49" s="22">
        <v>30000</v>
      </c>
      <c r="G49" s="23" t="s">
        <v>781</v>
      </c>
      <c r="H49" t="str">
        <f>PROPER(Table3[[#This Row],[Donor Name]])</f>
        <v>Austrian Development Agency</v>
      </c>
    </row>
    <row r="50" spans="1:8" ht="14.1">
      <c r="A50" s="21">
        <v>1003178</v>
      </c>
      <c r="B50" s="22" t="s">
        <v>868</v>
      </c>
      <c r="C50" s="22">
        <v>38</v>
      </c>
      <c r="D50" s="23" t="s">
        <v>852</v>
      </c>
      <c r="E50" s="22">
        <v>30000</v>
      </c>
      <c r="G50" s="23" t="s">
        <v>391</v>
      </c>
      <c r="H50" t="str">
        <f>PROPER(Table3[[#This Row],[Donor Name]])</f>
        <v>Unocha</v>
      </c>
    </row>
    <row r="51" spans="1:8" ht="14.1">
      <c r="A51" s="21">
        <v>1003501</v>
      </c>
      <c r="B51" s="22" t="s">
        <v>651</v>
      </c>
      <c r="C51" s="22">
        <v>14461</v>
      </c>
      <c r="D51" s="23" t="s">
        <v>652</v>
      </c>
      <c r="E51" s="22">
        <v>30000</v>
      </c>
      <c r="G51" s="23" t="s">
        <v>652</v>
      </c>
      <c r="H51" t="str">
        <f>PROPER(Table3[[#This Row],[Donor Name]])</f>
        <v>Palestinian American Medical Association</v>
      </c>
    </row>
    <row r="52" spans="1:8" ht="14.1">
      <c r="A52" s="21">
        <v>133802</v>
      </c>
      <c r="B52" s="22" t="s">
        <v>869</v>
      </c>
      <c r="C52" s="22">
        <v>12711</v>
      </c>
      <c r="D52" s="23" t="s">
        <v>870</v>
      </c>
      <c r="E52" s="22">
        <v>28700</v>
      </c>
      <c r="G52" s="23" t="s">
        <v>871</v>
      </c>
      <c r="H52" t="str">
        <f>PROPER(Table3[[#This Row],[Donor Name]])</f>
        <v>Undp Funding Windows</v>
      </c>
    </row>
    <row r="53" spans="1:8" ht="14.1">
      <c r="A53" s="21">
        <v>1003536</v>
      </c>
      <c r="B53" s="22" t="s">
        <v>655</v>
      </c>
      <c r="C53" s="22">
        <v>41</v>
      </c>
      <c r="D53" s="23" t="s">
        <v>872</v>
      </c>
      <c r="E53" s="22">
        <v>30000</v>
      </c>
      <c r="G53" s="23" t="s">
        <v>656</v>
      </c>
      <c r="H53" t="str">
        <f>PROPER(Table3[[#This Row],[Donor Name]])</f>
        <v>United Nations Environment Programme</v>
      </c>
    </row>
    <row r="54" spans="1:8" ht="14.1">
      <c r="A54" s="21">
        <v>116663</v>
      </c>
      <c r="B54" s="22" t="s">
        <v>873</v>
      </c>
      <c r="C54" s="22">
        <v>134</v>
      </c>
      <c r="D54" s="23" t="s">
        <v>874</v>
      </c>
      <c r="E54" s="22">
        <v>30000</v>
      </c>
      <c r="G54" s="23" t="s">
        <v>371</v>
      </c>
      <c r="H54" t="str">
        <f>PROPER(Table3[[#This Row],[Donor Name]])</f>
        <v>Government Of Ireland</v>
      </c>
    </row>
    <row r="55" spans="1:8" ht="14.1">
      <c r="A55" s="21">
        <v>1001856</v>
      </c>
      <c r="B55" s="22" t="s">
        <v>659</v>
      </c>
      <c r="C55" s="22">
        <v>12711</v>
      </c>
      <c r="D55" s="23" t="s">
        <v>870</v>
      </c>
      <c r="E55" s="22">
        <v>28600</v>
      </c>
      <c r="G55" s="23" t="s">
        <v>871</v>
      </c>
      <c r="H55" t="str">
        <f>PROPER(Table3[[#This Row],[Donor Name]])</f>
        <v>Undp Funding Windows</v>
      </c>
    </row>
    <row r="56" spans="1:8" ht="14.1">
      <c r="A56" s="21">
        <v>1003479</v>
      </c>
      <c r="B56" s="22" t="s">
        <v>664</v>
      </c>
      <c r="C56" s="22">
        <v>10283</v>
      </c>
      <c r="D56" s="23" t="s">
        <v>848</v>
      </c>
      <c r="E56" s="22">
        <v>30000</v>
      </c>
      <c r="G56" s="23" t="s">
        <v>334</v>
      </c>
      <c r="H56" t="str">
        <f>PROPER(Table3[[#This Row],[Donor Name]])</f>
        <v>Kreditanstalt Fur Wiederaufbau</v>
      </c>
    </row>
    <row r="57" spans="1:8" ht="14.1">
      <c r="A57" s="21">
        <v>1003623</v>
      </c>
      <c r="B57" s="22" t="s">
        <v>667</v>
      </c>
      <c r="C57" s="22">
        <v>11227</v>
      </c>
      <c r="D57" s="23" t="s">
        <v>875</v>
      </c>
      <c r="E57" s="22">
        <v>30000</v>
      </c>
      <c r="G57" s="23" t="s">
        <v>668</v>
      </c>
      <c r="H57" t="str">
        <f>PROPER(Table3[[#This Row],[Donor Name]])</f>
        <v>Italian Min. For Foreign Affairs</v>
      </c>
    </row>
    <row r="58" spans="1:8" ht="14.1">
      <c r="A58" s="21">
        <v>1003536</v>
      </c>
      <c r="B58" s="22" t="s">
        <v>671</v>
      </c>
      <c r="C58" s="22">
        <v>10503</v>
      </c>
      <c r="D58" s="23" t="s">
        <v>876</v>
      </c>
      <c r="E58" s="22">
        <v>30000</v>
      </c>
      <c r="G58" s="23" t="s">
        <v>877</v>
      </c>
      <c r="H58" t="str">
        <f>PROPER(Table3[[#This Row],[Donor Name]])</f>
        <v>Nor Ministry Of Foreign Affairs</v>
      </c>
    </row>
    <row r="59" spans="1:8" ht="14.1">
      <c r="A59" s="21">
        <v>1003568</v>
      </c>
      <c r="B59" s="22" t="s">
        <v>671</v>
      </c>
      <c r="C59" s="22">
        <v>10503</v>
      </c>
      <c r="D59" s="23" t="s">
        <v>876</v>
      </c>
      <c r="E59" s="22">
        <v>30000</v>
      </c>
      <c r="G59" s="23" t="s">
        <v>877</v>
      </c>
      <c r="H59" t="str">
        <f>PROPER(Table3[[#This Row],[Donor Name]])</f>
        <v>Nor Ministry Of Foreign Affairs</v>
      </c>
    </row>
    <row r="60" spans="1:8" ht="14.1">
      <c r="A60" s="21">
        <v>1003673</v>
      </c>
      <c r="B60" s="22" t="s">
        <v>674</v>
      </c>
      <c r="C60" s="22">
        <v>12</v>
      </c>
      <c r="D60" s="23" t="s">
        <v>828</v>
      </c>
      <c r="E60" s="22">
        <v>4950</v>
      </c>
      <c r="G60" s="23" t="s">
        <v>165</v>
      </c>
      <c r="H60" t="str">
        <f>PROPER(Table3[[#This Row],[Donor Name]])</f>
        <v>United Nations Development Programme</v>
      </c>
    </row>
    <row r="61" spans="1:8" ht="14.1">
      <c r="A61" s="21">
        <v>1003673</v>
      </c>
      <c r="B61" s="22" t="s">
        <v>674</v>
      </c>
      <c r="C61" s="22">
        <v>10283</v>
      </c>
      <c r="D61" s="23" t="s">
        <v>848</v>
      </c>
      <c r="E61" s="22">
        <v>30000</v>
      </c>
      <c r="G61" s="23" t="s">
        <v>334</v>
      </c>
      <c r="H61" t="str">
        <f>PROPER(Table3[[#This Row],[Donor Name]])</f>
        <v>Kreditanstalt Fur Wiederaufbau</v>
      </c>
    </row>
    <row r="62" spans="1:8" ht="14.1">
      <c r="A62" s="21">
        <v>49334</v>
      </c>
      <c r="B62" s="22" t="s">
        <v>677</v>
      </c>
      <c r="C62" s="22">
        <v>12</v>
      </c>
      <c r="D62" s="23" t="s">
        <v>828</v>
      </c>
      <c r="E62" s="22">
        <v>11971</v>
      </c>
      <c r="G62" s="23" t="s">
        <v>165</v>
      </c>
      <c r="H62" t="str">
        <f>PROPER(Table3[[#This Row],[Donor Name]])</f>
        <v>United Nations Development Programme</v>
      </c>
    </row>
    <row r="63" spans="1:8" ht="14.1">
      <c r="A63" s="21">
        <v>40513</v>
      </c>
      <c r="B63" s="22" t="s">
        <v>682</v>
      </c>
      <c r="C63" s="22">
        <v>12</v>
      </c>
      <c r="D63" s="23" t="s">
        <v>828</v>
      </c>
      <c r="E63" s="22">
        <v>11519</v>
      </c>
      <c r="G63" s="23" t="s">
        <v>165</v>
      </c>
      <c r="H63" t="str">
        <f>PROPER(Table3[[#This Row],[Donor Name]])</f>
        <v>United Nations Development Programme</v>
      </c>
    </row>
    <row r="64" spans="1:8" ht="14.1">
      <c r="A64" s="21">
        <v>49334</v>
      </c>
      <c r="B64" s="22" t="s">
        <v>682</v>
      </c>
      <c r="C64" s="22">
        <v>12</v>
      </c>
      <c r="D64" s="23" t="s">
        <v>828</v>
      </c>
      <c r="E64" s="22">
        <v>11519</v>
      </c>
      <c r="G64" s="23" t="s">
        <v>165</v>
      </c>
      <c r="H64" t="str">
        <f>PROPER(Table3[[#This Row],[Donor Name]])</f>
        <v>United Nations Development Programme</v>
      </c>
    </row>
    <row r="65" spans="1:8" ht="14.1">
      <c r="A65" s="21">
        <v>108676</v>
      </c>
      <c r="B65" s="22" t="s">
        <v>682</v>
      </c>
      <c r="C65" s="22">
        <v>12</v>
      </c>
      <c r="D65" s="23" t="s">
        <v>828</v>
      </c>
      <c r="E65" s="22">
        <v>11519</v>
      </c>
      <c r="G65" s="23" t="s">
        <v>165</v>
      </c>
      <c r="H65" t="str">
        <f>PROPER(Table3[[#This Row],[Donor Name]])</f>
        <v>United Nations Development Programme</v>
      </c>
    </row>
    <row r="66" spans="1:8" ht="14.1">
      <c r="A66" s="21">
        <v>110308</v>
      </c>
      <c r="B66" s="22" t="s">
        <v>682</v>
      </c>
      <c r="C66" s="22">
        <v>12</v>
      </c>
      <c r="D66" s="23" t="s">
        <v>828</v>
      </c>
      <c r="E66" s="22">
        <v>11519</v>
      </c>
      <c r="G66" s="23" t="s">
        <v>165</v>
      </c>
      <c r="H66" t="str">
        <f>PROPER(Table3[[#This Row],[Donor Name]])</f>
        <v>United Nations Development Programme</v>
      </c>
    </row>
    <row r="67" spans="1:8" ht="14.1">
      <c r="A67" s="21">
        <v>113429</v>
      </c>
      <c r="B67" s="22" t="s">
        <v>682</v>
      </c>
      <c r="C67" s="22">
        <v>12</v>
      </c>
      <c r="D67" s="23" t="s">
        <v>828</v>
      </c>
      <c r="E67" s="22">
        <v>11519</v>
      </c>
      <c r="G67" s="23" t="s">
        <v>165</v>
      </c>
      <c r="H67" t="str">
        <f>PROPER(Table3[[#This Row],[Donor Name]])</f>
        <v>United Nations Development Programme</v>
      </c>
    </row>
    <row r="68" spans="1:8" ht="14.1">
      <c r="A68" s="21">
        <v>116663</v>
      </c>
      <c r="B68" s="22" t="s">
        <v>682</v>
      </c>
      <c r="C68" s="22">
        <v>12</v>
      </c>
      <c r="D68" s="23" t="s">
        <v>828</v>
      </c>
      <c r="E68" s="22">
        <v>11519</v>
      </c>
      <c r="G68" s="23" t="s">
        <v>165</v>
      </c>
      <c r="H68" t="str">
        <f>PROPER(Table3[[#This Row],[Donor Name]])</f>
        <v>United Nations Development Programme</v>
      </c>
    </row>
    <row r="69" spans="1:8" ht="14.1">
      <c r="A69" s="21">
        <v>134428</v>
      </c>
      <c r="B69" s="22" t="s">
        <v>682</v>
      </c>
      <c r="C69" s="22">
        <v>12</v>
      </c>
      <c r="D69" s="23" t="s">
        <v>828</v>
      </c>
      <c r="E69" s="22">
        <v>11519</v>
      </c>
      <c r="G69" s="23" t="s">
        <v>165</v>
      </c>
      <c r="H69" t="str">
        <f>PROPER(Table3[[#This Row],[Donor Name]])</f>
        <v>United Nations Development Programme</v>
      </c>
    </row>
    <row r="70" spans="1:8" ht="14.1">
      <c r="A70" s="21">
        <v>1001856</v>
      </c>
      <c r="B70" s="22" t="s">
        <v>682</v>
      </c>
      <c r="C70" s="22">
        <v>12</v>
      </c>
      <c r="D70" s="23" t="s">
        <v>828</v>
      </c>
      <c r="E70" s="22">
        <v>11519</v>
      </c>
      <c r="G70" s="23" t="s">
        <v>165</v>
      </c>
      <c r="H70" t="str">
        <f>PROPER(Table3[[#This Row],[Donor Name]])</f>
        <v>United Nations Development Programme</v>
      </c>
    </row>
    <row r="71" spans="1:8" ht="14.1">
      <c r="A71" s="21">
        <v>1001486</v>
      </c>
      <c r="B71" s="22" t="s">
        <v>686</v>
      </c>
      <c r="C71" s="22">
        <v>182</v>
      </c>
      <c r="D71" s="23" t="s">
        <v>878</v>
      </c>
      <c r="E71" s="22">
        <v>28623</v>
      </c>
      <c r="G71" s="23" t="s">
        <v>431</v>
      </c>
      <c r="H71" t="str">
        <f>PROPER(Table3[[#This Row],[Donor Name]])</f>
        <v>Government Of Netherlands</v>
      </c>
    </row>
    <row r="72" spans="1:8" ht="14.1">
      <c r="A72" s="21">
        <v>108676</v>
      </c>
      <c r="B72" s="22" t="s">
        <v>879</v>
      </c>
      <c r="C72" s="22">
        <v>10216</v>
      </c>
      <c r="D72" s="23" t="s">
        <v>880</v>
      </c>
      <c r="E72" s="22">
        <v>30000</v>
      </c>
      <c r="G72" s="23" t="s">
        <v>598</v>
      </c>
      <c r="H72" t="str">
        <f>PROPER(Table3[[#This Row],[Donor Name]])</f>
        <v>Ag. Espanola De Cooperacion Int.</v>
      </c>
    </row>
    <row r="73" spans="1:8" ht="14.1">
      <c r="A73" s="21">
        <v>1003501</v>
      </c>
      <c r="B73" s="22" t="s">
        <v>690</v>
      </c>
      <c r="C73" s="22">
        <v>14461</v>
      </c>
      <c r="D73" s="23" t="s">
        <v>652</v>
      </c>
      <c r="E73" s="22">
        <v>30000</v>
      </c>
      <c r="G73" s="23" t="s">
        <v>652</v>
      </c>
      <c r="H73" t="str">
        <f>PROPER(Table3[[#This Row],[Donor Name]])</f>
        <v>Palestinian American Medical Association</v>
      </c>
    </row>
    <row r="74" spans="1:8" ht="14.1">
      <c r="A74" s="21">
        <v>1003571</v>
      </c>
      <c r="B74" s="22" t="s">
        <v>693</v>
      </c>
      <c r="C74" s="22">
        <v>14509</v>
      </c>
      <c r="D74" s="23" t="s">
        <v>881</v>
      </c>
      <c r="E74" s="22">
        <v>30000</v>
      </c>
      <c r="G74" s="23" t="s">
        <v>882</v>
      </c>
      <c r="H74" t="str">
        <f>PROPER(Table3[[#This Row],[Donor Name]])</f>
        <v>Kuwait Society For Relief Ksr</v>
      </c>
    </row>
    <row r="75" spans="1:8" ht="14.1">
      <c r="A75" s="21">
        <v>1003501</v>
      </c>
      <c r="B75" s="22" t="s">
        <v>696</v>
      </c>
      <c r="C75" s="22">
        <v>14461</v>
      </c>
      <c r="D75" s="23" t="s">
        <v>652</v>
      </c>
      <c r="E75" s="22">
        <v>30000</v>
      </c>
      <c r="G75" s="23" t="s">
        <v>652</v>
      </c>
      <c r="H75" t="str">
        <f>PROPER(Table3[[#This Row],[Donor Name]])</f>
        <v>Palestinian American Medical Association</v>
      </c>
    </row>
    <row r="76" spans="1:8" ht="14.1">
      <c r="A76" s="21">
        <v>1001856</v>
      </c>
      <c r="B76" s="22" t="s">
        <v>699</v>
      </c>
      <c r="C76" s="22">
        <v>12</v>
      </c>
      <c r="D76" s="23" t="s">
        <v>828</v>
      </c>
      <c r="E76" s="22">
        <v>4950</v>
      </c>
      <c r="G76" s="23" t="s">
        <v>165</v>
      </c>
      <c r="H76" t="str">
        <f>PROPER(Table3[[#This Row],[Donor Name]])</f>
        <v>United Nations Development Programme</v>
      </c>
    </row>
    <row r="77" spans="1:8" ht="14.1">
      <c r="A77" s="21">
        <v>128026</v>
      </c>
      <c r="B77" s="22" t="s">
        <v>883</v>
      </c>
      <c r="C77" s="22">
        <v>12</v>
      </c>
      <c r="D77" s="23" t="s">
        <v>828</v>
      </c>
      <c r="E77" s="22">
        <v>4950</v>
      </c>
      <c r="G77" s="23" t="s">
        <v>165</v>
      </c>
      <c r="H77" t="str">
        <f>PROPER(Table3[[#This Row],[Donor Name]])</f>
        <v>United Nations Development Programme</v>
      </c>
    </row>
    <row r="78" spans="1:8" ht="14.1">
      <c r="A78" s="21">
        <v>128026</v>
      </c>
      <c r="B78" s="22" t="s">
        <v>883</v>
      </c>
      <c r="C78" s="22">
        <v>10282</v>
      </c>
      <c r="D78" s="23" t="s">
        <v>837</v>
      </c>
      <c r="E78" s="22">
        <v>30000</v>
      </c>
      <c r="G78" s="23" t="s">
        <v>387</v>
      </c>
      <c r="H78" t="str">
        <f>PROPER(Table3[[#This Row],[Donor Name]])</f>
        <v>Swiss Agy For Development &amp; Cooperation</v>
      </c>
    </row>
    <row r="79" spans="1:8" ht="14.1">
      <c r="A79" s="21">
        <v>132973</v>
      </c>
      <c r="B79" s="22" t="s">
        <v>702</v>
      </c>
      <c r="C79" s="22">
        <v>14461</v>
      </c>
      <c r="D79" s="23" t="s">
        <v>652</v>
      </c>
      <c r="E79" s="22">
        <v>30000</v>
      </c>
      <c r="G79" s="23" t="s">
        <v>652</v>
      </c>
      <c r="H79" t="str">
        <f>PROPER(Table3[[#This Row],[Donor Name]])</f>
        <v>Palestinian American Medical Association</v>
      </c>
    </row>
    <row r="80" spans="1:8" ht="14.1">
      <c r="A80" s="21">
        <v>1003571</v>
      </c>
      <c r="B80" s="22" t="s">
        <v>705</v>
      </c>
      <c r="C80" s="22">
        <v>191</v>
      </c>
      <c r="D80" s="23" t="s">
        <v>884</v>
      </c>
      <c r="E80" s="22">
        <v>30011</v>
      </c>
      <c r="G80" s="23" t="s">
        <v>426</v>
      </c>
      <c r="H80" t="str">
        <f>PROPER(Table3[[#This Row],[Donor Name]])</f>
        <v>State Of Palestine</v>
      </c>
    </row>
    <row r="81" spans="1:8" ht="14.1">
      <c r="A81" s="21">
        <v>1003536</v>
      </c>
      <c r="B81" s="22" t="s">
        <v>708</v>
      </c>
      <c r="C81" s="22">
        <v>141</v>
      </c>
      <c r="D81" s="23" t="s">
        <v>831</v>
      </c>
      <c r="E81" s="22">
        <v>32045</v>
      </c>
      <c r="G81" s="23" t="s">
        <v>276</v>
      </c>
      <c r="H81" t="str">
        <f>PROPER(Table3[[#This Row],[Donor Name]])</f>
        <v>Government Of Japan</v>
      </c>
    </row>
    <row r="82" spans="1:8" ht="14.1">
      <c r="A82" s="21">
        <v>1003178</v>
      </c>
      <c r="B82" s="22" t="s">
        <v>711</v>
      </c>
      <c r="C82" s="22">
        <v>141</v>
      </c>
      <c r="D82" s="23" t="s">
        <v>831</v>
      </c>
      <c r="E82" s="22">
        <v>32045</v>
      </c>
      <c r="G82" s="23" t="s">
        <v>276</v>
      </c>
      <c r="H82" t="str">
        <f>PROPER(Table3[[#This Row],[Donor Name]])</f>
        <v>Government Of Japan</v>
      </c>
    </row>
    <row r="83" spans="1:8" ht="14.1">
      <c r="A83" s="21">
        <v>1001278</v>
      </c>
      <c r="B83" s="22" t="s">
        <v>714</v>
      </c>
      <c r="C83" s="22">
        <v>95</v>
      </c>
      <c r="D83" s="23" t="s">
        <v>835</v>
      </c>
      <c r="E83" s="22">
        <v>30000</v>
      </c>
      <c r="G83" s="23" t="s">
        <v>366</v>
      </c>
      <c r="H83" t="str">
        <f>PROPER(Table3[[#This Row],[Donor Name]])</f>
        <v>Government Of Denmark</v>
      </c>
    </row>
    <row r="84" spans="1:8" ht="14.1">
      <c r="A84" s="21">
        <v>132973</v>
      </c>
      <c r="B84" s="22" t="s">
        <v>717</v>
      </c>
      <c r="C84" s="22">
        <v>14530</v>
      </c>
      <c r="D84" s="23" t="s">
        <v>885</v>
      </c>
      <c r="E84" s="22">
        <v>30000</v>
      </c>
      <c r="G84" s="23" t="s">
        <v>718</v>
      </c>
      <c r="H84" t="str">
        <f>PROPER(Table3[[#This Row],[Donor Name]])</f>
        <v>Heal Palestine</v>
      </c>
    </row>
    <row r="85" spans="1:8" ht="14.1">
      <c r="A85" s="21">
        <v>1003178</v>
      </c>
      <c r="B85" s="22" t="s">
        <v>721</v>
      </c>
      <c r="C85" s="22">
        <v>13529</v>
      </c>
      <c r="D85" s="23" t="s">
        <v>722</v>
      </c>
      <c r="E85" s="22">
        <v>30000</v>
      </c>
      <c r="G85" s="23" t="s">
        <v>722</v>
      </c>
      <c r="H85" t="str">
        <f>PROPER(Table3[[#This Row],[Donor Name]])</f>
        <v>King Salman Humanitarian Ctr</v>
      </c>
    </row>
    <row r="86" spans="1:8" ht="14.1">
      <c r="A86" s="21">
        <v>1003571</v>
      </c>
      <c r="B86" s="22" t="s">
        <v>721</v>
      </c>
      <c r="C86" s="22">
        <v>13529</v>
      </c>
      <c r="D86" s="23" t="s">
        <v>722</v>
      </c>
      <c r="E86" s="22">
        <v>30000</v>
      </c>
      <c r="G86" s="23" t="s">
        <v>722</v>
      </c>
      <c r="H86" t="str">
        <f>PROPER(Table3[[#This Row],[Donor Name]])</f>
        <v>King Salman Humanitarian Ctr</v>
      </c>
    </row>
    <row r="87" spans="1:8" ht="14.1">
      <c r="A87" s="21">
        <v>134428</v>
      </c>
      <c r="B87" s="22" t="s">
        <v>725</v>
      </c>
      <c r="C87" s="22">
        <v>11854</v>
      </c>
      <c r="D87" s="23" t="s">
        <v>886</v>
      </c>
      <c r="E87" s="22">
        <v>30000</v>
      </c>
      <c r="G87" s="23" t="s">
        <v>726</v>
      </c>
      <c r="H87" t="str">
        <f>PROPER(Table3[[#This Row],[Donor Name]])</f>
        <v>Australian Dfat</v>
      </c>
    </row>
    <row r="88" spans="1:8" ht="14.1">
      <c r="A88" s="21">
        <v>134428</v>
      </c>
      <c r="B88" s="22" t="s">
        <v>729</v>
      </c>
      <c r="C88" s="22">
        <v>141</v>
      </c>
      <c r="D88" s="23" t="s">
        <v>831</v>
      </c>
      <c r="E88" s="22">
        <v>30000</v>
      </c>
      <c r="G88" s="23" t="s">
        <v>276</v>
      </c>
      <c r="H88" t="str">
        <f>PROPER(Table3[[#This Row],[Donor Name]])</f>
        <v>Government Of Japan</v>
      </c>
    </row>
    <row r="89" spans="1:8" ht="14.1">
      <c r="A89" s="21">
        <v>1001278</v>
      </c>
      <c r="B89" s="22" t="s">
        <v>732</v>
      </c>
      <c r="C89" s="22">
        <v>555</v>
      </c>
      <c r="D89" s="23" t="s">
        <v>887</v>
      </c>
      <c r="E89" s="22">
        <v>30000</v>
      </c>
      <c r="G89" s="23" t="s">
        <v>382</v>
      </c>
      <c r="H89" t="str">
        <f>PROPER(Table3[[#This Row],[Donor Name]])</f>
        <v>Swedish Int'L Development Cooperation</v>
      </c>
    </row>
    <row r="90" spans="1:8" ht="14.1">
      <c r="A90" s="21">
        <v>1004308</v>
      </c>
      <c r="B90" s="22" t="s">
        <v>734</v>
      </c>
      <c r="C90" s="22">
        <v>10003</v>
      </c>
      <c r="D90" s="23" t="s">
        <v>888</v>
      </c>
      <c r="E90" s="22">
        <v>62000</v>
      </c>
      <c r="G90" s="23" t="s">
        <v>888</v>
      </c>
      <c r="H90" t="str">
        <f>PROPER(Table3[[#This Row],[Donor Name]])</f>
        <v>Global Environment Fund Truste</v>
      </c>
    </row>
    <row r="91" spans="1:8" ht="14.1">
      <c r="A91" s="21">
        <v>1003178</v>
      </c>
      <c r="B91" s="22" t="s">
        <v>740</v>
      </c>
      <c r="C91" s="22">
        <v>38</v>
      </c>
      <c r="D91" s="23" t="s">
        <v>852</v>
      </c>
      <c r="E91" s="22">
        <v>30000</v>
      </c>
      <c r="G91" s="23" t="s">
        <v>391</v>
      </c>
      <c r="H91" t="str">
        <f>PROPER(Table3[[#This Row],[Donor Name]])</f>
        <v>Unocha</v>
      </c>
    </row>
    <row r="92" spans="1:8" ht="14.1">
      <c r="A92" s="21">
        <v>1003571</v>
      </c>
      <c r="B92" s="22" t="s">
        <v>743</v>
      </c>
      <c r="C92" s="22">
        <v>13848</v>
      </c>
      <c r="D92" s="23" t="s">
        <v>744</v>
      </c>
      <c r="E92" s="22">
        <v>30000</v>
      </c>
      <c r="G92" s="23" t="s">
        <v>744</v>
      </c>
      <c r="H92" t="str">
        <f>PROPER(Table3[[#This Row],[Donor Name]])</f>
        <v>Kuwait Fund</v>
      </c>
    </row>
    <row r="93" spans="1:8" ht="14.1">
      <c r="A93" s="21">
        <v>108580</v>
      </c>
      <c r="B93" s="22" t="s">
        <v>747</v>
      </c>
      <c r="C93" s="22">
        <v>12</v>
      </c>
      <c r="D93" s="23" t="s">
        <v>828</v>
      </c>
      <c r="E93" s="22">
        <v>30084</v>
      </c>
      <c r="G93" s="23" t="s">
        <v>165</v>
      </c>
      <c r="H93" t="str">
        <f>PROPER(Table3[[#This Row],[Donor Name]])</f>
        <v>United Nations Development Programme</v>
      </c>
    </row>
    <row r="94" spans="1:8" ht="14.1">
      <c r="A94" s="21">
        <v>1004452</v>
      </c>
      <c r="B94" s="22" t="s">
        <v>751</v>
      </c>
      <c r="C94" s="22">
        <v>12253</v>
      </c>
      <c r="D94" s="23" t="s">
        <v>752</v>
      </c>
      <c r="E94" s="22">
        <v>30000</v>
      </c>
      <c r="G94" s="23" t="s">
        <v>752</v>
      </c>
      <c r="H94" t="str">
        <f>PROPER(Table3[[#This Row],[Donor Name]])</f>
        <v>Education Above All</v>
      </c>
    </row>
    <row r="95" spans="1:8" ht="14.1">
      <c r="A95" s="21">
        <v>113429</v>
      </c>
      <c r="B95" s="22" t="s">
        <v>754</v>
      </c>
      <c r="C95" s="22">
        <v>110</v>
      </c>
      <c r="D95" s="23" t="s">
        <v>889</v>
      </c>
      <c r="E95" s="22">
        <v>30000</v>
      </c>
      <c r="G95" s="23" t="s">
        <v>406</v>
      </c>
      <c r="H95" t="str">
        <f>PROPER(Table3[[#This Row],[Donor Name]])</f>
        <v>Government Of Finland</v>
      </c>
    </row>
    <row r="96" spans="1:8" ht="14.1">
      <c r="A96" s="21">
        <v>1003673</v>
      </c>
      <c r="B96" s="22" t="s">
        <v>757</v>
      </c>
      <c r="C96" s="22">
        <v>231</v>
      </c>
      <c r="D96" s="23" t="s">
        <v>890</v>
      </c>
      <c r="E96" s="22">
        <v>28649</v>
      </c>
      <c r="G96" s="23" t="s">
        <v>758</v>
      </c>
      <c r="H96" t="str">
        <f>PROPER(Table3[[#This Row],[Donor Name]])</f>
        <v>Government Of Sweden</v>
      </c>
    </row>
    <row r="97" spans="1:8" ht="14.1">
      <c r="A97" s="21">
        <v>1003673</v>
      </c>
      <c r="B97" s="22" t="s">
        <v>761</v>
      </c>
      <c r="C97" s="22">
        <v>19</v>
      </c>
      <c r="D97" s="23" t="s">
        <v>891</v>
      </c>
      <c r="E97" s="22">
        <v>30000</v>
      </c>
      <c r="G97" s="23" t="s">
        <v>762</v>
      </c>
      <c r="H97" t="str">
        <f>PROPER(Table3[[#This Row],[Donor Name]])</f>
        <v>Arab Fund For Economic &amp; Social Develop.</v>
      </c>
    </row>
    <row r="98" spans="1:8" ht="14.1">
      <c r="A98" s="21">
        <v>1003178</v>
      </c>
      <c r="B98" s="22" t="s">
        <v>765</v>
      </c>
      <c r="C98" s="22">
        <v>10159</v>
      </c>
      <c r="D98" s="23" t="s">
        <v>858</v>
      </c>
      <c r="E98" s="22">
        <v>30079</v>
      </c>
      <c r="G98" s="23" t="s">
        <v>172</v>
      </c>
      <c r="H98" t="str">
        <f>PROPER(Table3[[#This Row],[Donor Name]])</f>
        <v>European Commission</v>
      </c>
    </row>
    <row r="99" spans="1:8" ht="14.1">
      <c r="A99" s="21">
        <v>116663</v>
      </c>
      <c r="B99" s="22" t="s">
        <v>892</v>
      </c>
      <c r="C99" s="22">
        <v>117</v>
      </c>
      <c r="D99" s="23" t="s">
        <v>865</v>
      </c>
      <c r="E99" s="22">
        <v>30000</v>
      </c>
      <c r="G99" s="23" t="s">
        <v>398</v>
      </c>
      <c r="H99" t="str">
        <f>PROPER(Table3[[#This Row],[Donor Name]])</f>
        <v>Government Of Germany</v>
      </c>
    </row>
    <row r="100" spans="1:8" ht="14.1">
      <c r="A100" s="21">
        <v>129324</v>
      </c>
      <c r="B100" s="22" t="s">
        <v>893</v>
      </c>
      <c r="C100" s="22">
        <v>61</v>
      </c>
      <c r="D100" s="23" t="s">
        <v>894</v>
      </c>
      <c r="E100" s="22">
        <v>30000</v>
      </c>
      <c r="G100" s="23" t="s">
        <v>402</v>
      </c>
      <c r="H100" t="str">
        <f>PROPER(Table3[[#This Row],[Donor Name]])</f>
        <v>Government Of Belgium</v>
      </c>
    </row>
    <row r="101" spans="1:8" ht="14.1">
      <c r="A101" s="21">
        <v>113429</v>
      </c>
      <c r="B101" s="22" t="s">
        <v>895</v>
      </c>
      <c r="C101" s="22">
        <v>12</v>
      </c>
      <c r="D101" s="23" t="s">
        <v>828</v>
      </c>
      <c r="E101" s="22">
        <v>4950</v>
      </c>
      <c r="G101" s="23" t="s">
        <v>165</v>
      </c>
      <c r="H101" t="str">
        <f>PROPER(Table3[[#This Row],[Donor Name]])</f>
        <v>United Nations Development Programme</v>
      </c>
    </row>
    <row r="102" spans="1:8" ht="14.1">
      <c r="A102" s="21">
        <v>113429</v>
      </c>
      <c r="B102" s="22" t="s">
        <v>895</v>
      </c>
      <c r="C102" s="22">
        <v>110</v>
      </c>
      <c r="D102" s="23" t="s">
        <v>889</v>
      </c>
      <c r="E102" s="22">
        <v>30000</v>
      </c>
      <c r="G102" s="23" t="s">
        <v>406</v>
      </c>
      <c r="H102" t="str">
        <f>PROPER(Table3[[#This Row],[Donor Name]])</f>
        <v>Government Of Finland</v>
      </c>
    </row>
    <row r="103" spans="1:8" ht="14.1">
      <c r="A103" s="21">
        <v>113429</v>
      </c>
      <c r="B103" s="22" t="s">
        <v>768</v>
      </c>
      <c r="C103" s="22">
        <v>14461</v>
      </c>
      <c r="D103" s="23" t="s">
        <v>652</v>
      </c>
      <c r="E103" s="22">
        <v>30000</v>
      </c>
      <c r="G103" s="23" t="s">
        <v>652</v>
      </c>
      <c r="H103" t="str">
        <f>PROPER(Table3[[#This Row],[Donor Name]])</f>
        <v>Palestinian American Medical Association</v>
      </c>
    </row>
    <row r="104" spans="1:8" ht="14.1">
      <c r="A104" s="21">
        <v>113429</v>
      </c>
      <c r="B104" s="22" t="s">
        <v>771</v>
      </c>
      <c r="C104" s="22">
        <v>14461</v>
      </c>
      <c r="D104" s="23" t="s">
        <v>652</v>
      </c>
      <c r="E104" s="22">
        <v>30000</v>
      </c>
      <c r="G104" s="23" t="s">
        <v>652</v>
      </c>
      <c r="H104" t="str">
        <f>PROPER(Table3[[#This Row],[Donor Name]])</f>
        <v>Palestinian American Medical Association</v>
      </c>
    </row>
    <row r="105" spans="1:8" ht="14.1">
      <c r="A105" s="21">
        <v>113429</v>
      </c>
      <c r="B105" s="22" t="s">
        <v>774</v>
      </c>
      <c r="C105" s="22">
        <v>14461</v>
      </c>
      <c r="D105" s="23" t="s">
        <v>652</v>
      </c>
      <c r="E105" s="22">
        <v>30000</v>
      </c>
      <c r="G105" s="23" t="s">
        <v>652</v>
      </c>
      <c r="H105" t="str">
        <f>PROPER(Table3[[#This Row],[Donor Name]])</f>
        <v>Palestinian American Medical Association</v>
      </c>
    </row>
    <row r="106" spans="1:8" ht="14.1">
      <c r="A106" s="21">
        <v>108676</v>
      </c>
      <c r="B106" s="22" t="s">
        <v>896</v>
      </c>
      <c r="C106" s="22">
        <v>12</v>
      </c>
      <c r="D106" s="23" t="s">
        <v>828</v>
      </c>
      <c r="E106" s="22">
        <v>4950</v>
      </c>
      <c r="G106" s="23" t="s">
        <v>165</v>
      </c>
      <c r="H106" t="str">
        <f>PROPER(Table3[[#This Row],[Donor Name]])</f>
        <v>United Nations Development Programme</v>
      </c>
    </row>
    <row r="107" spans="1:8" ht="14.1">
      <c r="A107" s="21">
        <v>108676</v>
      </c>
      <c r="B107" s="22" t="s">
        <v>896</v>
      </c>
      <c r="C107" s="22">
        <v>10216</v>
      </c>
      <c r="D107" s="23" t="s">
        <v>880</v>
      </c>
      <c r="E107" s="22">
        <v>30000</v>
      </c>
      <c r="G107" s="23" t="s">
        <v>598</v>
      </c>
      <c r="H107" t="str">
        <f>PROPER(Table3[[#This Row],[Donor Name]])</f>
        <v>Ag. Espanola De Cooperacion Int.</v>
      </c>
    </row>
    <row r="108" spans="1:8" ht="14.1">
      <c r="A108" s="21">
        <v>14145</v>
      </c>
      <c r="B108" s="22" t="s">
        <v>897</v>
      </c>
      <c r="C108" s="22">
        <v>141</v>
      </c>
      <c r="D108" s="23" t="s">
        <v>831</v>
      </c>
      <c r="E108" s="22">
        <v>40515</v>
      </c>
      <c r="G108" s="23" t="s">
        <v>276</v>
      </c>
      <c r="H108" t="str">
        <f>PROPER(Table3[[#This Row],[Donor Name]])</f>
        <v>Government Of Japan</v>
      </c>
    </row>
    <row r="109" spans="1:8" ht="14.1">
      <c r="A109" s="21">
        <v>14145</v>
      </c>
      <c r="B109" s="22" t="s">
        <v>898</v>
      </c>
      <c r="C109" s="22">
        <v>141</v>
      </c>
      <c r="D109" s="23" t="s">
        <v>831</v>
      </c>
      <c r="E109" s="22">
        <v>40517</v>
      </c>
      <c r="G109" s="23" t="s">
        <v>276</v>
      </c>
      <c r="H109" t="str">
        <f>PROPER(Table3[[#This Row],[Donor Name]])</f>
        <v>Government Of Japan</v>
      </c>
    </row>
    <row r="110" spans="1:8" ht="14.1">
      <c r="A110" s="21">
        <v>116663</v>
      </c>
      <c r="B110" s="22" t="s">
        <v>899</v>
      </c>
      <c r="C110" s="22">
        <v>61</v>
      </c>
      <c r="D110" s="23" t="s">
        <v>894</v>
      </c>
      <c r="E110" s="22">
        <v>30000</v>
      </c>
      <c r="G110" s="23" t="s">
        <v>402</v>
      </c>
      <c r="H110" t="str">
        <f>PROPER(Table3[[#This Row],[Donor Name]])</f>
        <v>Government Of Belgium</v>
      </c>
    </row>
    <row r="111" spans="1:8" ht="14.1">
      <c r="A111" s="21">
        <v>116663</v>
      </c>
      <c r="B111" s="22" t="s">
        <v>900</v>
      </c>
      <c r="C111" s="22">
        <v>12113</v>
      </c>
      <c r="D111" s="23" t="s">
        <v>901</v>
      </c>
      <c r="E111" s="22">
        <v>30000</v>
      </c>
      <c r="G111" s="23" t="s">
        <v>413</v>
      </c>
      <c r="H111" t="str">
        <f>PROPER(Table3[[#This Row],[Donor Name]])</f>
        <v>Dept Of Forgn Afrs Trade &amp; Dev</v>
      </c>
    </row>
    <row r="112" spans="1:8" ht="14.1">
      <c r="A112" s="21">
        <v>132260</v>
      </c>
      <c r="B112" s="22" t="s">
        <v>902</v>
      </c>
      <c r="C112" s="22">
        <v>10503</v>
      </c>
      <c r="D112" s="23" t="s">
        <v>876</v>
      </c>
      <c r="E112" s="22">
        <v>30000</v>
      </c>
      <c r="G112" s="23" t="s">
        <v>877</v>
      </c>
      <c r="H112" t="str">
        <f>PROPER(Table3[[#This Row],[Donor Name]])</f>
        <v>Nor Ministry Of Foreign Affairs</v>
      </c>
    </row>
    <row r="113" spans="1:8" ht="14.1">
      <c r="A113" s="21">
        <v>110314</v>
      </c>
      <c r="B113" s="22" t="s">
        <v>903</v>
      </c>
      <c r="C113" s="22">
        <v>10503</v>
      </c>
      <c r="D113" s="23" t="s">
        <v>876</v>
      </c>
      <c r="E113" s="22">
        <v>30000</v>
      </c>
      <c r="G113" s="23" t="s">
        <v>877</v>
      </c>
      <c r="H113" t="str">
        <f>PROPER(Table3[[#This Row],[Donor Name]])</f>
        <v>Nor Ministry Of Foreign Affairs</v>
      </c>
    </row>
    <row r="114" spans="1:8" ht="14.1">
      <c r="A114" s="21">
        <v>132973</v>
      </c>
      <c r="B114" s="22" t="s">
        <v>904</v>
      </c>
      <c r="C114" s="22">
        <v>10503</v>
      </c>
      <c r="D114" s="23" t="s">
        <v>876</v>
      </c>
      <c r="E114" s="22">
        <v>30000</v>
      </c>
      <c r="G114" s="23" t="s">
        <v>877</v>
      </c>
      <c r="H114" t="str">
        <f>PROPER(Table3[[#This Row],[Donor Name]])</f>
        <v>Nor Ministry Of Foreign Affairs</v>
      </c>
    </row>
    <row r="115" spans="1:8" ht="14.1">
      <c r="A115" s="21">
        <v>110308</v>
      </c>
      <c r="B115" s="22" t="s">
        <v>905</v>
      </c>
      <c r="C115" s="22">
        <v>12</v>
      </c>
      <c r="D115" s="23" t="s">
        <v>828</v>
      </c>
      <c r="E115" s="22">
        <v>4950</v>
      </c>
      <c r="G115" s="23" t="s">
        <v>165</v>
      </c>
      <c r="H115" t="str">
        <f>PROPER(Table3[[#This Row],[Donor Name]])</f>
        <v>United Nations Development Programme</v>
      </c>
    </row>
    <row r="116" spans="1:8" ht="14.1">
      <c r="A116" s="21">
        <v>110308</v>
      </c>
      <c r="B116" s="22" t="s">
        <v>905</v>
      </c>
      <c r="C116" s="22">
        <v>182</v>
      </c>
      <c r="D116" s="23" t="s">
        <v>878</v>
      </c>
      <c r="E116" s="22">
        <v>30000</v>
      </c>
      <c r="G116" s="23" t="s">
        <v>431</v>
      </c>
      <c r="H116" t="str">
        <f>PROPER(Table3[[#This Row],[Donor Name]])</f>
        <v>Government Of Netherlands</v>
      </c>
    </row>
    <row r="117" spans="1:8" ht="14.1">
      <c r="A117" s="21">
        <v>132972</v>
      </c>
      <c r="B117" s="22" t="s">
        <v>906</v>
      </c>
      <c r="C117" s="22">
        <v>10503</v>
      </c>
      <c r="D117" s="23" t="s">
        <v>876</v>
      </c>
      <c r="E117" s="22">
        <v>30000</v>
      </c>
      <c r="G117" s="23" t="s">
        <v>877</v>
      </c>
      <c r="H117" t="str">
        <f>PROPER(Table3[[#This Row],[Donor Name]])</f>
        <v>Nor Ministry Of Foreign Affairs</v>
      </c>
    </row>
    <row r="118" spans="1:8" ht="14.1">
      <c r="A118" s="21">
        <v>133751</v>
      </c>
      <c r="B118" s="22" t="s">
        <v>907</v>
      </c>
      <c r="C118" s="22">
        <v>12</v>
      </c>
      <c r="D118" s="23" t="s">
        <v>828</v>
      </c>
      <c r="E118" s="22">
        <v>4950</v>
      </c>
      <c r="G118" s="23" t="s">
        <v>165</v>
      </c>
      <c r="H118" t="str">
        <f>PROPER(Table3[[#This Row],[Donor Name]])</f>
        <v>United Nations Development Programme</v>
      </c>
    </row>
    <row r="119" spans="1:8" ht="14.1">
      <c r="A119" s="21">
        <v>133751</v>
      </c>
      <c r="B119" s="22" t="s">
        <v>907</v>
      </c>
      <c r="C119" s="22">
        <v>182</v>
      </c>
      <c r="D119" s="23" t="s">
        <v>878</v>
      </c>
      <c r="E119" s="22">
        <v>30000</v>
      </c>
      <c r="G119" s="23" t="s">
        <v>431</v>
      </c>
      <c r="H119" t="str">
        <f>PROPER(Table3[[#This Row],[Donor Name]])</f>
        <v>Government Of Netherlands</v>
      </c>
    </row>
    <row r="120" spans="1:8" ht="14.1">
      <c r="A120" s="21">
        <v>133751</v>
      </c>
      <c r="B120" s="22" t="s">
        <v>907</v>
      </c>
      <c r="C120" s="22">
        <v>296</v>
      </c>
      <c r="D120" s="23" t="s">
        <v>844</v>
      </c>
      <c r="E120" s="22">
        <v>4950</v>
      </c>
      <c r="G120" s="23" t="s">
        <v>325</v>
      </c>
      <c r="H120" t="str">
        <f>PROPER(Table3[[#This Row],[Donor Name]])</f>
        <v>United Nations</v>
      </c>
    </row>
    <row r="121" spans="1:8" ht="14.1">
      <c r="A121" s="21">
        <v>1000480</v>
      </c>
      <c r="B121" s="22" t="s">
        <v>908</v>
      </c>
      <c r="C121" s="22">
        <v>10503</v>
      </c>
      <c r="D121" s="23" t="s">
        <v>876</v>
      </c>
      <c r="E121" s="22">
        <v>30000</v>
      </c>
      <c r="G121" s="23" t="s">
        <v>877</v>
      </c>
      <c r="H121" t="str">
        <f>PROPER(Table3[[#This Row],[Donor Name]])</f>
        <v>Nor Ministry Of Foreign Affairs</v>
      </c>
    </row>
    <row r="122" spans="1:8" ht="14.1">
      <c r="A122" s="21">
        <v>108769</v>
      </c>
      <c r="B122" s="22" t="s">
        <v>909</v>
      </c>
      <c r="C122" s="22">
        <v>10503</v>
      </c>
      <c r="D122" s="23" t="s">
        <v>876</v>
      </c>
      <c r="E122" s="22">
        <v>30000</v>
      </c>
      <c r="G122" s="23" t="s">
        <v>877</v>
      </c>
      <c r="H122" t="str">
        <f>PROPER(Table3[[#This Row],[Donor Name]])</f>
        <v>Nor Ministry Of Foreign Affairs</v>
      </c>
    </row>
    <row r="123" spans="1:8" ht="14.1">
      <c r="A123" s="21">
        <v>1000457</v>
      </c>
      <c r="B123" s="22" t="s">
        <v>910</v>
      </c>
      <c r="C123" s="22">
        <v>10283</v>
      </c>
      <c r="D123" s="23" t="s">
        <v>848</v>
      </c>
      <c r="E123" s="22">
        <v>30000</v>
      </c>
      <c r="G123" s="23" t="s">
        <v>334</v>
      </c>
      <c r="H123" t="str">
        <f>PROPER(Table3[[#This Row],[Donor Name]])</f>
        <v>Kreditanstalt Fur Wiederaufbau</v>
      </c>
    </row>
    <row r="124" spans="1:8" ht="14.1">
      <c r="A124" s="21">
        <v>134428</v>
      </c>
      <c r="B124" s="22" t="s">
        <v>911</v>
      </c>
      <c r="C124" s="22">
        <v>12</v>
      </c>
      <c r="D124" s="23" t="s">
        <v>828</v>
      </c>
      <c r="E124" s="22">
        <v>4950</v>
      </c>
      <c r="G124" s="23" t="s">
        <v>165</v>
      </c>
      <c r="H124" t="str">
        <f>PROPER(Table3[[#This Row],[Donor Name]])</f>
        <v>United Nations Development Programme</v>
      </c>
    </row>
    <row r="125" spans="1:8" ht="14.1">
      <c r="A125" s="21">
        <v>134428</v>
      </c>
      <c r="B125" s="22" t="s">
        <v>911</v>
      </c>
      <c r="C125" s="22">
        <v>555</v>
      </c>
      <c r="D125" s="23" t="s">
        <v>887</v>
      </c>
      <c r="E125" s="22">
        <v>30000</v>
      </c>
      <c r="G125" s="23" t="s">
        <v>382</v>
      </c>
      <c r="H125" t="str">
        <f>PROPER(Table3[[#This Row],[Donor Name]])</f>
        <v>Swedish Int'L Development Cooperation</v>
      </c>
    </row>
    <row r="126" spans="1:8" ht="14.1">
      <c r="A126" s="21">
        <v>113429</v>
      </c>
      <c r="B126" s="22" t="s">
        <v>780</v>
      </c>
      <c r="C126" s="22">
        <v>11266</v>
      </c>
      <c r="D126" s="23" t="s">
        <v>781</v>
      </c>
      <c r="E126" s="22">
        <v>30000</v>
      </c>
      <c r="G126" s="23" t="s">
        <v>781</v>
      </c>
      <c r="H126" t="str">
        <f>PROPER(Table3[[#This Row],[Donor Name]])</f>
        <v>Austrian Development Agency</v>
      </c>
    </row>
    <row r="127" spans="1:8" ht="14.1">
      <c r="A127" s="21">
        <v>1001856</v>
      </c>
      <c r="B127" s="22" t="s">
        <v>784</v>
      </c>
      <c r="C127" s="22">
        <v>12</v>
      </c>
      <c r="D127" s="23" t="s">
        <v>828</v>
      </c>
      <c r="E127" s="22">
        <v>4130</v>
      </c>
      <c r="G127" s="23" t="s">
        <v>165</v>
      </c>
      <c r="H127" t="str">
        <f>PROPER(Table3[[#This Row],[Donor Name]])</f>
        <v>United Nations Development Programme</v>
      </c>
    </row>
    <row r="128" spans="1:8" ht="14.1">
      <c r="A128" s="21">
        <v>1003178</v>
      </c>
      <c r="B128" s="22" t="s">
        <v>787</v>
      </c>
      <c r="C128" s="22">
        <v>11724</v>
      </c>
      <c r="D128" s="23" t="s">
        <v>788</v>
      </c>
      <c r="E128" s="22">
        <v>30079</v>
      </c>
      <c r="G128" s="23" t="s">
        <v>788</v>
      </c>
      <c r="H128" t="str">
        <f>PROPER(Table3[[#This Row],[Donor Name]])</f>
        <v>European Comm. Humanit. Aid Off</v>
      </c>
    </row>
    <row r="129" spans="1:8" ht="14.1">
      <c r="A129" s="21">
        <v>1001486</v>
      </c>
      <c r="B129" s="22" t="s">
        <v>791</v>
      </c>
      <c r="C129" s="22">
        <v>182</v>
      </c>
      <c r="D129" s="23" t="s">
        <v>878</v>
      </c>
      <c r="E129" s="22">
        <v>28623</v>
      </c>
      <c r="G129" s="23" t="s">
        <v>431</v>
      </c>
      <c r="H129" t="str">
        <f>PROPER(Table3[[#This Row],[Donor Name]])</f>
        <v>Government Of Netherlands</v>
      </c>
    </row>
    <row r="130" spans="1:8" ht="14.1">
      <c r="A130" s="21">
        <v>99288</v>
      </c>
      <c r="B130" s="22" t="s">
        <v>912</v>
      </c>
      <c r="C130" s="22">
        <v>12</v>
      </c>
      <c r="D130" s="23" t="s">
        <v>828</v>
      </c>
      <c r="E130" s="22">
        <v>11413</v>
      </c>
      <c r="G130" s="23" t="s">
        <v>165</v>
      </c>
      <c r="H130" t="str">
        <f>PROPER(Table3[[#This Row],[Donor Name]])</f>
        <v>United Nations Development Programme</v>
      </c>
    </row>
    <row r="131" spans="1:8" ht="14.1">
      <c r="A131" s="21">
        <v>20377</v>
      </c>
      <c r="B131" s="22" t="s">
        <v>913</v>
      </c>
      <c r="C131" s="22">
        <v>10159</v>
      </c>
      <c r="D131" s="23" t="s">
        <v>858</v>
      </c>
      <c r="E131" s="22">
        <v>68100</v>
      </c>
      <c r="G131" s="23" t="s">
        <v>172</v>
      </c>
      <c r="H131" t="str">
        <f>PROPER(Table3[[#This Row],[Donor Name]])</f>
        <v>European Commission</v>
      </c>
    </row>
    <row r="132" spans="1:8" ht="14.1">
      <c r="A132" s="21">
        <v>20377</v>
      </c>
      <c r="B132" s="22" t="s">
        <v>914</v>
      </c>
      <c r="C132" s="22">
        <v>10453</v>
      </c>
      <c r="D132" s="23" t="s">
        <v>915</v>
      </c>
      <c r="E132" s="22">
        <v>68100</v>
      </c>
      <c r="G132" s="23" t="s">
        <v>916</v>
      </c>
      <c r="H132" t="str">
        <f>PROPER(Table3[[#This Row],[Donor Name]])</f>
        <v>Foligno Decentralized Cooperat</v>
      </c>
    </row>
    <row r="133" spans="1:8" ht="14.1">
      <c r="A133" s="21">
        <v>20377</v>
      </c>
      <c r="B133" s="22" t="s">
        <v>917</v>
      </c>
      <c r="C133" s="22">
        <v>10513</v>
      </c>
      <c r="D133" s="23" t="s">
        <v>918</v>
      </c>
      <c r="E133" s="22">
        <v>68100</v>
      </c>
      <c r="G133" s="23" t="s">
        <v>919</v>
      </c>
      <c r="H133" t="str">
        <f>PROPER(Table3[[#This Row],[Donor Name]])</f>
        <v>Per  Fondo Italo Peruano</v>
      </c>
    </row>
    <row r="134" spans="1:8" ht="14.1">
      <c r="A134" s="21">
        <v>20377</v>
      </c>
      <c r="B134" s="22" t="s">
        <v>920</v>
      </c>
      <c r="C134" s="22">
        <v>12</v>
      </c>
      <c r="D134" s="23" t="s">
        <v>828</v>
      </c>
      <c r="E134" s="22">
        <v>68100</v>
      </c>
      <c r="G134" s="23" t="s">
        <v>165</v>
      </c>
      <c r="H134" t="str">
        <f>PROPER(Table3[[#This Row],[Donor Name]])</f>
        <v>United Nations Development Programme</v>
      </c>
    </row>
    <row r="135" spans="1:8" ht="14.1">
      <c r="A135" s="21">
        <v>20377</v>
      </c>
      <c r="B135" s="22" t="s">
        <v>921</v>
      </c>
      <c r="C135" s="22">
        <v>10135</v>
      </c>
      <c r="D135" s="23" t="s">
        <v>922</v>
      </c>
      <c r="E135" s="22">
        <v>68100</v>
      </c>
      <c r="G135" s="23" t="s">
        <v>162</v>
      </c>
      <c r="H135" t="str">
        <f>PROPER(Table3[[#This Row],[Donor Name]])</f>
        <v>Rivers State Government</v>
      </c>
    </row>
    <row r="136" spans="1:8" ht="14.1">
      <c r="A136" s="21">
        <v>20377</v>
      </c>
      <c r="B136" s="22" t="s">
        <v>923</v>
      </c>
      <c r="C136" s="22">
        <v>10151</v>
      </c>
      <c r="D136" s="23" t="s">
        <v>924</v>
      </c>
      <c r="E136" s="22">
        <v>68100</v>
      </c>
      <c r="G136" s="23" t="s">
        <v>169</v>
      </c>
      <c r="H136" t="str">
        <f>PROPER(Table3[[#This Row],[Donor Name]])</f>
        <v>Netherlands Embassy Moscow</v>
      </c>
    </row>
    <row r="137" spans="1:8" ht="14.1">
      <c r="A137" s="21">
        <v>20377</v>
      </c>
      <c r="B137" s="22" t="s">
        <v>925</v>
      </c>
      <c r="C137" s="22">
        <v>10152</v>
      </c>
      <c r="D137" s="23" t="s">
        <v>926</v>
      </c>
      <c r="E137" s="22">
        <v>68100</v>
      </c>
      <c r="G137" s="23" t="s">
        <v>150</v>
      </c>
      <c r="H137" t="str">
        <f>PROPER(Table3[[#This Row],[Donor Name]])</f>
        <v>Medical Research Council</v>
      </c>
    </row>
    <row r="138" spans="1:8" ht="14.1">
      <c r="A138" s="21">
        <v>20377</v>
      </c>
      <c r="B138" s="22" t="s">
        <v>927</v>
      </c>
      <c r="C138" s="22">
        <v>10153</v>
      </c>
      <c r="D138" s="23" t="s">
        <v>928</v>
      </c>
      <c r="E138" s="22">
        <v>68100</v>
      </c>
      <c r="G138" s="23" t="s">
        <v>929</v>
      </c>
      <c r="H138" t="str">
        <f>PROPER(Table3[[#This Row],[Donor Name]])</f>
        <v>Un Department Of Safety And Se</v>
      </c>
    </row>
    <row r="139" spans="1:8" ht="14.1">
      <c r="A139" s="21">
        <v>37867</v>
      </c>
      <c r="B139" s="22" t="s">
        <v>930</v>
      </c>
      <c r="C139" s="22">
        <v>12</v>
      </c>
      <c r="D139" s="23" t="s">
        <v>828</v>
      </c>
      <c r="E139" s="22">
        <v>11300</v>
      </c>
      <c r="G139" s="23" t="s">
        <v>165</v>
      </c>
      <c r="H139" t="str">
        <f>PROPER(Table3[[#This Row],[Donor Name]])</f>
        <v>United Nations Development Programme</v>
      </c>
    </row>
    <row r="140" spans="1:8" ht="14.1">
      <c r="A140" s="21">
        <v>40513</v>
      </c>
      <c r="B140" s="22" t="s">
        <v>931</v>
      </c>
      <c r="C140" s="22">
        <v>12</v>
      </c>
      <c r="D140" s="23" t="s">
        <v>828</v>
      </c>
      <c r="E140" s="22">
        <v>4110</v>
      </c>
      <c r="G140" s="23" t="s">
        <v>165</v>
      </c>
      <c r="H140" t="str">
        <f>PROPER(Table3[[#This Row],[Donor Name]])</f>
        <v>United Nations Development Programme</v>
      </c>
    </row>
    <row r="141" spans="1:8" ht="14.1">
      <c r="A141" s="21">
        <v>40513</v>
      </c>
      <c r="B141" s="22" t="s">
        <v>932</v>
      </c>
      <c r="C141" s="22">
        <v>12</v>
      </c>
      <c r="D141" s="23" t="s">
        <v>828</v>
      </c>
      <c r="E141" s="22">
        <v>4950</v>
      </c>
      <c r="G141" s="23" t="s">
        <v>165</v>
      </c>
      <c r="H141" t="str">
        <f>PROPER(Table3[[#This Row],[Donor Name]])</f>
        <v>United Nations Development Programme</v>
      </c>
    </row>
    <row r="142" spans="1:8" ht="14.1">
      <c r="A142" s="21">
        <v>40513</v>
      </c>
      <c r="B142" s="22" t="s">
        <v>933</v>
      </c>
      <c r="C142" s="22">
        <v>198</v>
      </c>
      <c r="D142" s="23" t="s">
        <v>934</v>
      </c>
      <c r="E142" s="22">
        <v>4950</v>
      </c>
      <c r="G142" s="23" t="s">
        <v>577</v>
      </c>
      <c r="H142" t="str">
        <f>PROPER(Table3[[#This Row],[Donor Name]])</f>
        <v>Government Of Poland</v>
      </c>
    </row>
    <row r="143" spans="1:8" ht="14.1">
      <c r="A143" s="21">
        <v>40830</v>
      </c>
      <c r="B143" s="22" t="s">
        <v>935</v>
      </c>
      <c r="C143" s="22">
        <v>2</v>
      </c>
      <c r="D143" s="23" t="s">
        <v>936</v>
      </c>
      <c r="E143" s="22">
        <v>80195</v>
      </c>
      <c r="G143" s="23" t="s">
        <v>183</v>
      </c>
      <c r="H143" t="str">
        <f>PROPER(Table3[[#This Row],[Donor Name]])</f>
        <v>Un Department Of International Economic</v>
      </c>
    </row>
    <row r="144" spans="1:8" ht="14.1">
      <c r="A144" s="21">
        <v>40830</v>
      </c>
      <c r="B144" s="22" t="s">
        <v>937</v>
      </c>
      <c r="C144" s="22">
        <v>12</v>
      </c>
      <c r="D144" s="23" t="s">
        <v>828</v>
      </c>
      <c r="E144" s="22">
        <v>80195</v>
      </c>
      <c r="G144" s="23" t="s">
        <v>165</v>
      </c>
      <c r="H144" t="str">
        <f>PROPER(Table3[[#This Row],[Donor Name]])</f>
        <v>United Nations Development Programme</v>
      </c>
    </row>
    <row r="145" spans="1:8" ht="14.1">
      <c r="A145" s="21">
        <v>40830</v>
      </c>
      <c r="B145" s="22" t="s">
        <v>938</v>
      </c>
      <c r="C145" s="22">
        <v>12</v>
      </c>
      <c r="D145" s="23" t="s">
        <v>828</v>
      </c>
      <c r="E145" s="22">
        <v>2990</v>
      </c>
      <c r="G145" s="23" t="s">
        <v>165</v>
      </c>
      <c r="H145" t="str">
        <f>PROPER(Table3[[#This Row],[Donor Name]])</f>
        <v>United Nations Development Programme</v>
      </c>
    </row>
    <row r="146" spans="1:8" ht="14.1">
      <c r="A146" s="21">
        <v>40830</v>
      </c>
      <c r="B146" s="22" t="s">
        <v>939</v>
      </c>
      <c r="C146" s="22">
        <v>12</v>
      </c>
      <c r="D146" s="23" t="s">
        <v>828</v>
      </c>
      <c r="E146" s="22">
        <v>19990</v>
      </c>
      <c r="G146" s="23" t="s">
        <v>165</v>
      </c>
      <c r="H146" t="str">
        <f>PROPER(Table3[[#This Row],[Donor Name]])</f>
        <v>United Nations Development Programme</v>
      </c>
    </row>
    <row r="147" spans="1:8" ht="14.1">
      <c r="A147" s="21">
        <v>40830</v>
      </c>
      <c r="B147" s="22" t="s">
        <v>940</v>
      </c>
      <c r="C147" s="22">
        <v>12</v>
      </c>
      <c r="D147" s="23" t="s">
        <v>828</v>
      </c>
      <c r="E147" s="22">
        <v>80190</v>
      </c>
      <c r="G147" s="23" t="s">
        <v>165</v>
      </c>
      <c r="H147" t="str">
        <f>PROPER(Table3[[#This Row],[Donor Name]])</f>
        <v>United Nations Development Programme</v>
      </c>
    </row>
    <row r="148" spans="1:8" ht="14.1">
      <c r="A148" s="21">
        <v>49333</v>
      </c>
      <c r="B148" s="22" t="s">
        <v>941</v>
      </c>
      <c r="C148" s="22">
        <v>12</v>
      </c>
      <c r="D148" s="23" t="s">
        <v>828</v>
      </c>
      <c r="E148" s="22">
        <v>2300</v>
      </c>
      <c r="G148" s="23" t="s">
        <v>165</v>
      </c>
      <c r="H148" t="str">
        <f>PROPER(Table3[[#This Row],[Donor Name]])</f>
        <v>United Nations Development Programme</v>
      </c>
    </row>
    <row r="149" spans="1:8" ht="14.1">
      <c r="A149" s="21">
        <v>49334</v>
      </c>
      <c r="B149" s="22" t="s">
        <v>942</v>
      </c>
      <c r="C149" s="22">
        <v>12</v>
      </c>
      <c r="D149" s="23" t="s">
        <v>828</v>
      </c>
      <c r="E149" s="22">
        <v>2900</v>
      </c>
      <c r="G149" s="23" t="s">
        <v>165</v>
      </c>
      <c r="H149" t="str">
        <f>PROPER(Table3[[#This Row],[Donor Name]])</f>
        <v>United Nations Development Programme</v>
      </c>
    </row>
    <row r="150" spans="1:8" ht="14.1">
      <c r="A150" s="21">
        <v>49334</v>
      </c>
      <c r="B150" s="22" t="s">
        <v>942</v>
      </c>
      <c r="C150" s="22">
        <v>102</v>
      </c>
      <c r="D150" s="23" t="s">
        <v>943</v>
      </c>
      <c r="E150" s="22">
        <v>2300</v>
      </c>
      <c r="G150" s="23" t="s">
        <v>239</v>
      </c>
      <c r="H150" t="str">
        <f>PROPER(Table3[[#This Row],[Donor Name]])</f>
        <v>Government Of El Salvador</v>
      </c>
    </row>
    <row r="151" spans="1:8" ht="14.1">
      <c r="A151" s="21">
        <v>49334</v>
      </c>
      <c r="B151" s="22" t="s">
        <v>944</v>
      </c>
      <c r="C151" s="22">
        <v>13</v>
      </c>
      <c r="D151" s="23" t="s">
        <v>945</v>
      </c>
      <c r="E151" s="22">
        <v>2300</v>
      </c>
      <c r="G151" s="23" t="s">
        <v>946</v>
      </c>
      <c r="H151" t="str">
        <f>PROPER(Table3[[#This Row],[Donor Name]])</f>
        <v>Un Industrial Development Orga</v>
      </c>
    </row>
    <row r="152" spans="1:8" ht="14.1">
      <c r="A152" s="21">
        <v>49334</v>
      </c>
      <c r="B152" s="22" t="s">
        <v>947</v>
      </c>
      <c r="C152" s="22">
        <v>12</v>
      </c>
      <c r="D152" s="23" t="s">
        <v>828</v>
      </c>
      <c r="E152" s="22">
        <v>19990</v>
      </c>
      <c r="G152" s="23" t="s">
        <v>165</v>
      </c>
      <c r="H152" t="str">
        <f>PROPER(Table3[[#This Row],[Donor Name]])</f>
        <v>United Nations Development Programme</v>
      </c>
    </row>
    <row r="153" spans="1:8" ht="14.1">
      <c r="A153" s="21">
        <v>49334</v>
      </c>
      <c r="B153" s="22" t="s">
        <v>948</v>
      </c>
      <c r="C153" s="22">
        <v>12</v>
      </c>
      <c r="D153" s="23" t="s">
        <v>828</v>
      </c>
      <c r="E153" s="22">
        <v>11825</v>
      </c>
      <c r="G153" s="23" t="s">
        <v>165</v>
      </c>
      <c r="H153" t="str">
        <f>PROPER(Table3[[#This Row],[Donor Name]])</f>
        <v>United Nations Development Programme</v>
      </c>
    </row>
    <row r="154" spans="1:8" ht="14.1">
      <c r="A154" s="21">
        <v>49334</v>
      </c>
      <c r="B154" s="22" t="s">
        <v>949</v>
      </c>
      <c r="C154" s="22">
        <v>12</v>
      </c>
      <c r="D154" s="23" t="s">
        <v>828</v>
      </c>
      <c r="E154" s="22">
        <v>11301</v>
      </c>
      <c r="G154" s="23" t="s">
        <v>165</v>
      </c>
      <c r="H154" t="str">
        <f>PROPER(Table3[[#This Row],[Donor Name]])</f>
        <v>United Nations Development Programme</v>
      </c>
    </row>
    <row r="155" spans="1:8" ht="14.1">
      <c r="A155" s="21">
        <v>49334</v>
      </c>
      <c r="B155" s="22" t="s">
        <v>950</v>
      </c>
      <c r="C155" s="22">
        <v>12</v>
      </c>
      <c r="D155" s="23" t="s">
        <v>828</v>
      </c>
      <c r="E155" s="22">
        <v>11300</v>
      </c>
      <c r="G155" s="23" t="s">
        <v>165</v>
      </c>
      <c r="H155" t="str">
        <f>PROPER(Table3[[#This Row],[Donor Name]])</f>
        <v>United Nations Development Programme</v>
      </c>
    </row>
    <row r="156" spans="1:8" ht="14.1">
      <c r="A156" s="21">
        <v>49334</v>
      </c>
      <c r="B156" s="22" t="s">
        <v>951</v>
      </c>
      <c r="C156" s="22">
        <v>12</v>
      </c>
      <c r="D156" s="23" t="s">
        <v>828</v>
      </c>
      <c r="E156" s="22">
        <v>4950</v>
      </c>
      <c r="G156" s="23" t="s">
        <v>165</v>
      </c>
      <c r="H156" t="str">
        <f>PROPER(Table3[[#This Row],[Donor Name]])</f>
        <v>United Nations Development Programme</v>
      </c>
    </row>
    <row r="157" spans="1:8" ht="14.1">
      <c r="A157" s="21">
        <v>49334</v>
      </c>
      <c r="B157" s="22" t="s">
        <v>952</v>
      </c>
      <c r="C157" s="22">
        <v>12</v>
      </c>
      <c r="D157" s="23" t="s">
        <v>828</v>
      </c>
      <c r="E157" s="22">
        <v>2950</v>
      </c>
      <c r="G157" s="23" t="s">
        <v>165</v>
      </c>
      <c r="H157" t="str">
        <f>PROPER(Table3[[#This Row],[Donor Name]])</f>
        <v>United Nations Development Programme</v>
      </c>
    </row>
    <row r="158" spans="1:8" ht="14.1">
      <c r="A158" s="21">
        <v>49334</v>
      </c>
      <c r="B158" s="22" t="s">
        <v>953</v>
      </c>
      <c r="C158" s="22">
        <v>12</v>
      </c>
      <c r="D158" s="23" t="s">
        <v>828</v>
      </c>
      <c r="E158" s="22">
        <v>2550</v>
      </c>
      <c r="G158" s="23" t="s">
        <v>165</v>
      </c>
      <c r="H158" t="str">
        <f>PROPER(Table3[[#This Row],[Donor Name]])</f>
        <v>United Nations Development Programme</v>
      </c>
    </row>
    <row r="159" spans="1:8" ht="14.1">
      <c r="A159" s="21">
        <v>49334</v>
      </c>
      <c r="B159" s="22" t="s">
        <v>954</v>
      </c>
      <c r="C159" s="22">
        <v>12</v>
      </c>
      <c r="D159" s="23" t="s">
        <v>828</v>
      </c>
      <c r="E159" s="22">
        <v>2990</v>
      </c>
      <c r="G159" s="23" t="s">
        <v>165</v>
      </c>
      <c r="H159" t="str">
        <f>PROPER(Table3[[#This Row],[Donor Name]])</f>
        <v>United Nations Development Programme</v>
      </c>
    </row>
    <row r="160" spans="1:8" ht="14.1">
      <c r="A160" s="21">
        <v>49334</v>
      </c>
      <c r="B160" s="22" t="s">
        <v>955</v>
      </c>
      <c r="C160" s="22">
        <v>12</v>
      </c>
      <c r="D160" s="23" t="s">
        <v>828</v>
      </c>
      <c r="E160" s="22">
        <v>2300</v>
      </c>
      <c r="G160" s="23" t="s">
        <v>165</v>
      </c>
      <c r="H160" t="str">
        <f>PROPER(Table3[[#This Row],[Donor Name]])</f>
        <v>United Nations Development Programme</v>
      </c>
    </row>
    <row r="161" spans="1:8" ht="14.1">
      <c r="A161" s="21">
        <v>49334</v>
      </c>
      <c r="B161" s="22" t="s">
        <v>956</v>
      </c>
      <c r="C161" s="22">
        <v>13165</v>
      </c>
      <c r="D161" s="23" t="s">
        <v>846</v>
      </c>
      <c r="E161" s="22">
        <v>2300</v>
      </c>
      <c r="G161" s="23" t="s">
        <v>847</v>
      </c>
      <c r="H161" t="str">
        <f>PROPER(Table3[[#This Row],[Donor Name]])</f>
        <v>Mptf Jp Opt Rule Of Law Ii</v>
      </c>
    </row>
    <row r="162" spans="1:8" ht="14.1">
      <c r="A162" s="21">
        <v>49334</v>
      </c>
      <c r="B162" s="22" t="s">
        <v>957</v>
      </c>
      <c r="C162" s="22">
        <v>13268</v>
      </c>
      <c r="D162" s="23" t="s">
        <v>958</v>
      </c>
      <c r="E162" s="22">
        <v>11825</v>
      </c>
      <c r="G162" s="23" t="s">
        <v>959</v>
      </c>
      <c r="H162" t="str">
        <f>PROPER(Table3[[#This Row],[Donor Name]])</f>
        <v>Rcs   Services</v>
      </c>
    </row>
    <row r="163" spans="1:8" ht="14.1">
      <c r="A163" s="21">
        <v>49334</v>
      </c>
      <c r="B163" s="22" t="s">
        <v>960</v>
      </c>
      <c r="C163" s="22">
        <v>10159</v>
      </c>
      <c r="D163" s="23" t="s">
        <v>858</v>
      </c>
      <c r="E163" s="22">
        <v>2300</v>
      </c>
      <c r="G163" s="23" t="s">
        <v>172</v>
      </c>
      <c r="H163" t="str">
        <f>PROPER(Table3[[#This Row],[Donor Name]])</f>
        <v>European Commission</v>
      </c>
    </row>
    <row r="164" spans="1:8" ht="14.1">
      <c r="A164" s="21">
        <v>49334</v>
      </c>
      <c r="B164" s="22" t="s">
        <v>961</v>
      </c>
      <c r="C164" s="22">
        <v>1012</v>
      </c>
      <c r="D164" s="23" t="s">
        <v>962</v>
      </c>
      <c r="E164" s="22">
        <v>4950</v>
      </c>
      <c r="G164" s="23" t="s">
        <v>963</v>
      </c>
      <c r="H164" t="str">
        <f>PROPER(Table3[[#This Row],[Donor Name]])</f>
        <v>Uzb Committee Of State Propert</v>
      </c>
    </row>
    <row r="165" spans="1:8" ht="14.1">
      <c r="A165" s="21">
        <v>49334</v>
      </c>
      <c r="B165" s="22" t="s">
        <v>964</v>
      </c>
      <c r="C165" s="22">
        <v>187</v>
      </c>
      <c r="D165" s="23" t="s">
        <v>965</v>
      </c>
      <c r="E165" s="22">
        <v>4950</v>
      </c>
      <c r="G165" s="23" t="s">
        <v>242</v>
      </c>
      <c r="H165" t="str">
        <f>PROPER(Table3[[#This Row],[Donor Name]])</f>
        <v>Government Of Norway</v>
      </c>
    </row>
    <row r="166" spans="1:8" ht="14.1">
      <c r="A166" s="21">
        <v>52919</v>
      </c>
      <c r="B166" s="22" t="s">
        <v>966</v>
      </c>
      <c r="C166" s="22">
        <v>12</v>
      </c>
      <c r="D166" s="23" t="s">
        <v>828</v>
      </c>
      <c r="E166" s="22">
        <v>4400</v>
      </c>
      <c r="G166" s="23" t="s">
        <v>165</v>
      </c>
      <c r="H166" t="str">
        <f>PROPER(Table3[[#This Row],[Donor Name]])</f>
        <v>United Nations Development Programme</v>
      </c>
    </row>
    <row r="167" spans="1:8" ht="14.1">
      <c r="A167" s="21">
        <v>52919</v>
      </c>
      <c r="B167" s="22" t="s">
        <v>966</v>
      </c>
      <c r="C167" s="22">
        <v>12910</v>
      </c>
      <c r="D167" s="23" t="s">
        <v>257</v>
      </c>
      <c r="E167" s="22">
        <v>4950</v>
      </c>
      <c r="G167" s="23" t="s">
        <v>257</v>
      </c>
      <c r="H167" t="str">
        <f>PROPER(Table3[[#This Row],[Donor Name]])</f>
        <v>Digital Good</v>
      </c>
    </row>
    <row r="168" spans="1:8" ht="14.1">
      <c r="A168" s="21">
        <v>52919</v>
      </c>
      <c r="B168" s="22" t="s">
        <v>967</v>
      </c>
      <c r="C168" s="22">
        <v>141</v>
      </c>
      <c r="D168" s="23" t="s">
        <v>831</v>
      </c>
      <c r="E168" s="22">
        <v>4950</v>
      </c>
      <c r="G168" s="23" t="s">
        <v>276</v>
      </c>
      <c r="H168" t="str">
        <f>PROPER(Table3[[#This Row],[Donor Name]])</f>
        <v>Government Of Japan</v>
      </c>
    </row>
    <row r="169" spans="1:8" ht="14.1">
      <c r="A169" s="21">
        <v>52919</v>
      </c>
      <c r="B169" s="22" t="s">
        <v>968</v>
      </c>
      <c r="C169" s="22">
        <v>220</v>
      </c>
      <c r="D169" s="23" t="s">
        <v>969</v>
      </c>
      <c r="E169" s="22">
        <v>4950</v>
      </c>
      <c r="G169" s="23" t="s">
        <v>261</v>
      </c>
      <c r="H169" t="str">
        <f>PROPER(Table3[[#This Row],[Donor Name]])</f>
        <v>Government Of Spain</v>
      </c>
    </row>
    <row r="170" spans="1:8" ht="14.1">
      <c r="A170" s="21">
        <v>52919</v>
      </c>
      <c r="B170" s="22" t="s">
        <v>970</v>
      </c>
      <c r="C170" s="22">
        <v>237</v>
      </c>
      <c r="D170" s="23" t="s">
        <v>971</v>
      </c>
      <c r="E170" s="22">
        <v>4950</v>
      </c>
      <c r="G170" s="23" t="s">
        <v>273</v>
      </c>
      <c r="H170" t="str">
        <f>PROPER(Table3[[#This Row],[Donor Name]])</f>
        <v>Government Of Togo</v>
      </c>
    </row>
    <row r="171" spans="1:8" ht="14.1">
      <c r="A171" s="21">
        <v>52919</v>
      </c>
      <c r="B171" s="22" t="s">
        <v>972</v>
      </c>
      <c r="C171" s="22">
        <v>550</v>
      </c>
      <c r="D171" s="23" t="s">
        <v>973</v>
      </c>
      <c r="E171" s="22">
        <v>4950</v>
      </c>
      <c r="G171" s="23" t="s">
        <v>264</v>
      </c>
      <c r="H171" t="str">
        <f>PROPER(Table3[[#This Row],[Donor Name]])</f>
        <v>Canadian International Development Agenc</v>
      </c>
    </row>
    <row r="172" spans="1:8" ht="14.1">
      <c r="A172" s="21">
        <v>52919</v>
      </c>
      <c r="B172" s="22" t="s">
        <v>974</v>
      </c>
      <c r="C172" s="22">
        <v>11120</v>
      </c>
      <c r="D172" s="23" t="s">
        <v>975</v>
      </c>
      <c r="E172" s="22">
        <v>4950</v>
      </c>
      <c r="G172" s="23" t="s">
        <v>246</v>
      </c>
      <c r="H172" t="str">
        <f>PROPER(Table3[[#This Row],[Donor Name]])</f>
        <v>Opec Fund For International Development</v>
      </c>
    </row>
    <row r="173" spans="1:8" ht="14.1">
      <c r="A173" s="21">
        <v>52919</v>
      </c>
      <c r="B173" s="22" t="s">
        <v>976</v>
      </c>
      <c r="C173" s="22">
        <v>11363</v>
      </c>
      <c r="D173" s="23" t="s">
        <v>249</v>
      </c>
      <c r="E173" s="22">
        <v>4950</v>
      </c>
      <c r="G173" s="23" t="s">
        <v>249</v>
      </c>
      <c r="H173" t="str">
        <f>PROPER(Table3[[#This Row],[Donor Name]])</f>
        <v>Peacebuilding Fund</v>
      </c>
    </row>
    <row r="174" spans="1:8" ht="14.1">
      <c r="A174" s="21">
        <v>52919</v>
      </c>
      <c r="B174" s="22" t="s">
        <v>977</v>
      </c>
      <c r="C174" s="22">
        <v>12000</v>
      </c>
      <c r="D174" s="23" t="s">
        <v>267</v>
      </c>
      <c r="E174" s="22">
        <v>4950</v>
      </c>
      <c r="G174" s="23" t="s">
        <v>267</v>
      </c>
      <c r="H174" t="str">
        <f>PROPER(Table3[[#This Row],[Donor Name]])</f>
        <v>Adam Smith International</v>
      </c>
    </row>
    <row r="175" spans="1:8" ht="14.1">
      <c r="A175" s="21">
        <v>52919</v>
      </c>
      <c r="B175" s="22" t="s">
        <v>978</v>
      </c>
      <c r="C175" s="22">
        <v>20</v>
      </c>
      <c r="D175" s="23" t="s">
        <v>830</v>
      </c>
      <c r="E175" s="22">
        <v>4950</v>
      </c>
      <c r="G175" s="23" t="s">
        <v>270</v>
      </c>
      <c r="H175" t="str">
        <f>PROPER(Table3[[#This Row],[Donor Name]])</f>
        <v>Islamic Development Bank</v>
      </c>
    </row>
    <row r="176" spans="1:8" ht="14.1">
      <c r="A176" s="21">
        <v>52919</v>
      </c>
      <c r="B176" s="22" t="s">
        <v>979</v>
      </c>
      <c r="C176" s="22">
        <v>12</v>
      </c>
      <c r="D176" s="23" t="s">
        <v>828</v>
      </c>
      <c r="E176" s="22">
        <v>4950</v>
      </c>
      <c r="G176" s="23" t="s">
        <v>165</v>
      </c>
      <c r="H176" t="str">
        <f>PROPER(Table3[[#This Row],[Donor Name]])</f>
        <v>United Nations Development Programme</v>
      </c>
    </row>
    <row r="177" spans="1:8" ht="14.1">
      <c r="A177" s="21">
        <v>88974</v>
      </c>
      <c r="B177" s="22" t="s">
        <v>980</v>
      </c>
      <c r="C177" s="22">
        <v>10159</v>
      </c>
      <c r="D177" s="23" t="s">
        <v>858</v>
      </c>
      <c r="E177" s="22">
        <v>30079</v>
      </c>
      <c r="G177" s="23" t="s">
        <v>172</v>
      </c>
      <c r="H177" t="str">
        <f>PROPER(Table3[[#This Row],[Donor Name]])</f>
        <v>European Commission</v>
      </c>
    </row>
    <row r="178" spans="1:8" ht="14.1">
      <c r="A178" s="21">
        <v>88974</v>
      </c>
      <c r="B178" s="22" t="s">
        <v>981</v>
      </c>
      <c r="C178" s="22">
        <v>12</v>
      </c>
      <c r="D178" s="23" t="s">
        <v>828</v>
      </c>
      <c r="E178" s="22">
        <v>4950</v>
      </c>
      <c r="G178" s="23" t="s">
        <v>165</v>
      </c>
      <c r="H178" t="str">
        <f>PROPER(Table3[[#This Row],[Donor Name]])</f>
        <v>United Nations Development Programme</v>
      </c>
    </row>
    <row r="179" spans="1:8" ht="14.1">
      <c r="A179" s="21">
        <v>14145</v>
      </c>
      <c r="B179" s="22" t="s">
        <v>982</v>
      </c>
      <c r="C179" s="22">
        <v>141</v>
      </c>
      <c r="D179" s="23" t="s">
        <v>831</v>
      </c>
      <c r="E179" s="22">
        <v>40500</v>
      </c>
      <c r="G179" s="23" t="s">
        <v>276</v>
      </c>
      <c r="H179" t="str">
        <f>PROPER(Table3[[#This Row],[Donor Name]])</f>
        <v>Government Of Japan</v>
      </c>
    </row>
    <row r="180" spans="1:8" ht="14.1">
      <c r="A180" s="21">
        <v>37867</v>
      </c>
      <c r="B180" s="22" t="s">
        <v>451</v>
      </c>
      <c r="C180" s="22">
        <v>2</v>
      </c>
      <c r="D180" s="23" t="s">
        <v>936</v>
      </c>
      <c r="E180" s="22">
        <v>13925</v>
      </c>
      <c r="G180" s="23" t="s">
        <v>183</v>
      </c>
      <c r="H180" t="str">
        <f>PROPER(Table3[[#This Row],[Donor Name]])</f>
        <v>Un Department Of International Economic</v>
      </c>
    </row>
    <row r="181" spans="1:8" ht="14.1">
      <c r="A181" s="21">
        <v>37867</v>
      </c>
      <c r="B181" s="22" t="s">
        <v>454</v>
      </c>
      <c r="C181" s="22">
        <v>3</v>
      </c>
      <c r="D181" s="23" t="s">
        <v>856</v>
      </c>
      <c r="E181" s="22">
        <v>13925</v>
      </c>
      <c r="G181" s="23" t="s">
        <v>453</v>
      </c>
      <c r="H181" t="str">
        <f>PROPER(Table3[[#This Row],[Donor Name]])</f>
        <v>International Labour Organization</v>
      </c>
    </row>
    <row r="182" spans="1:8" ht="14.1">
      <c r="A182" s="21">
        <v>37867</v>
      </c>
      <c r="B182" s="22" t="s">
        <v>456</v>
      </c>
      <c r="C182" s="22">
        <v>4</v>
      </c>
      <c r="D182" s="23" t="s">
        <v>983</v>
      </c>
      <c r="E182" s="22">
        <v>13925</v>
      </c>
      <c r="G182" s="23" t="s">
        <v>457</v>
      </c>
      <c r="H182" t="str">
        <f>PROPER(Table3[[#This Row],[Donor Name]])</f>
        <v>Food And Agriculture Organization Of The</v>
      </c>
    </row>
    <row r="183" spans="1:8" ht="14.1">
      <c r="A183" s="21">
        <v>37867</v>
      </c>
      <c r="B183" s="22" t="s">
        <v>459</v>
      </c>
      <c r="C183" s="22">
        <v>4</v>
      </c>
      <c r="D183" s="23" t="s">
        <v>983</v>
      </c>
      <c r="E183" s="22">
        <v>13925</v>
      </c>
      <c r="G183" s="23" t="s">
        <v>457</v>
      </c>
      <c r="H183" t="str">
        <f>PROPER(Table3[[#This Row],[Donor Name]])</f>
        <v>Food And Agriculture Organization Of The</v>
      </c>
    </row>
    <row r="184" spans="1:8" ht="14.1">
      <c r="A184" s="21">
        <v>37867</v>
      </c>
      <c r="B184" s="22" t="s">
        <v>460</v>
      </c>
      <c r="C184" s="22">
        <v>5</v>
      </c>
      <c r="D184" s="23" t="s">
        <v>984</v>
      </c>
      <c r="E184" s="22">
        <v>13925</v>
      </c>
      <c r="G184" s="23" t="s">
        <v>461</v>
      </c>
      <c r="H184" t="str">
        <f>PROPER(Table3[[#This Row],[Donor Name]])</f>
        <v>Unesco</v>
      </c>
    </row>
    <row r="185" spans="1:8" ht="14.1">
      <c r="A185" s="21">
        <v>37867</v>
      </c>
      <c r="B185" s="22" t="s">
        <v>463</v>
      </c>
      <c r="C185" s="22">
        <v>5</v>
      </c>
      <c r="D185" s="23" t="s">
        <v>984</v>
      </c>
      <c r="E185" s="22">
        <v>13925</v>
      </c>
      <c r="G185" s="23" t="s">
        <v>461</v>
      </c>
      <c r="H185" t="str">
        <f>PROPER(Table3[[#This Row],[Donor Name]])</f>
        <v>Unesco</v>
      </c>
    </row>
    <row r="186" spans="1:8" ht="14.1">
      <c r="A186" s="21">
        <v>37867</v>
      </c>
      <c r="B186" s="22" t="s">
        <v>464</v>
      </c>
      <c r="C186" s="22">
        <v>6</v>
      </c>
      <c r="D186" s="23" t="s">
        <v>985</v>
      </c>
      <c r="E186" s="22">
        <v>11925</v>
      </c>
      <c r="G186" s="23" t="s">
        <v>465</v>
      </c>
      <c r="H186" t="str">
        <f>PROPER(Table3[[#This Row],[Donor Name]])</f>
        <v>World Health Organization</v>
      </c>
    </row>
    <row r="187" spans="1:8" ht="14.1">
      <c r="A187" s="21">
        <v>37867</v>
      </c>
      <c r="B187" s="22" t="s">
        <v>466</v>
      </c>
      <c r="C187" s="22">
        <v>6</v>
      </c>
      <c r="D187" s="23" t="s">
        <v>985</v>
      </c>
      <c r="E187" s="22">
        <v>13925</v>
      </c>
      <c r="G187" s="23" t="s">
        <v>465</v>
      </c>
      <c r="H187" t="str">
        <f>PROPER(Table3[[#This Row],[Donor Name]])</f>
        <v>World Health Organization</v>
      </c>
    </row>
    <row r="188" spans="1:8" ht="14.1">
      <c r="A188" s="21">
        <v>37867</v>
      </c>
      <c r="B188" s="22" t="s">
        <v>468</v>
      </c>
      <c r="C188" s="22">
        <v>9</v>
      </c>
      <c r="D188" s="23" t="s">
        <v>986</v>
      </c>
      <c r="E188" s="22">
        <v>11925</v>
      </c>
      <c r="G188" s="23" t="s">
        <v>469</v>
      </c>
      <c r="H188" t="str">
        <f>PROPER(Table3[[#This Row],[Donor Name]])</f>
        <v>International Maritime Organization</v>
      </c>
    </row>
    <row r="189" spans="1:8" ht="14.1">
      <c r="A189" s="21">
        <v>37867</v>
      </c>
      <c r="B189" s="22" t="s">
        <v>471</v>
      </c>
      <c r="C189" s="22">
        <v>12</v>
      </c>
      <c r="D189" s="23" t="s">
        <v>828</v>
      </c>
      <c r="E189" s="22">
        <v>13925</v>
      </c>
      <c r="G189" s="23" t="s">
        <v>165</v>
      </c>
      <c r="H189" t="str">
        <f>PROPER(Table3[[#This Row],[Donor Name]])</f>
        <v>United Nations Development Programme</v>
      </c>
    </row>
    <row r="190" spans="1:8" ht="14.1">
      <c r="A190" s="21">
        <v>37867</v>
      </c>
      <c r="B190" s="22" t="s">
        <v>472</v>
      </c>
      <c r="C190" s="22">
        <v>13</v>
      </c>
      <c r="D190" s="23" t="s">
        <v>987</v>
      </c>
      <c r="E190" s="22">
        <v>13925</v>
      </c>
      <c r="G190" s="23" t="s">
        <v>210</v>
      </c>
      <c r="H190" t="str">
        <f>PROPER(Table3[[#This Row],[Donor Name]])</f>
        <v>Un Industrial Development Organization</v>
      </c>
    </row>
    <row r="191" spans="1:8" ht="14.1">
      <c r="A191" s="21">
        <v>37867</v>
      </c>
      <c r="B191" s="22" t="s">
        <v>474</v>
      </c>
      <c r="C191" s="22">
        <v>13</v>
      </c>
      <c r="D191" s="23" t="s">
        <v>987</v>
      </c>
      <c r="E191" s="22">
        <v>13925</v>
      </c>
      <c r="G191" s="23" t="s">
        <v>210</v>
      </c>
      <c r="H191" t="str">
        <f>PROPER(Table3[[#This Row],[Donor Name]])</f>
        <v>Un Industrial Development Organization</v>
      </c>
    </row>
    <row r="192" spans="1:8" ht="14.1">
      <c r="A192" s="21">
        <v>37867</v>
      </c>
      <c r="B192" s="22" t="s">
        <v>477</v>
      </c>
      <c r="C192" s="22">
        <v>15</v>
      </c>
      <c r="D192" s="23" t="s">
        <v>988</v>
      </c>
      <c r="E192" s="22">
        <v>13925</v>
      </c>
      <c r="G192" s="23" t="s">
        <v>476</v>
      </c>
      <c r="H192" t="str">
        <f>PROPER(Table3[[#This Row],[Donor Name]])</f>
        <v>Intl Bank For Recon &amp; Dev</v>
      </c>
    </row>
    <row r="193" spans="1:8" ht="14.1">
      <c r="A193" s="21">
        <v>37867</v>
      </c>
      <c r="B193" s="22" t="s">
        <v>481</v>
      </c>
      <c r="C193" s="22">
        <v>23</v>
      </c>
      <c r="D193" s="23" t="s">
        <v>989</v>
      </c>
      <c r="E193" s="22">
        <v>13925</v>
      </c>
      <c r="G193" s="23" t="s">
        <v>480</v>
      </c>
      <c r="H193" t="str">
        <f>PROPER(Table3[[#This Row],[Donor Name]])</f>
        <v>Un Centre For Human Settlements</v>
      </c>
    </row>
    <row r="194" spans="1:8" ht="14.1">
      <c r="A194" s="21">
        <v>37867</v>
      </c>
      <c r="B194" s="22" t="s">
        <v>483</v>
      </c>
      <c r="C194" s="22">
        <v>31</v>
      </c>
      <c r="D194" s="23" t="s">
        <v>990</v>
      </c>
      <c r="E194" s="22">
        <v>11925</v>
      </c>
      <c r="G194" s="23" t="s">
        <v>484</v>
      </c>
      <c r="H194" t="str">
        <f>PROPER(Table3[[#This Row],[Donor Name]])</f>
        <v>United Nations Population Fund</v>
      </c>
    </row>
    <row r="195" spans="1:8" ht="14.1">
      <c r="A195" s="21">
        <v>37867</v>
      </c>
      <c r="B195" s="22" t="s">
        <v>485</v>
      </c>
      <c r="C195" s="22">
        <v>31</v>
      </c>
      <c r="D195" s="23" t="s">
        <v>990</v>
      </c>
      <c r="E195" s="22">
        <v>13925</v>
      </c>
      <c r="G195" s="23" t="s">
        <v>484</v>
      </c>
      <c r="H195" t="str">
        <f>PROPER(Table3[[#This Row],[Donor Name]])</f>
        <v>United Nations Population Fund</v>
      </c>
    </row>
    <row r="196" spans="1:8" ht="14.1">
      <c r="A196" s="21">
        <v>37867</v>
      </c>
      <c r="B196" s="22" t="s">
        <v>487</v>
      </c>
      <c r="C196" s="22">
        <v>32</v>
      </c>
      <c r="D196" s="23" t="s">
        <v>991</v>
      </c>
      <c r="E196" s="22">
        <v>13925</v>
      </c>
      <c r="G196" s="23" t="s">
        <v>363</v>
      </c>
      <c r="H196" t="str">
        <f>PROPER(Table3[[#This Row],[Donor Name]])</f>
        <v>Un Women</v>
      </c>
    </row>
    <row r="197" spans="1:8" ht="14.1">
      <c r="A197" s="21">
        <v>37867</v>
      </c>
      <c r="B197" s="22" t="s">
        <v>488</v>
      </c>
      <c r="C197" s="22">
        <v>35</v>
      </c>
      <c r="D197" s="23" t="s">
        <v>992</v>
      </c>
      <c r="E197" s="22">
        <v>11925</v>
      </c>
      <c r="G197" s="23" t="s">
        <v>395</v>
      </c>
      <c r="H197" t="str">
        <f>PROPER(Table3[[#This Row],[Donor Name]])</f>
        <v>United Nations Children'S Fund</v>
      </c>
    </row>
    <row r="198" spans="1:8" ht="14.1">
      <c r="A198" s="21">
        <v>37867</v>
      </c>
      <c r="B198" s="22" t="s">
        <v>489</v>
      </c>
      <c r="C198" s="22">
        <v>35</v>
      </c>
      <c r="D198" s="23" t="s">
        <v>992</v>
      </c>
      <c r="E198" s="22">
        <v>13925</v>
      </c>
      <c r="G198" s="23" t="s">
        <v>395</v>
      </c>
      <c r="H198" t="str">
        <f>PROPER(Table3[[#This Row],[Donor Name]])</f>
        <v>United Nations Children'S Fund</v>
      </c>
    </row>
    <row r="199" spans="1:8" ht="14.1">
      <c r="A199" s="21">
        <v>37867</v>
      </c>
      <c r="B199" s="22" t="s">
        <v>491</v>
      </c>
      <c r="C199" s="22">
        <v>37</v>
      </c>
      <c r="D199" s="23" t="s">
        <v>993</v>
      </c>
      <c r="E199" s="22">
        <v>11925</v>
      </c>
      <c r="G199" s="23" t="s">
        <v>492</v>
      </c>
      <c r="H199" t="str">
        <f>PROPER(Table3[[#This Row],[Donor Name]])</f>
        <v>World Food Programme</v>
      </c>
    </row>
    <row r="200" spans="1:8" ht="14.1">
      <c r="A200" s="21">
        <v>37867</v>
      </c>
      <c r="B200" s="22" t="s">
        <v>493</v>
      </c>
      <c r="C200" s="22">
        <v>37</v>
      </c>
      <c r="D200" s="23" t="s">
        <v>993</v>
      </c>
      <c r="E200" s="22">
        <v>13925</v>
      </c>
      <c r="G200" s="23" t="s">
        <v>492</v>
      </c>
      <c r="H200" t="str">
        <f>PROPER(Table3[[#This Row],[Donor Name]])</f>
        <v>World Food Programme</v>
      </c>
    </row>
    <row r="201" spans="1:8" ht="14.1">
      <c r="A201" s="21">
        <v>37867</v>
      </c>
      <c r="B201" s="22" t="s">
        <v>495</v>
      </c>
      <c r="C201" s="22">
        <v>38</v>
      </c>
      <c r="D201" s="23" t="s">
        <v>852</v>
      </c>
      <c r="E201" s="22">
        <v>11925</v>
      </c>
      <c r="G201" s="23" t="s">
        <v>391</v>
      </c>
      <c r="H201" t="str">
        <f>PROPER(Table3[[#This Row],[Donor Name]])</f>
        <v>Unocha</v>
      </c>
    </row>
    <row r="202" spans="1:8" ht="14.1">
      <c r="A202" s="21">
        <v>37867</v>
      </c>
      <c r="B202" s="22" t="s">
        <v>496</v>
      </c>
      <c r="C202" s="22">
        <v>38</v>
      </c>
      <c r="D202" s="23" t="s">
        <v>852</v>
      </c>
      <c r="E202" s="22">
        <v>13925</v>
      </c>
      <c r="G202" s="23" t="s">
        <v>391</v>
      </c>
      <c r="H202" t="str">
        <f>PROPER(Table3[[#This Row],[Donor Name]])</f>
        <v>Unocha</v>
      </c>
    </row>
    <row r="203" spans="1:8" ht="14.1">
      <c r="A203" s="21">
        <v>37867</v>
      </c>
      <c r="B203" s="22" t="s">
        <v>500</v>
      </c>
      <c r="C203" s="22">
        <v>39</v>
      </c>
      <c r="D203" s="23" t="s">
        <v>499</v>
      </c>
      <c r="E203" s="22">
        <v>13925</v>
      </c>
      <c r="G203" s="23" t="s">
        <v>499</v>
      </c>
      <c r="H203" t="str">
        <f>PROPER(Table3[[#This Row],[Donor Name]])</f>
        <v>International Monetary Fund</v>
      </c>
    </row>
    <row r="204" spans="1:8" ht="14.1">
      <c r="A204" s="21">
        <v>37867</v>
      </c>
      <c r="B204" s="22" t="s">
        <v>502</v>
      </c>
      <c r="C204" s="22">
        <v>40</v>
      </c>
      <c r="D204" s="23" t="s">
        <v>994</v>
      </c>
      <c r="E204" s="22">
        <v>11925</v>
      </c>
      <c r="G204" s="23" t="s">
        <v>503</v>
      </c>
      <c r="H204" t="str">
        <f>PROPER(Table3[[#This Row],[Donor Name]])</f>
        <v>Un High Commissioner For Refugees</v>
      </c>
    </row>
    <row r="205" spans="1:8" ht="14.1">
      <c r="A205" s="21">
        <v>37867</v>
      </c>
      <c r="B205" s="22" t="s">
        <v>504</v>
      </c>
      <c r="C205" s="22">
        <v>40</v>
      </c>
      <c r="D205" s="23" t="s">
        <v>994</v>
      </c>
      <c r="E205" s="22">
        <v>13925</v>
      </c>
      <c r="G205" s="23" t="s">
        <v>503</v>
      </c>
      <c r="H205" t="str">
        <f>PROPER(Table3[[#This Row],[Donor Name]])</f>
        <v>Un High Commissioner For Refugees</v>
      </c>
    </row>
    <row r="206" spans="1:8" ht="14.1">
      <c r="A206" s="21">
        <v>37867</v>
      </c>
      <c r="B206" s="22" t="s">
        <v>506</v>
      </c>
      <c r="C206" s="22">
        <v>390</v>
      </c>
      <c r="D206" s="23" t="s">
        <v>995</v>
      </c>
      <c r="E206" s="22">
        <v>11925</v>
      </c>
      <c r="G206" s="23" t="s">
        <v>507</v>
      </c>
      <c r="H206" t="str">
        <f>PROPER(Table3[[#This Row],[Donor Name]])</f>
        <v>Un Conf On Trade &amp; Development</v>
      </c>
    </row>
    <row r="207" spans="1:8" ht="14.1">
      <c r="A207" s="21">
        <v>37867</v>
      </c>
      <c r="B207" s="22" t="s">
        <v>510</v>
      </c>
      <c r="C207" s="22">
        <v>559</v>
      </c>
      <c r="D207" s="23" t="s">
        <v>996</v>
      </c>
      <c r="E207" s="22">
        <v>13925</v>
      </c>
      <c r="G207" s="23" t="s">
        <v>509</v>
      </c>
      <c r="H207" t="str">
        <f>PROPER(Table3[[#This Row],[Donor Name]])</f>
        <v>Office Of The High Commissioner For Hr</v>
      </c>
    </row>
    <row r="208" spans="1:8" ht="14.1">
      <c r="A208" s="21">
        <v>37867</v>
      </c>
      <c r="B208" s="22" t="s">
        <v>514</v>
      </c>
      <c r="C208" s="22">
        <v>1862</v>
      </c>
      <c r="D208" s="23" t="s">
        <v>997</v>
      </c>
      <c r="E208" s="22">
        <v>11925</v>
      </c>
      <c r="G208" s="23" t="s">
        <v>515</v>
      </c>
      <c r="H208" t="str">
        <f>PROPER(Table3[[#This Row],[Donor Name]])</f>
        <v>Un Office In Nairobi</v>
      </c>
    </row>
    <row r="209" spans="1:8" ht="14.1">
      <c r="A209" s="21">
        <v>37867</v>
      </c>
      <c r="B209" s="22" t="s">
        <v>518</v>
      </c>
      <c r="C209" s="22">
        <v>1863</v>
      </c>
      <c r="D209" s="23" t="s">
        <v>998</v>
      </c>
      <c r="E209" s="22">
        <v>13925</v>
      </c>
      <c r="G209" s="23" t="s">
        <v>517</v>
      </c>
      <c r="H209" t="str">
        <f>PROPER(Table3[[#This Row],[Donor Name]])</f>
        <v>Un Office In Vienna</v>
      </c>
    </row>
    <row r="210" spans="1:8" ht="14.1">
      <c r="A210" s="21">
        <v>37867</v>
      </c>
      <c r="B210" s="22" t="s">
        <v>522</v>
      </c>
      <c r="C210" s="22">
        <v>10008</v>
      </c>
      <c r="D210" s="23" t="s">
        <v>999</v>
      </c>
      <c r="E210" s="22">
        <v>13925</v>
      </c>
      <c r="G210" s="23" t="s">
        <v>521</v>
      </c>
      <c r="H210" t="str">
        <f>PROPER(Table3[[#This Row],[Donor Name]])</f>
        <v>Un Office For Project Services</v>
      </c>
    </row>
    <row r="211" spans="1:8" ht="14.1">
      <c r="A211" s="21">
        <v>37867</v>
      </c>
      <c r="B211" s="22" t="s">
        <v>523</v>
      </c>
      <c r="C211" s="22">
        <v>10036</v>
      </c>
      <c r="D211" s="23" t="s">
        <v>1000</v>
      </c>
      <c r="E211" s="22">
        <v>11925</v>
      </c>
      <c r="G211" s="23" t="s">
        <v>524</v>
      </c>
      <c r="H211" t="str">
        <f>PROPER(Table3[[#This Row],[Donor Name]])</f>
        <v>Unops For Interunit Billing</v>
      </c>
    </row>
    <row r="212" spans="1:8" ht="14.1">
      <c r="A212" s="21">
        <v>37867</v>
      </c>
      <c r="B212" s="22" t="s">
        <v>525</v>
      </c>
      <c r="C212" s="22">
        <v>10153</v>
      </c>
      <c r="D212" s="23" t="s">
        <v>1001</v>
      </c>
      <c r="E212" s="22">
        <v>11925</v>
      </c>
      <c r="G212" s="23" t="s">
        <v>157</v>
      </c>
      <c r="H212" t="str">
        <f>PROPER(Table3[[#This Row],[Donor Name]])</f>
        <v>Un Department Of Safety And Security</v>
      </c>
    </row>
    <row r="213" spans="1:8" ht="14.1">
      <c r="A213" s="21">
        <v>37867</v>
      </c>
      <c r="B213" s="22" t="s">
        <v>526</v>
      </c>
      <c r="C213" s="22">
        <v>10188</v>
      </c>
      <c r="D213" s="23" t="s">
        <v>1002</v>
      </c>
      <c r="E213" s="22">
        <v>11925</v>
      </c>
      <c r="G213" s="23" t="s">
        <v>339</v>
      </c>
      <c r="H213" t="str">
        <f>PROPER(Table3[[#This Row],[Donor Name]])</f>
        <v>Unsco, Gaza</v>
      </c>
    </row>
    <row r="214" spans="1:8" ht="14.1">
      <c r="A214" s="21">
        <v>37867</v>
      </c>
      <c r="B214" s="22" t="s">
        <v>527</v>
      </c>
      <c r="C214" s="22">
        <v>10188</v>
      </c>
      <c r="D214" s="23" t="s">
        <v>1002</v>
      </c>
      <c r="E214" s="22">
        <v>13925</v>
      </c>
      <c r="G214" s="23" t="s">
        <v>339</v>
      </c>
      <c r="H214" t="str">
        <f>PROPER(Table3[[#This Row],[Donor Name]])</f>
        <v>Unsco, Gaza</v>
      </c>
    </row>
    <row r="215" spans="1:8" ht="14.1">
      <c r="A215" s="21">
        <v>37867</v>
      </c>
      <c r="B215" s="22" t="s">
        <v>529</v>
      </c>
      <c r="C215" s="22">
        <v>10190</v>
      </c>
      <c r="D215" s="23" t="s">
        <v>1003</v>
      </c>
      <c r="E215" s="22">
        <v>11925</v>
      </c>
      <c r="G215" s="23" t="s">
        <v>530</v>
      </c>
      <c r="H215" t="str">
        <f>PROPER(Table3[[#This Row],[Donor Name]])</f>
        <v>Untso, Jerusalem</v>
      </c>
    </row>
    <row r="216" spans="1:8" ht="14.1">
      <c r="A216" s="21">
        <v>37867</v>
      </c>
      <c r="B216" s="22" t="s">
        <v>531</v>
      </c>
      <c r="C216" s="22">
        <v>10190</v>
      </c>
      <c r="D216" s="23" t="s">
        <v>1003</v>
      </c>
      <c r="E216" s="22">
        <v>13925</v>
      </c>
      <c r="G216" s="23" t="s">
        <v>530</v>
      </c>
      <c r="H216" t="str">
        <f>PROPER(Table3[[#This Row],[Donor Name]])</f>
        <v>Untso, Jerusalem</v>
      </c>
    </row>
    <row r="217" spans="1:8" ht="14.1">
      <c r="A217" s="21">
        <v>37867</v>
      </c>
      <c r="B217" s="22" t="s">
        <v>533</v>
      </c>
      <c r="C217" s="22">
        <v>10199</v>
      </c>
      <c r="D217" s="23" t="s">
        <v>1004</v>
      </c>
      <c r="E217" s="22">
        <v>13925</v>
      </c>
      <c r="G217" s="23" t="s">
        <v>1005</v>
      </c>
      <c r="H217" t="str">
        <f>PROPER(Table3[[#This Row],[Donor Name]])</f>
        <v>Minuci Civ,Abidjan</v>
      </c>
    </row>
    <row r="218" spans="1:8" ht="14.1">
      <c r="A218" s="21">
        <v>37867</v>
      </c>
      <c r="B218" s="22" t="s">
        <v>535</v>
      </c>
      <c r="C218" s="22">
        <v>10334</v>
      </c>
      <c r="D218" s="23" t="s">
        <v>1006</v>
      </c>
      <c r="E218" s="22">
        <v>11925</v>
      </c>
      <c r="G218" s="23" t="s">
        <v>289</v>
      </c>
      <c r="H218" t="str">
        <f>PROPER(Table3[[#This Row],[Donor Name]])</f>
        <v>Un Relief And Works Agency</v>
      </c>
    </row>
    <row r="219" spans="1:8" ht="14.1">
      <c r="A219" s="21">
        <v>37867</v>
      </c>
      <c r="B219" s="22" t="s">
        <v>536</v>
      </c>
      <c r="C219" s="22">
        <v>10334</v>
      </c>
      <c r="D219" s="23" t="s">
        <v>1006</v>
      </c>
      <c r="E219" s="22">
        <v>13925</v>
      </c>
      <c r="G219" s="23" t="s">
        <v>289</v>
      </c>
      <c r="H219" t="str">
        <f>PROPER(Table3[[#This Row],[Donor Name]])</f>
        <v>Un Relief And Works Agency</v>
      </c>
    </row>
    <row r="220" spans="1:8" ht="14.1">
      <c r="A220" s="21">
        <v>37867</v>
      </c>
      <c r="B220" s="22" t="s">
        <v>538</v>
      </c>
      <c r="C220" s="22">
        <v>10776</v>
      </c>
      <c r="D220" s="23" t="s">
        <v>1007</v>
      </c>
      <c r="E220" s="22">
        <v>13925</v>
      </c>
      <c r="G220" s="23" t="s">
        <v>1008</v>
      </c>
      <c r="H220" t="str">
        <f>PROPER(Table3[[#This Row],[Donor Name]])</f>
        <v>Unifem   Csa</v>
      </c>
    </row>
    <row r="221" spans="1:8" ht="14.1">
      <c r="A221" s="21">
        <v>37867</v>
      </c>
      <c r="B221" s="22" t="s">
        <v>541</v>
      </c>
      <c r="C221" s="22">
        <v>10778</v>
      </c>
      <c r="D221" s="23" t="s">
        <v>1009</v>
      </c>
      <c r="E221" s="22">
        <v>13925</v>
      </c>
      <c r="G221" s="23" t="s">
        <v>1010</v>
      </c>
      <c r="H221" t="str">
        <f>PROPER(Table3[[#This Row],[Donor Name]])</f>
        <v>Unfpa Csa</v>
      </c>
    </row>
    <row r="222" spans="1:8" ht="14.1">
      <c r="A222" s="21">
        <v>37867</v>
      </c>
      <c r="B222" s="22" t="s">
        <v>544</v>
      </c>
      <c r="C222" s="22">
        <v>10779</v>
      </c>
      <c r="D222" s="23" t="s">
        <v>1011</v>
      </c>
      <c r="E222" s="22">
        <v>13925</v>
      </c>
      <c r="G222" s="23" t="s">
        <v>1012</v>
      </c>
      <c r="H222" t="str">
        <f>PROPER(Table3[[#This Row],[Donor Name]])</f>
        <v>Unops Csa</v>
      </c>
    </row>
    <row r="223" spans="1:8" ht="14.1">
      <c r="A223" s="21">
        <v>37867</v>
      </c>
      <c r="B223" s="22" t="s">
        <v>547</v>
      </c>
      <c r="C223" s="22">
        <v>11192</v>
      </c>
      <c r="D223" s="23" t="s">
        <v>1013</v>
      </c>
      <c r="E223" s="22">
        <v>11925</v>
      </c>
      <c r="G223" s="23" t="s">
        <v>1014</v>
      </c>
      <c r="H223" t="str">
        <f>PROPER(Table3[[#This Row],[Donor Name]])</f>
        <v>Un Register Of Damage   Unrod</v>
      </c>
    </row>
    <row r="224" spans="1:8" ht="14.1">
      <c r="A224" s="21">
        <v>37867</v>
      </c>
      <c r="B224" s="22" t="s">
        <v>549</v>
      </c>
      <c r="C224" s="22">
        <v>11192</v>
      </c>
      <c r="D224" s="23" t="s">
        <v>1013</v>
      </c>
      <c r="E224" s="22">
        <v>13925</v>
      </c>
      <c r="G224" s="23" t="s">
        <v>1014</v>
      </c>
      <c r="H224" t="str">
        <f>PROPER(Table3[[#This Row],[Donor Name]])</f>
        <v>Un Register Of Damage   Unrod</v>
      </c>
    </row>
    <row r="225" spans="1:8" ht="14.1">
      <c r="A225" s="21">
        <v>37867</v>
      </c>
      <c r="B225" s="22" t="s">
        <v>551</v>
      </c>
      <c r="C225" s="22">
        <v>12816</v>
      </c>
      <c r="D225" s="23" t="s">
        <v>1015</v>
      </c>
      <c r="E225" s="22">
        <v>13925</v>
      </c>
      <c r="G225" s="23" t="s">
        <v>552</v>
      </c>
      <c r="H225" t="str">
        <f>PROPER(Table3[[#This Row],[Donor Name]])</f>
        <v>Un Mine Action Service</v>
      </c>
    </row>
    <row r="226" spans="1:8" ht="14.1">
      <c r="A226" s="21">
        <v>49334</v>
      </c>
      <c r="B226" s="22" t="s">
        <v>561</v>
      </c>
      <c r="C226" s="22">
        <v>12</v>
      </c>
      <c r="D226" s="23" t="s">
        <v>828</v>
      </c>
      <c r="E226" s="22">
        <v>1</v>
      </c>
      <c r="G226" s="23" t="s">
        <v>165</v>
      </c>
      <c r="H226" t="str">
        <f>PROPER(Table3[[#This Row],[Donor Name]])</f>
        <v>United Nations Development Programme</v>
      </c>
    </row>
    <row r="227" spans="1:8" ht="14.1">
      <c r="A227" s="21">
        <v>52919</v>
      </c>
      <c r="B227" s="22" t="s">
        <v>563</v>
      </c>
      <c r="C227" s="22">
        <v>11</v>
      </c>
      <c r="D227" s="23" t="s">
        <v>1016</v>
      </c>
      <c r="E227" s="22">
        <v>40500</v>
      </c>
      <c r="G227" s="23" t="s">
        <v>564</v>
      </c>
      <c r="H227" t="str">
        <f>PROPER(Table3[[#This Row],[Donor Name]])</f>
        <v>United Nations Volunteers</v>
      </c>
    </row>
    <row r="228" spans="1:8" ht="14.1">
      <c r="A228" s="21">
        <v>52919</v>
      </c>
      <c r="B228" s="22" t="s">
        <v>565</v>
      </c>
      <c r="C228" s="22">
        <v>12</v>
      </c>
      <c r="D228" s="23" t="s">
        <v>828</v>
      </c>
      <c r="E228" s="22">
        <v>30084</v>
      </c>
      <c r="G228" s="23" t="s">
        <v>165</v>
      </c>
      <c r="H228" t="str">
        <f>PROPER(Table3[[#This Row],[Donor Name]])</f>
        <v>United Nations Development Programme</v>
      </c>
    </row>
    <row r="229" spans="1:8" ht="14.1">
      <c r="A229" s="21">
        <v>52919</v>
      </c>
      <c r="B229" s="22" t="s">
        <v>567</v>
      </c>
      <c r="C229" s="22">
        <v>12</v>
      </c>
      <c r="D229" s="23" t="s">
        <v>828</v>
      </c>
      <c r="E229" s="22">
        <v>40500</v>
      </c>
      <c r="G229" s="23" t="s">
        <v>165</v>
      </c>
      <c r="H229" t="str">
        <f>PROPER(Table3[[#This Row],[Donor Name]])</f>
        <v>United Nations Development Programme</v>
      </c>
    </row>
    <row r="230" spans="1:8" ht="14.1">
      <c r="A230" s="21">
        <v>52919</v>
      </c>
      <c r="B230" s="22" t="s">
        <v>569</v>
      </c>
      <c r="C230" s="22">
        <v>35</v>
      </c>
      <c r="D230" s="23" t="s">
        <v>992</v>
      </c>
      <c r="E230" s="22">
        <v>30000</v>
      </c>
      <c r="G230" s="23" t="s">
        <v>395</v>
      </c>
      <c r="H230" t="str">
        <f>PROPER(Table3[[#This Row],[Donor Name]])</f>
        <v>United Nations Children'S Fund</v>
      </c>
    </row>
    <row r="231" spans="1:8" ht="14.1">
      <c r="A231" s="21">
        <v>52919</v>
      </c>
      <c r="B231" s="22" t="s">
        <v>570</v>
      </c>
      <c r="C231" s="22">
        <v>141</v>
      </c>
      <c r="D231" s="23" t="s">
        <v>831</v>
      </c>
      <c r="E231" s="22">
        <v>40500</v>
      </c>
      <c r="G231" s="23" t="s">
        <v>276</v>
      </c>
      <c r="H231" t="str">
        <f>PROPER(Table3[[#This Row],[Donor Name]])</f>
        <v>Government Of Japan</v>
      </c>
    </row>
    <row r="232" spans="1:8" ht="14.1">
      <c r="A232" s="21">
        <v>52919</v>
      </c>
      <c r="B232" s="22" t="s">
        <v>572</v>
      </c>
      <c r="C232" s="22">
        <v>220</v>
      </c>
      <c r="D232" s="23" t="s">
        <v>969</v>
      </c>
      <c r="E232" s="22">
        <v>30000</v>
      </c>
      <c r="G232" s="23" t="s">
        <v>261</v>
      </c>
      <c r="H232" t="str">
        <f>PROPER(Table3[[#This Row],[Donor Name]])</f>
        <v>Government Of Spain</v>
      </c>
    </row>
    <row r="233" spans="1:8" ht="14.1">
      <c r="A233" s="21">
        <v>103834</v>
      </c>
      <c r="B233" s="22" t="s">
        <v>576</v>
      </c>
      <c r="C233" s="22">
        <v>198</v>
      </c>
      <c r="D233" s="23" t="s">
        <v>934</v>
      </c>
      <c r="E233" s="22">
        <v>30000</v>
      </c>
      <c r="G233" s="23" t="s">
        <v>577</v>
      </c>
      <c r="H233" t="str">
        <f>PROPER(Table3[[#This Row],[Donor Name]])</f>
        <v>Government Of Poland</v>
      </c>
    </row>
    <row r="234" spans="1:8" ht="14.1">
      <c r="A234" s="21">
        <v>108580</v>
      </c>
      <c r="B234" s="22" t="s">
        <v>1017</v>
      </c>
      <c r="C234" s="22">
        <v>12</v>
      </c>
      <c r="D234" s="23" t="s">
        <v>828</v>
      </c>
      <c r="E234" s="22">
        <v>30084</v>
      </c>
      <c r="G234" s="23" t="s">
        <v>165</v>
      </c>
      <c r="H234" t="str">
        <f>PROPER(Table3[[#This Row],[Donor Name]])</f>
        <v>United Nations Development Programme</v>
      </c>
    </row>
    <row r="235" spans="1:8" ht="14.1">
      <c r="A235" s="21">
        <v>108676</v>
      </c>
      <c r="B235" s="22" t="s">
        <v>1018</v>
      </c>
      <c r="C235" s="22">
        <v>11072</v>
      </c>
      <c r="D235" s="23" t="s">
        <v>1019</v>
      </c>
      <c r="E235" s="22">
        <v>30000</v>
      </c>
      <c r="G235" s="23" t="s">
        <v>1020</v>
      </c>
      <c r="H235" t="str">
        <f>PROPER(Table3[[#This Row],[Donor Name]])</f>
        <v>Aeci Agencia Espanola De Cooperacion Int</v>
      </c>
    </row>
    <row r="236" spans="1:8" ht="14.1">
      <c r="A236" s="21">
        <v>110314</v>
      </c>
      <c r="B236" s="22" t="s">
        <v>1021</v>
      </c>
      <c r="C236" s="22">
        <v>10513</v>
      </c>
      <c r="D236" s="23" t="s">
        <v>918</v>
      </c>
      <c r="E236" s="22">
        <v>30000</v>
      </c>
      <c r="G236" s="23" t="s">
        <v>919</v>
      </c>
      <c r="H236" t="str">
        <f>PROPER(Table3[[#This Row],[Donor Name]])</f>
        <v>Per  Fondo Italo Peruano</v>
      </c>
    </row>
    <row r="237" spans="1:8" ht="14.1">
      <c r="A237" s="21">
        <v>111468</v>
      </c>
      <c r="B237" s="22" t="s">
        <v>585</v>
      </c>
      <c r="C237" s="22">
        <v>12</v>
      </c>
      <c r="D237" s="23" t="s">
        <v>828</v>
      </c>
      <c r="E237" s="22">
        <v>4950</v>
      </c>
      <c r="G237" s="23" t="s">
        <v>165</v>
      </c>
      <c r="H237" t="str">
        <f>PROPER(Table3[[#This Row],[Donor Name]])</f>
        <v>United Nations Development Programme</v>
      </c>
    </row>
    <row r="238" spans="1:8" ht="14.1">
      <c r="A238" s="21">
        <v>111468</v>
      </c>
      <c r="B238" s="22" t="s">
        <v>585</v>
      </c>
      <c r="C238" s="22">
        <v>11710</v>
      </c>
      <c r="D238" s="23" t="s">
        <v>1022</v>
      </c>
      <c r="E238" s="22">
        <v>30000</v>
      </c>
      <c r="G238" s="23" t="s">
        <v>586</v>
      </c>
      <c r="H238" t="str">
        <f>PROPER(Table3[[#This Row],[Donor Name]])</f>
        <v>Us Int'L Narcotics &amp; Law Enfmnt Affairs</v>
      </c>
    </row>
    <row r="239" spans="1:8" ht="14.1">
      <c r="A239" s="21">
        <v>115973</v>
      </c>
      <c r="B239" s="22" t="s">
        <v>589</v>
      </c>
      <c r="C239" s="22">
        <v>117</v>
      </c>
      <c r="D239" s="23" t="s">
        <v>865</v>
      </c>
      <c r="E239" s="22">
        <v>30000</v>
      </c>
      <c r="G239" s="23" t="s">
        <v>398</v>
      </c>
      <c r="H239" t="str">
        <f>PROPER(Table3[[#This Row],[Donor Name]])</f>
        <v>Government Of Germany</v>
      </c>
    </row>
    <row r="240" spans="1:8" ht="14.1">
      <c r="A240" s="21">
        <v>115973</v>
      </c>
      <c r="B240" s="22" t="s">
        <v>591</v>
      </c>
      <c r="C240" s="22">
        <v>12298</v>
      </c>
      <c r="D240" s="23" t="s">
        <v>1023</v>
      </c>
      <c r="E240" s="22">
        <v>30000</v>
      </c>
      <c r="G240" s="23" t="s">
        <v>592</v>
      </c>
      <c r="H240" t="str">
        <f>PROPER(Table3[[#This Row],[Donor Name]])</f>
        <v>Qatar Fund For Development</v>
      </c>
    </row>
    <row r="241" spans="1:8" ht="14.1">
      <c r="A241" s="21">
        <v>116663</v>
      </c>
      <c r="B241" s="22" t="s">
        <v>595</v>
      </c>
      <c r="C241" s="22">
        <v>220</v>
      </c>
      <c r="D241" s="23" t="s">
        <v>969</v>
      </c>
      <c r="E241" s="22">
        <v>30000</v>
      </c>
      <c r="G241" s="23" t="s">
        <v>261</v>
      </c>
      <c r="H241" t="str">
        <f>PROPER(Table3[[#This Row],[Donor Name]])</f>
        <v>Government Of Spain</v>
      </c>
    </row>
    <row r="242" spans="1:8" ht="14.1">
      <c r="A242" s="21">
        <v>116663</v>
      </c>
      <c r="B242" s="22" t="s">
        <v>597</v>
      </c>
      <c r="C242" s="22">
        <v>10216</v>
      </c>
      <c r="D242" s="23" t="s">
        <v>880</v>
      </c>
      <c r="E242" s="22">
        <v>30000</v>
      </c>
      <c r="G242" s="23" t="s">
        <v>598</v>
      </c>
      <c r="H242" t="str">
        <f>PROPER(Table3[[#This Row],[Donor Name]])</f>
        <v>Ag. Espanola De Cooperacion Int.</v>
      </c>
    </row>
    <row r="243" spans="1:8" ht="14.1">
      <c r="A243" s="21">
        <v>129324</v>
      </c>
      <c r="B243" s="22" t="s">
        <v>612</v>
      </c>
      <c r="C243" s="22">
        <v>12</v>
      </c>
      <c r="D243" s="23" t="s">
        <v>828</v>
      </c>
      <c r="E243" s="22">
        <v>1</v>
      </c>
      <c r="G243" s="23" t="s">
        <v>165</v>
      </c>
      <c r="H243" t="str">
        <f>PROPER(Table3[[#This Row],[Donor Name]])</f>
        <v>United Nations Development Programme</v>
      </c>
    </row>
    <row r="244" spans="1:8" ht="14.1">
      <c r="A244" s="21">
        <v>99288</v>
      </c>
      <c r="B244" s="22" t="s">
        <v>1024</v>
      </c>
      <c r="C244" s="22">
        <v>10334</v>
      </c>
      <c r="D244" s="23" t="s">
        <v>1006</v>
      </c>
      <c r="E244" s="22">
        <v>30000</v>
      </c>
      <c r="G244" s="23" t="s">
        <v>289</v>
      </c>
      <c r="H244" t="str">
        <f>PROPER(Table3[[#This Row],[Donor Name]])</f>
        <v>Un Relief And Works Agency</v>
      </c>
    </row>
    <row r="245" spans="1:8" ht="14.1">
      <c r="A245" s="21">
        <v>99288</v>
      </c>
      <c r="B245" s="22" t="s">
        <v>1025</v>
      </c>
      <c r="C245" s="22">
        <v>10334</v>
      </c>
      <c r="D245" s="23" t="s">
        <v>1006</v>
      </c>
      <c r="E245" s="22">
        <v>59010</v>
      </c>
      <c r="G245" s="23" t="s">
        <v>289</v>
      </c>
      <c r="H245" t="str">
        <f>PROPER(Table3[[#This Row],[Donor Name]])</f>
        <v>Un Relief And Works Agency</v>
      </c>
    </row>
    <row r="246" spans="1:8" ht="14.1">
      <c r="A246" s="21">
        <v>99288</v>
      </c>
      <c r="B246" s="22" t="s">
        <v>1026</v>
      </c>
      <c r="C246" s="22">
        <v>12</v>
      </c>
      <c r="D246" s="23" t="s">
        <v>828</v>
      </c>
      <c r="E246" s="22">
        <v>4950</v>
      </c>
      <c r="G246" s="23" t="s">
        <v>165</v>
      </c>
      <c r="H246" t="str">
        <f>PROPER(Table3[[#This Row],[Donor Name]])</f>
        <v>United Nations Development Programme</v>
      </c>
    </row>
    <row r="247" spans="1:8" ht="14.1">
      <c r="A247" s="21"/>
      <c r="B247" s="22"/>
      <c r="C247" s="22"/>
      <c r="D247" s="23"/>
      <c r="E247" s="2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AEBF3-60A3-4618-9126-A5B632F62F02}">
  <sheetPr>
    <tabColor theme="0" tint="-0.249977111117893"/>
  </sheetPr>
  <dimension ref="A1:L15"/>
  <sheetViews>
    <sheetView workbookViewId="0">
      <selection activeCell="M3" sqref="M3"/>
    </sheetView>
  </sheetViews>
  <sheetFormatPr defaultColWidth="32.42578125" defaultRowHeight="12.95"/>
  <cols>
    <col min="6" max="6" width="16.42578125" customWidth="1"/>
    <col min="7" max="7" width="23.7109375" customWidth="1"/>
    <col min="8" max="8" width="13.42578125" bestFit="1" customWidth="1"/>
    <col min="9" max="9" width="8.7109375" customWidth="1"/>
    <col min="11" max="11" width="10.42578125" customWidth="1"/>
    <col min="12" max="12" width="13.140625" bestFit="1" customWidth="1"/>
  </cols>
  <sheetData>
    <row r="1" spans="1:12" ht="15.95">
      <c r="A1" s="445" t="s">
        <v>1027</v>
      </c>
      <c r="B1" s="446"/>
      <c r="C1" s="446"/>
      <c r="D1" s="446"/>
      <c r="E1" s="447"/>
      <c r="F1" s="38"/>
    </row>
    <row r="2" spans="1:12" ht="15" thickBot="1">
      <c r="A2" s="24"/>
      <c r="B2" s="25"/>
      <c r="C2" s="26"/>
      <c r="D2" s="25"/>
      <c r="E2" s="27"/>
      <c r="F2" s="26"/>
    </row>
    <row r="3" spans="1:12" ht="15.95" thickBot="1">
      <c r="A3" s="28" t="s">
        <v>1028</v>
      </c>
      <c r="B3" s="29" t="s">
        <v>1029</v>
      </c>
      <c r="C3" s="30" t="s">
        <v>1030</v>
      </c>
      <c r="D3" s="31" t="s">
        <v>1031</v>
      </c>
      <c r="E3" s="32" t="s">
        <v>1032</v>
      </c>
      <c r="F3" s="39"/>
      <c r="G3" s="41" t="s">
        <v>1033</v>
      </c>
      <c r="H3" s="42" t="s">
        <v>1034</v>
      </c>
      <c r="I3" s="42" t="s">
        <v>1035</v>
      </c>
      <c r="J3" s="42" t="s">
        <v>825</v>
      </c>
      <c r="K3" s="43" t="s">
        <v>1036</v>
      </c>
      <c r="L3" s="42" t="s">
        <v>1037</v>
      </c>
    </row>
    <row r="4" spans="1:12" ht="30">
      <c r="A4" s="448" t="s">
        <v>1038</v>
      </c>
      <c r="B4" s="33" t="s">
        <v>1039</v>
      </c>
      <c r="C4" s="286" t="s">
        <v>1040</v>
      </c>
      <c r="D4" s="34" t="s">
        <v>1041</v>
      </c>
      <c r="E4" s="223" t="s">
        <v>1042</v>
      </c>
      <c r="F4" s="40"/>
      <c r="G4" s="224">
        <v>1004815</v>
      </c>
      <c r="H4" s="225">
        <v>1456407</v>
      </c>
      <c r="I4" s="225">
        <v>10503</v>
      </c>
      <c r="J4" s="225" t="s">
        <v>877</v>
      </c>
      <c r="K4" s="226">
        <v>30000</v>
      </c>
      <c r="L4" s="42" t="str">
        <f t="shared" ref="L4:L15" si="0">C4&amp;"_"&amp;E4</f>
        <v>P1.1_(R)</v>
      </c>
    </row>
    <row r="5" spans="1:12" ht="30">
      <c r="A5" s="449"/>
      <c r="B5" s="33" t="s">
        <v>1043</v>
      </c>
      <c r="C5" s="286" t="s">
        <v>1044</v>
      </c>
      <c r="D5" s="34" t="s">
        <v>1045</v>
      </c>
      <c r="E5" s="223" t="s">
        <v>1046</v>
      </c>
      <c r="F5" s="40"/>
      <c r="G5" s="224">
        <v>1004815</v>
      </c>
      <c r="H5" s="225">
        <v>1456407</v>
      </c>
      <c r="I5" s="225">
        <v>10503</v>
      </c>
      <c r="J5" s="225" t="s">
        <v>877</v>
      </c>
      <c r="K5" s="226">
        <v>30000</v>
      </c>
      <c r="L5" s="225" t="str">
        <f t="shared" si="0"/>
        <v>P1.2_(EJ Edu)</v>
      </c>
    </row>
    <row r="6" spans="1:12" ht="45">
      <c r="A6" s="449"/>
      <c r="B6" s="33" t="s">
        <v>1047</v>
      </c>
      <c r="C6" s="286" t="s">
        <v>1048</v>
      </c>
      <c r="D6" s="34" t="s">
        <v>1049</v>
      </c>
      <c r="E6" s="223" t="s">
        <v>1050</v>
      </c>
      <c r="F6" s="40"/>
      <c r="G6" s="224">
        <v>1004815</v>
      </c>
      <c r="H6" s="225">
        <v>1456407</v>
      </c>
      <c r="I6" s="225">
        <v>10503</v>
      </c>
      <c r="J6" s="225" t="s">
        <v>877</v>
      </c>
      <c r="K6" s="226">
        <v>30000</v>
      </c>
      <c r="L6" s="225" t="str">
        <f t="shared" si="0"/>
        <v>P1.3_(EJ R)</v>
      </c>
    </row>
    <row r="7" spans="1:12" ht="15">
      <c r="A7" s="449" t="s">
        <v>1051</v>
      </c>
      <c r="B7" s="33" t="s">
        <v>1052</v>
      </c>
      <c r="C7" s="286" t="s">
        <v>1053</v>
      </c>
      <c r="D7" s="34" t="s">
        <v>1054</v>
      </c>
      <c r="E7" s="223" t="s">
        <v>1055</v>
      </c>
      <c r="F7" s="40"/>
      <c r="G7" s="224">
        <v>1004815</v>
      </c>
      <c r="H7" s="225">
        <v>1456407</v>
      </c>
      <c r="I7" s="225">
        <v>10503</v>
      </c>
      <c r="J7" s="225" t="s">
        <v>877</v>
      </c>
      <c r="K7" s="226">
        <v>30000</v>
      </c>
      <c r="L7" s="225" t="str">
        <f t="shared" si="0"/>
        <v>P2.1_(CfW)</v>
      </c>
    </row>
    <row r="8" spans="1:12" ht="15">
      <c r="A8" s="449"/>
      <c r="B8" s="33" t="s">
        <v>1056</v>
      </c>
      <c r="C8" s="286" t="s">
        <v>1057</v>
      </c>
      <c r="D8" s="34" t="s">
        <v>1058</v>
      </c>
      <c r="E8" s="223" t="s">
        <v>1059</v>
      </c>
      <c r="F8" s="40"/>
      <c r="G8" s="224">
        <v>1004815</v>
      </c>
      <c r="H8" s="225">
        <v>1456407</v>
      </c>
      <c r="I8" s="225">
        <v>10503</v>
      </c>
      <c r="J8" s="225" t="s">
        <v>877</v>
      </c>
      <c r="K8" s="226">
        <v>30000</v>
      </c>
      <c r="L8" s="225" t="str">
        <f t="shared" si="0"/>
        <v>P2.2_(SME)</v>
      </c>
    </row>
    <row r="9" spans="1:12" ht="45">
      <c r="A9" s="449" t="s">
        <v>1060</v>
      </c>
      <c r="B9" s="33" t="s">
        <v>1061</v>
      </c>
      <c r="C9" s="286" t="s">
        <v>1062</v>
      </c>
      <c r="D9" s="34" t="s">
        <v>1063</v>
      </c>
      <c r="E9" s="223" t="s">
        <v>1064</v>
      </c>
      <c r="F9" s="40"/>
      <c r="G9" s="224">
        <v>1004815</v>
      </c>
      <c r="H9" s="225">
        <v>1456407</v>
      </c>
      <c r="I9" s="225">
        <v>10503</v>
      </c>
      <c r="J9" s="225" t="s">
        <v>877</v>
      </c>
      <c r="K9" s="226">
        <v>30000</v>
      </c>
      <c r="L9" s="225" t="str">
        <f t="shared" si="0"/>
        <v>P3.3_(Solar)</v>
      </c>
    </row>
    <row r="10" spans="1:12" ht="15">
      <c r="A10" s="449"/>
      <c r="B10" s="33" t="s">
        <v>1065</v>
      </c>
      <c r="C10" s="286" t="s">
        <v>1066</v>
      </c>
      <c r="D10" s="34" t="s">
        <v>1067</v>
      </c>
      <c r="E10" s="223" t="s">
        <v>1068</v>
      </c>
      <c r="F10" s="40"/>
      <c r="G10" s="224">
        <v>1004815</v>
      </c>
      <c r="H10" s="225">
        <v>1456407</v>
      </c>
      <c r="I10" s="225">
        <v>10503</v>
      </c>
      <c r="J10" s="225" t="s">
        <v>877</v>
      </c>
      <c r="K10" s="226">
        <v>30000</v>
      </c>
      <c r="L10" s="225" t="str">
        <f t="shared" si="0"/>
        <v>P3.4_(RE&amp;W)</v>
      </c>
    </row>
    <row r="11" spans="1:12" ht="45">
      <c r="A11" s="449" t="s">
        <v>1069</v>
      </c>
      <c r="B11" s="33" t="s">
        <v>1070</v>
      </c>
      <c r="C11" s="286" t="s">
        <v>1071</v>
      </c>
      <c r="D11" s="34" t="s">
        <v>1072</v>
      </c>
      <c r="E11" s="223" t="s">
        <v>1073</v>
      </c>
      <c r="F11" s="40"/>
      <c r="G11" s="224">
        <v>1004815</v>
      </c>
      <c r="H11" s="225">
        <v>1456407</v>
      </c>
      <c r="I11" s="225">
        <v>10503</v>
      </c>
      <c r="J11" s="225" t="s">
        <v>877</v>
      </c>
      <c r="K11" s="226">
        <v>30000</v>
      </c>
      <c r="L11" s="225" t="str">
        <f t="shared" si="0"/>
        <v>P4.1_(UN)</v>
      </c>
    </row>
    <row r="12" spans="1:12" ht="15">
      <c r="A12" s="449"/>
      <c r="B12" s="33" t="s">
        <v>1074</v>
      </c>
      <c r="C12" s="286" t="s">
        <v>1075</v>
      </c>
      <c r="D12" s="34" t="s">
        <v>1076</v>
      </c>
      <c r="E12" s="223" t="s">
        <v>1077</v>
      </c>
      <c r="F12" s="40"/>
      <c r="G12" s="224">
        <v>1004815</v>
      </c>
      <c r="H12" s="225">
        <v>1456407</v>
      </c>
      <c r="I12" s="225">
        <v>10503</v>
      </c>
      <c r="J12" s="225" t="s">
        <v>877</v>
      </c>
      <c r="K12" s="226">
        <v>30000</v>
      </c>
      <c r="L12" s="225" t="str">
        <f t="shared" si="0"/>
        <v>P4.2_(L&amp;P)</v>
      </c>
    </row>
    <row r="13" spans="1:12" ht="15">
      <c r="A13" s="449"/>
      <c r="B13" s="33" t="s">
        <v>1078</v>
      </c>
      <c r="C13" s="286" t="s">
        <v>1079</v>
      </c>
      <c r="D13" s="34" t="s">
        <v>1080</v>
      </c>
      <c r="E13" s="223" t="s">
        <v>1081</v>
      </c>
      <c r="F13" s="40"/>
      <c r="G13" s="224">
        <v>1004815</v>
      </c>
      <c r="H13" s="225">
        <v>1456407</v>
      </c>
      <c r="I13" s="225">
        <v>10503</v>
      </c>
      <c r="J13" s="225" t="s">
        <v>877</v>
      </c>
      <c r="K13" s="226">
        <v>30000</v>
      </c>
      <c r="L13" s="225" t="str">
        <f t="shared" si="0"/>
        <v>P4.3_(DI)</v>
      </c>
    </row>
    <row r="14" spans="1:12" ht="15">
      <c r="A14" s="449"/>
      <c r="B14" s="33" t="s">
        <v>1082</v>
      </c>
      <c r="C14" s="286" t="s">
        <v>1083</v>
      </c>
      <c r="D14" s="34" t="s">
        <v>1084</v>
      </c>
      <c r="E14" s="223" t="s">
        <v>1085</v>
      </c>
      <c r="F14" s="40"/>
      <c r="G14" s="224">
        <v>1004815</v>
      </c>
      <c r="H14" s="225">
        <v>1456407</v>
      </c>
      <c r="I14" s="225">
        <v>10503</v>
      </c>
      <c r="J14" s="225" t="s">
        <v>877</v>
      </c>
      <c r="K14" s="226">
        <v>30000</v>
      </c>
      <c r="L14" s="225" t="str">
        <f t="shared" si="0"/>
        <v>P4.4_(GovMap)</v>
      </c>
    </row>
    <row r="15" spans="1:12" ht="15.95" thickBot="1">
      <c r="A15" s="35" t="s">
        <v>1086</v>
      </c>
      <c r="B15" s="202" t="s">
        <v>1087</v>
      </c>
      <c r="C15" s="36" t="s">
        <v>1088</v>
      </c>
      <c r="D15" s="203" t="s">
        <v>1089</v>
      </c>
      <c r="E15" s="37" t="s">
        <v>1090</v>
      </c>
      <c r="F15" s="40"/>
      <c r="G15" s="227">
        <v>1004815</v>
      </c>
      <c r="H15" s="225">
        <v>1456407</v>
      </c>
      <c r="I15" s="228">
        <v>10503</v>
      </c>
      <c r="J15" s="228" t="s">
        <v>877</v>
      </c>
      <c r="K15" s="229">
        <v>30000</v>
      </c>
      <c r="L15" s="228" t="str">
        <f t="shared" si="0"/>
        <v>P5.1_(NI)</v>
      </c>
    </row>
  </sheetData>
  <mergeCells count="5">
    <mergeCell ref="A1:E1"/>
    <mergeCell ref="A4:A6"/>
    <mergeCell ref="A7:A8"/>
    <mergeCell ref="A9:A10"/>
    <mergeCell ref="A11:A14"/>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36EA7-F625-40D3-A888-6F721893F9A8}">
  <sheetPr codeName="Sheet7">
    <tabColor theme="0" tint="-0.249977111117893"/>
  </sheetPr>
  <dimension ref="A1:J425"/>
  <sheetViews>
    <sheetView topLeftCell="A2" workbookViewId="0">
      <selection activeCell="G425" sqref="G425"/>
    </sheetView>
  </sheetViews>
  <sheetFormatPr defaultColWidth="8.7109375" defaultRowHeight="12.95"/>
  <cols>
    <col min="1" max="1" width="18.42578125" bestFit="1" customWidth="1"/>
    <col min="2" max="2" width="29.140625" bestFit="1" customWidth="1"/>
    <col min="3" max="3" width="29.42578125" customWidth="1"/>
    <col min="4" max="4" width="16.42578125" bestFit="1" customWidth="1"/>
    <col min="5" max="5" width="31.42578125" bestFit="1" customWidth="1"/>
    <col min="6" max="6" width="24.42578125" bestFit="1" customWidth="1"/>
    <col min="7" max="7" width="35" bestFit="1" customWidth="1"/>
  </cols>
  <sheetData>
    <row r="1" spans="1:10" ht="17.100000000000001" thickBot="1">
      <c r="A1" s="7" t="s">
        <v>1091</v>
      </c>
      <c r="B1" s="7" t="s">
        <v>1092</v>
      </c>
      <c r="C1" s="7" t="s">
        <v>1093</v>
      </c>
      <c r="D1" s="7" t="s">
        <v>1094</v>
      </c>
      <c r="E1" s="7" t="s">
        <v>1095</v>
      </c>
      <c r="F1" s="7" t="s">
        <v>1096</v>
      </c>
      <c r="G1" s="7" t="s">
        <v>1097</v>
      </c>
      <c r="J1" s="8" t="s">
        <v>1098</v>
      </c>
    </row>
    <row r="2" spans="1:10" ht="14.1" thickTop="1">
      <c r="A2" s="6" t="s">
        <v>1099</v>
      </c>
      <c r="B2" s="6" t="s">
        <v>1100</v>
      </c>
      <c r="C2" s="6" t="s">
        <v>1101</v>
      </c>
      <c r="D2" s="6" t="s">
        <v>1102</v>
      </c>
      <c r="E2" s="6" t="s">
        <v>1103</v>
      </c>
      <c r="F2" s="6" t="s">
        <v>1101</v>
      </c>
      <c r="G2" t="str">
        <f>A2&amp;" / "&amp;B2</f>
        <v>61100 / Salary Costs - NP Staff</v>
      </c>
      <c r="J2">
        <v>70001</v>
      </c>
    </row>
    <row r="3" spans="1:10">
      <c r="A3" s="6" t="s">
        <v>1099</v>
      </c>
      <c r="B3" s="6" t="s">
        <v>1100</v>
      </c>
      <c r="C3" s="6" t="s">
        <v>1101</v>
      </c>
      <c r="D3" s="6" t="s">
        <v>1104</v>
      </c>
      <c r="E3" s="6" t="s">
        <v>1105</v>
      </c>
      <c r="F3" s="6" t="s">
        <v>1106</v>
      </c>
      <c r="G3" t="str">
        <f t="shared" ref="G3:G66" si="0">A3&amp;" / "&amp;B3</f>
        <v>61100 / Salary Costs - NP Staff</v>
      </c>
    </row>
    <row r="4" spans="1:10">
      <c r="A4" s="6" t="s">
        <v>1107</v>
      </c>
      <c r="B4" s="6" t="s">
        <v>1108</v>
      </c>
      <c r="C4" s="6" t="s">
        <v>1109</v>
      </c>
      <c r="D4" s="6" t="s">
        <v>1110</v>
      </c>
      <c r="E4" s="6" t="s">
        <v>1111</v>
      </c>
      <c r="F4" s="6" t="s">
        <v>1109</v>
      </c>
      <c r="G4" t="str">
        <f t="shared" si="0"/>
        <v>61200 / Salaries Costs - GS Staff</v>
      </c>
    </row>
    <row r="5" spans="1:10">
      <c r="A5" s="6" t="s">
        <v>1107</v>
      </c>
      <c r="B5" s="6" t="s">
        <v>1108</v>
      </c>
      <c r="C5" s="6" t="s">
        <v>1109</v>
      </c>
      <c r="D5" s="6" t="s">
        <v>1112</v>
      </c>
      <c r="E5" s="6" t="s">
        <v>1113</v>
      </c>
      <c r="F5" s="6" t="s">
        <v>1114</v>
      </c>
      <c r="G5" t="str">
        <f t="shared" si="0"/>
        <v>61200 / Salaries Costs - GS Staff</v>
      </c>
    </row>
    <row r="6" spans="1:10">
      <c r="A6" s="6" t="s">
        <v>1107</v>
      </c>
      <c r="B6" s="6" t="s">
        <v>1108</v>
      </c>
      <c r="C6" s="6" t="s">
        <v>1109</v>
      </c>
      <c r="D6" s="6" t="s">
        <v>1115</v>
      </c>
      <c r="E6" s="6" t="s">
        <v>1116</v>
      </c>
      <c r="F6" s="6" t="s">
        <v>1117</v>
      </c>
      <c r="G6" t="str">
        <f t="shared" si="0"/>
        <v>61200 / Salaries Costs - GS Staff</v>
      </c>
    </row>
    <row r="7" spans="1:10">
      <c r="A7" s="6" t="s">
        <v>1107</v>
      </c>
      <c r="B7" s="6" t="s">
        <v>1108</v>
      </c>
      <c r="C7" s="6" t="s">
        <v>1109</v>
      </c>
      <c r="D7" s="6" t="s">
        <v>1118</v>
      </c>
      <c r="E7" s="6" t="s">
        <v>1119</v>
      </c>
      <c r="F7" s="6" t="s">
        <v>1117</v>
      </c>
      <c r="G7" t="str">
        <f t="shared" si="0"/>
        <v>61200 / Salaries Costs - GS Staff</v>
      </c>
    </row>
    <row r="8" spans="1:10">
      <c r="A8" s="6" t="s">
        <v>1107</v>
      </c>
      <c r="B8" s="6" t="s">
        <v>1108</v>
      </c>
      <c r="C8" s="6" t="s">
        <v>1109</v>
      </c>
      <c r="D8" s="6" t="s">
        <v>1120</v>
      </c>
      <c r="E8" s="6" t="s">
        <v>1121</v>
      </c>
      <c r="F8" s="6" t="s">
        <v>1122</v>
      </c>
      <c r="G8" t="str">
        <f t="shared" si="0"/>
        <v>61200 / Salaries Costs - GS Staff</v>
      </c>
    </row>
    <row r="9" spans="1:10">
      <c r="A9" s="6" t="s">
        <v>1123</v>
      </c>
      <c r="B9" s="6" t="s">
        <v>1124</v>
      </c>
      <c r="C9" s="6" t="s">
        <v>1125</v>
      </c>
      <c r="D9" s="6" t="s">
        <v>1126</v>
      </c>
      <c r="E9" s="6" t="s">
        <v>1127</v>
      </c>
      <c r="F9" s="6" t="s">
        <v>1128</v>
      </c>
      <c r="G9" t="str">
        <f t="shared" si="0"/>
        <v>61300 / Salary &amp; Post Adj Cst-IP Staff</v>
      </c>
    </row>
    <row r="10" spans="1:10">
      <c r="A10" s="6" t="s">
        <v>1123</v>
      </c>
      <c r="B10" s="6" t="s">
        <v>1124</v>
      </c>
      <c r="C10" s="6" t="s">
        <v>1125</v>
      </c>
      <c r="D10" s="6" t="s">
        <v>1129</v>
      </c>
      <c r="E10" s="6" t="s">
        <v>1130</v>
      </c>
      <c r="F10" s="6" t="s">
        <v>1131</v>
      </c>
      <c r="G10" t="str">
        <f t="shared" si="0"/>
        <v>61300 / Salary &amp; Post Adj Cst-IP Staff</v>
      </c>
    </row>
    <row r="11" spans="1:10">
      <c r="A11" s="6" t="s">
        <v>1123</v>
      </c>
      <c r="B11" s="6" t="s">
        <v>1124</v>
      </c>
      <c r="C11" s="6" t="s">
        <v>1125</v>
      </c>
      <c r="D11" s="6" t="s">
        <v>1132</v>
      </c>
      <c r="E11" s="6" t="s">
        <v>1133</v>
      </c>
      <c r="F11" s="6" t="s">
        <v>1134</v>
      </c>
      <c r="G11" t="str">
        <f t="shared" si="0"/>
        <v>61300 / Salary &amp; Post Adj Cst-IP Staff</v>
      </c>
    </row>
    <row r="12" spans="1:10">
      <c r="A12" s="6" t="s">
        <v>1123</v>
      </c>
      <c r="B12" s="6" t="s">
        <v>1124</v>
      </c>
      <c r="C12" s="6" t="s">
        <v>1125</v>
      </c>
      <c r="D12" s="6" t="s">
        <v>1135</v>
      </c>
      <c r="E12" s="6" t="s">
        <v>1136</v>
      </c>
      <c r="F12" s="6" t="s">
        <v>1137</v>
      </c>
      <c r="G12" t="str">
        <f t="shared" si="0"/>
        <v>61300 / Salary &amp; Post Adj Cst-IP Staff</v>
      </c>
    </row>
    <row r="13" spans="1:10">
      <c r="A13" s="6" t="s">
        <v>1138</v>
      </c>
      <c r="B13" s="6" t="s">
        <v>1139</v>
      </c>
      <c r="C13" s="6" t="s">
        <v>1140</v>
      </c>
      <c r="D13" s="6" t="s">
        <v>1141</v>
      </c>
      <c r="E13" s="6" t="s">
        <v>1142</v>
      </c>
      <c r="F13" s="6" t="s">
        <v>1143</v>
      </c>
      <c r="G13" t="str">
        <f t="shared" si="0"/>
        <v>62100 / Recur Payroll Costs - NP Staff</v>
      </c>
    </row>
    <row r="14" spans="1:10">
      <c r="A14" s="6" t="s">
        <v>1138</v>
      </c>
      <c r="B14" s="6" t="s">
        <v>1139</v>
      </c>
      <c r="C14" s="6" t="s">
        <v>1140</v>
      </c>
      <c r="D14" s="6" t="s">
        <v>1144</v>
      </c>
      <c r="E14" s="6" t="s">
        <v>1145</v>
      </c>
      <c r="F14" s="6" t="s">
        <v>1146</v>
      </c>
      <c r="G14" t="str">
        <f t="shared" si="0"/>
        <v>62100 / Recur Payroll Costs - NP Staff</v>
      </c>
    </row>
    <row r="15" spans="1:10">
      <c r="A15" s="6" t="s">
        <v>1138</v>
      </c>
      <c r="B15" s="6" t="s">
        <v>1139</v>
      </c>
      <c r="C15" s="6" t="s">
        <v>1140</v>
      </c>
      <c r="D15" s="6" t="s">
        <v>1147</v>
      </c>
      <c r="E15" s="6" t="s">
        <v>1148</v>
      </c>
      <c r="F15" s="6" t="s">
        <v>1149</v>
      </c>
      <c r="G15" t="str">
        <f t="shared" si="0"/>
        <v>62100 / Recur Payroll Costs - NP Staff</v>
      </c>
    </row>
    <row r="16" spans="1:10">
      <c r="A16" s="6" t="s">
        <v>1138</v>
      </c>
      <c r="B16" s="6" t="s">
        <v>1139</v>
      </c>
      <c r="C16" s="6" t="s">
        <v>1140</v>
      </c>
      <c r="D16" s="6" t="s">
        <v>1150</v>
      </c>
      <c r="E16" s="6" t="s">
        <v>1151</v>
      </c>
      <c r="F16" s="6" t="s">
        <v>1152</v>
      </c>
      <c r="G16" t="str">
        <f t="shared" si="0"/>
        <v>62100 / Recur Payroll Costs - NP Staff</v>
      </c>
    </row>
    <row r="17" spans="1:7">
      <c r="A17" s="6" t="s">
        <v>1138</v>
      </c>
      <c r="B17" s="6" t="s">
        <v>1139</v>
      </c>
      <c r="C17" s="6" t="s">
        <v>1140</v>
      </c>
      <c r="D17" s="6" t="s">
        <v>1153</v>
      </c>
      <c r="E17" s="6" t="s">
        <v>1154</v>
      </c>
      <c r="F17" s="6" t="s">
        <v>1155</v>
      </c>
      <c r="G17" t="str">
        <f t="shared" si="0"/>
        <v>62100 / Recur Payroll Costs - NP Staff</v>
      </c>
    </row>
    <row r="18" spans="1:7">
      <c r="A18" s="6" t="s">
        <v>1156</v>
      </c>
      <c r="B18" s="6" t="s">
        <v>1157</v>
      </c>
      <c r="C18" s="6" t="s">
        <v>1158</v>
      </c>
      <c r="D18" s="6" t="s">
        <v>1159</v>
      </c>
      <c r="E18" s="6" t="s">
        <v>1160</v>
      </c>
      <c r="F18" s="6" t="s">
        <v>1161</v>
      </c>
      <c r="G18" t="str">
        <f t="shared" si="0"/>
        <v>62200 / Recur Payroll Costs-GS Staff</v>
      </c>
    </row>
    <row r="19" spans="1:7">
      <c r="A19" s="6" t="s">
        <v>1156</v>
      </c>
      <c r="B19" s="6" t="s">
        <v>1157</v>
      </c>
      <c r="C19" s="6" t="s">
        <v>1158</v>
      </c>
      <c r="D19" s="6" t="s">
        <v>1162</v>
      </c>
      <c r="E19" s="6" t="s">
        <v>1163</v>
      </c>
      <c r="F19" s="6" t="s">
        <v>1164</v>
      </c>
      <c r="G19" t="str">
        <f t="shared" si="0"/>
        <v>62200 / Recur Payroll Costs-GS Staff</v>
      </c>
    </row>
    <row r="20" spans="1:7">
      <c r="A20" s="6" t="s">
        <v>1156</v>
      </c>
      <c r="B20" s="6" t="s">
        <v>1157</v>
      </c>
      <c r="C20" s="6" t="s">
        <v>1158</v>
      </c>
      <c r="D20" s="6" t="s">
        <v>1165</v>
      </c>
      <c r="E20" s="6" t="s">
        <v>1166</v>
      </c>
      <c r="F20" s="6" t="s">
        <v>1167</v>
      </c>
      <c r="G20" t="str">
        <f t="shared" si="0"/>
        <v>62200 / Recur Payroll Costs-GS Staff</v>
      </c>
    </row>
    <row r="21" spans="1:7">
      <c r="A21" s="6" t="s">
        <v>1156</v>
      </c>
      <c r="B21" s="6" t="s">
        <v>1157</v>
      </c>
      <c r="C21" s="6" t="s">
        <v>1158</v>
      </c>
      <c r="D21" s="6" t="s">
        <v>1168</v>
      </c>
      <c r="E21" s="6" t="s">
        <v>1169</v>
      </c>
      <c r="F21" s="6" t="s">
        <v>1170</v>
      </c>
      <c r="G21" t="str">
        <f t="shared" si="0"/>
        <v>62200 / Recur Payroll Costs-GS Staff</v>
      </c>
    </row>
    <row r="22" spans="1:7">
      <c r="A22" s="6" t="s">
        <v>1156</v>
      </c>
      <c r="B22" s="6" t="s">
        <v>1157</v>
      </c>
      <c r="C22" s="6" t="s">
        <v>1158</v>
      </c>
      <c r="D22" s="6" t="s">
        <v>1171</v>
      </c>
      <c r="E22" s="6" t="s">
        <v>1172</v>
      </c>
      <c r="F22" s="6" t="s">
        <v>1152</v>
      </c>
      <c r="G22" t="str">
        <f t="shared" si="0"/>
        <v>62200 / Recur Payroll Costs-GS Staff</v>
      </c>
    </row>
    <row r="23" spans="1:7">
      <c r="A23" s="6" t="s">
        <v>1156</v>
      </c>
      <c r="B23" s="6" t="s">
        <v>1157</v>
      </c>
      <c r="C23" s="6" t="s">
        <v>1158</v>
      </c>
      <c r="D23" s="6" t="s">
        <v>1173</v>
      </c>
      <c r="E23" s="6" t="s">
        <v>1174</v>
      </c>
      <c r="F23" s="6" t="s">
        <v>1175</v>
      </c>
      <c r="G23" t="str">
        <f t="shared" si="0"/>
        <v>62200 / Recur Payroll Costs-GS Staff</v>
      </c>
    </row>
    <row r="24" spans="1:7">
      <c r="A24" s="6" t="s">
        <v>1176</v>
      </c>
      <c r="B24" s="6" t="s">
        <v>1177</v>
      </c>
      <c r="C24" s="6" t="s">
        <v>1178</v>
      </c>
      <c r="D24" s="6" t="s">
        <v>1179</v>
      </c>
      <c r="E24" s="6" t="s">
        <v>1180</v>
      </c>
      <c r="F24" s="6" t="s">
        <v>1181</v>
      </c>
      <c r="G24" t="str">
        <f t="shared" si="0"/>
        <v>62300 / Recurrent Payroll Costs-IP Stf</v>
      </c>
    </row>
    <row r="25" spans="1:7">
      <c r="A25" s="6" t="s">
        <v>1176</v>
      </c>
      <c r="B25" s="6" t="s">
        <v>1177</v>
      </c>
      <c r="C25" s="6" t="s">
        <v>1178</v>
      </c>
      <c r="D25" s="6" t="s">
        <v>1182</v>
      </c>
      <c r="E25" s="6" t="s">
        <v>1183</v>
      </c>
      <c r="F25" s="6" t="s">
        <v>1117</v>
      </c>
      <c r="G25" t="str">
        <f t="shared" si="0"/>
        <v>62300 / Recurrent Payroll Costs-IP Stf</v>
      </c>
    </row>
    <row r="26" spans="1:7">
      <c r="A26" s="6" t="s">
        <v>1176</v>
      </c>
      <c r="B26" s="6" t="s">
        <v>1177</v>
      </c>
      <c r="C26" s="6" t="s">
        <v>1178</v>
      </c>
      <c r="D26" s="6" t="s">
        <v>1184</v>
      </c>
      <c r="E26" s="6" t="s">
        <v>1185</v>
      </c>
      <c r="F26" s="6" t="s">
        <v>1117</v>
      </c>
      <c r="G26" t="str">
        <f t="shared" si="0"/>
        <v>62300 / Recurrent Payroll Costs-IP Stf</v>
      </c>
    </row>
    <row r="27" spans="1:7">
      <c r="A27" s="6" t="s">
        <v>1176</v>
      </c>
      <c r="B27" s="6" t="s">
        <v>1177</v>
      </c>
      <c r="C27" s="6" t="s">
        <v>1178</v>
      </c>
      <c r="D27" s="6" t="s">
        <v>1186</v>
      </c>
      <c r="E27" s="6" t="s">
        <v>1187</v>
      </c>
      <c r="F27" s="6" t="s">
        <v>1188</v>
      </c>
      <c r="G27" t="str">
        <f t="shared" si="0"/>
        <v>62300 / Recurrent Payroll Costs-IP Stf</v>
      </c>
    </row>
    <row r="28" spans="1:7">
      <c r="A28" s="6" t="s">
        <v>1176</v>
      </c>
      <c r="B28" s="6" t="s">
        <v>1177</v>
      </c>
      <c r="C28" s="6" t="s">
        <v>1178</v>
      </c>
      <c r="D28" s="6" t="s">
        <v>1189</v>
      </c>
      <c r="E28" s="6" t="s">
        <v>1190</v>
      </c>
      <c r="F28" s="6" t="s">
        <v>1191</v>
      </c>
      <c r="G28" t="str">
        <f t="shared" si="0"/>
        <v>62300 / Recurrent Payroll Costs-IP Stf</v>
      </c>
    </row>
    <row r="29" spans="1:7">
      <c r="A29" s="6" t="s">
        <v>1176</v>
      </c>
      <c r="B29" s="6" t="s">
        <v>1177</v>
      </c>
      <c r="C29" s="6" t="s">
        <v>1178</v>
      </c>
      <c r="D29" s="6" t="s">
        <v>1192</v>
      </c>
      <c r="E29" s="6" t="s">
        <v>1193</v>
      </c>
      <c r="F29" s="6" t="s">
        <v>1194</v>
      </c>
      <c r="G29" t="str">
        <f t="shared" si="0"/>
        <v>62300 / Recurrent Payroll Costs-IP Stf</v>
      </c>
    </row>
    <row r="30" spans="1:7">
      <c r="A30" s="6" t="s">
        <v>1176</v>
      </c>
      <c r="B30" s="6" t="s">
        <v>1177</v>
      </c>
      <c r="C30" s="6" t="s">
        <v>1178</v>
      </c>
      <c r="D30" s="6" t="s">
        <v>1195</v>
      </c>
      <c r="E30" s="6" t="s">
        <v>1196</v>
      </c>
      <c r="F30" s="6" t="s">
        <v>1197</v>
      </c>
      <c r="G30" t="str">
        <f t="shared" si="0"/>
        <v>62300 / Recurrent Payroll Costs-IP Stf</v>
      </c>
    </row>
    <row r="31" spans="1:7">
      <c r="A31" s="6" t="s">
        <v>1176</v>
      </c>
      <c r="B31" s="6" t="s">
        <v>1177</v>
      </c>
      <c r="C31" s="6" t="s">
        <v>1178</v>
      </c>
      <c r="D31" s="6" t="s">
        <v>1198</v>
      </c>
      <c r="E31" s="6" t="s">
        <v>1199</v>
      </c>
      <c r="F31" s="6" t="s">
        <v>1200</v>
      </c>
      <c r="G31" t="str">
        <f t="shared" si="0"/>
        <v>62300 / Recurrent Payroll Costs-IP Stf</v>
      </c>
    </row>
    <row r="32" spans="1:7">
      <c r="A32" s="6" t="s">
        <v>1201</v>
      </c>
      <c r="B32" s="6" t="s">
        <v>1202</v>
      </c>
      <c r="C32" s="6" t="s">
        <v>1203</v>
      </c>
      <c r="D32" s="6" t="s">
        <v>1204</v>
      </c>
      <c r="E32" s="6" t="s">
        <v>1205</v>
      </c>
      <c r="F32" s="6" t="s">
        <v>1206</v>
      </c>
      <c r="G32" t="str">
        <f t="shared" si="0"/>
        <v>63100 / Non-Recurrent Payroll - NP Stf</v>
      </c>
    </row>
    <row r="33" spans="1:7">
      <c r="A33" s="6" t="s">
        <v>1201</v>
      </c>
      <c r="B33" s="6" t="s">
        <v>1202</v>
      </c>
      <c r="C33" s="6" t="s">
        <v>1203</v>
      </c>
      <c r="D33" s="6" t="s">
        <v>1207</v>
      </c>
      <c r="E33" s="6" t="s">
        <v>1208</v>
      </c>
      <c r="F33" s="6" t="s">
        <v>1209</v>
      </c>
      <c r="G33" t="str">
        <f t="shared" si="0"/>
        <v>63100 / Non-Recurrent Payroll - NP Stf</v>
      </c>
    </row>
    <row r="34" spans="1:7">
      <c r="A34" s="6" t="s">
        <v>1201</v>
      </c>
      <c r="B34" s="6" t="s">
        <v>1202</v>
      </c>
      <c r="C34" s="6" t="s">
        <v>1203</v>
      </c>
      <c r="D34" s="6" t="s">
        <v>1210</v>
      </c>
      <c r="E34" s="6" t="s">
        <v>1211</v>
      </c>
      <c r="F34" s="6" t="s">
        <v>1212</v>
      </c>
      <c r="G34" t="str">
        <f t="shared" si="0"/>
        <v>63100 / Non-Recurrent Payroll - NP Stf</v>
      </c>
    </row>
    <row r="35" spans="1:7">
      <c r="A35" s="6" t="s">
        <v>1201</v>
      </c>
      <c r="B35" s="6" t="s">
        <v>1202</v>
      </c>
      <c r="C35" s="6" t="s">
        <v>1203</v>
      </c>
      <c r="D35" s="6" t="s">
        <v>1213</v>
      </c>
      <c r="E35" s="6" t="s">
        <v>1214</v>
      </c>
      <c r="F35" s="6" t="s">
        <v>1215</v>
      </c>
      <c r="G35" t="str">
        <f t="shared" si="0"/>
        <v>63100 / Non-Recurrent Payroll - NP Stf</v>
      </c>
    </row>
    <row r="36" spans="1:7">
      <c r="A36" s="6" t="s">
        <v>1201</v>
      </c>
      <c r="B36" s="6" t="s">
        <v>1202</v>
      </c>
      <c r="C36" s="6" t="s">
        <v>1203</v>
      </c>
      <c r="D36" s="6" t="s">
        <v>1216</v>
      </c>
      <c r="E36" s="6" t="s">
        <v>1217</v>
      </c>
      <c r="F36" s="6" t="s">
        <v>1218</v>
      </c>
      <c r="G36" t="str">
        <f t="shared" si="0"/>
        <v>63100 / Non-Recurrent Payroll - NP Stf</v>
      </c>
    </row>
    <row r="37" spans="1:7">
      <c r="A37" s="6" t="s">
        <v>1201</v>
      </c>
      <c r="B37" s="6" t="s">
        <v>1202</v>
      </c>
      <c r="C37" s="6" t="s">
        <v>1203</v>
      </c>
      <c r="D37" s="6" t="s">
        <v>1219</v>
      </c>
      <c r="E37" s="6" t="s">
        <v>1220</v>
      </c>
      <c r="F37" s="6" t="s">
        <v>1221</v>
      </c>
      <c r="G37" t="str">
        <f t="shared" si="0"/>
        <v>63100 / Non-Recurrent Payroll - NP Stf</v>
      </c>
    </row>
    <row r="38" spans="1:7">
      <c r="A38" s="6" t="s">
        <v>1201</v>
      </c>
      <c r="B38" s="6" t="s">
        <v>1202</v>
      </c>
      <c r="C38" s="6" t="s">
        <v>1203</v>
      </c>
      <c r="D38" s="6" t="s">
        <v>1222</v>
      </c>
      <c r="E38" s="6" t="s">
        <v>1223</v>
      </c>
      <c r="F38" s="6" t="s">
        <v>1224</v>
      </c>
      <c r="G38" t="str">
        <f t="shared" si="0"/>
        <v>63100 / Non-Recurrent Payroll - NP Stf</v>
      </c>
    </row>
    <row r="39" spans="1:7">
      <c r="A39" s="6" t="s">
        <v>1201</v>
      </c>
      <c r="B39" s="6" t="s">
        <v>1202</v>
      </c>
      <c r="C39" s="6" t="s">
        <v>1203</v>
      </c>
      <c r="D39" s="6" t="s">
        <v>1225</v>
      </c>
      <c r="E39" s="6" t="s">
        <v>1226</v>
      </c>
      <c r="F39" s="6" t="s">
        <v>1227</v>
      </c>
      <c r="G39" t="str">
        <f t="shared" si="0"/>
        <v>63100 / Non-Recurrent Payroll - NP Stf</v>
      </c>
    </row>
    <row r="40" spans="1:7">
      <c r="A40" s="6" t="s">
        <v>1201</v>
      </c>
      <c r="B40" s="6" t="s">
        <v>1202</v>
      </c>
      <c r="C40" s="6" t="s">
        <v>1203</v>
      </c>
      <c r="D40" s="6" t="s">
        <v>1228</v>
      </c>
      <c r="E40" s="6" t="s">
        <v>1229</v>
      </c>
      <c r="F40" s="6" t="s">
        <v>1227</v>
      </c>
      <c r="G40" t="str">
        <f t="shared" si="0"/>
        <v>63100 / Non-Recurrent Payroll - NP Stf</v>
      </c>
    </row>
    <row r="41" spans="1:7">
      <c r="A41" s="6" t="s">
        <v>1201</v>
      </c>
      <c r="B41" s="6" t="s">
        <v>1202</v>
      </c>
      <c r="C41" s="6" t="s">
        <v>1203</v>
      </c>
      <c r="D41" s="6" t="s">
        <v>1230</v>
      </c>
      <c r="E41" s="6" t="s">
        <v>1231</v>
      </c>
      <c r="F41" s="6" t="s">
        <v>1227</v>
      </c>
      <c r="G41" t="str">
        <f t="shared" si="0"/>
        <v>63100 / Non-Recurrent Payroll - NP Stf</v>
      </c>
    </row>
    <row r="42" spans="1:7">
      <c r="A42" s="6" t="s">
        <v>1201</v>
      </c>
      <c r="B42" s="6" t="s">
        <v>1202</v>
      </c>
      <c r="C42" s="6" t="s">
        <v>1203</v>
      </c>
      <c r="D42" s="6" t="s">
        <v>1232</v>
      </c>
      <c r="E42" s="6" t="s">
        <v>1233</v>
      </c>
      <c r="F42" s="6" t="s">
        <v>1234</v>
      </c>
      <c r="G42" t="str">
        <f t="shared" si="0"/>
        <v>63100 / Non-Recurrent Payroll - NP Stf</v>
      </c>
    </row>
    <row r="43" spans="1:7">
      <c r="A43" s="6" t="s">
        <v>1201</v>
      </c>
      <c r="B43" s="6" t="s">
        <v>1202</v>
      </c>
      <c r="C43" s="6" t="s">
        <v>1203</v>
      </c>
      <c r="D43" s="6" t="s">
        <v>1235</v>
      </c>
      <c r="E43" s="6" t="s">
        <v>1236</v>
      </c>
      <c r="F43" s="6" t="s">
        <v>1237</v>
      </c>
      <c r="G43" t="str">
        <f t="shared" si="0"/>
        <v>63100 / Non-Recurrent Payroll - NP Stf</v>
      </c>
    </row>
    <row r="44" spans="1:7">
      <c r="A44" s="6" t="s">
        <v>1238</v>
      </c>
      <c r="B44" s="6" t="s">
        <v>1239</v>
      </c>
      <c r="C44" s="6" t="s">
        <v>1240</v>
      </c>
      <c r="D44" s="6" t="s">
        <v>1241</v>
      </c>
      <c r="E44" s="6" t="s">
        <v>1242</v>
      </c>
      <c r="F44" s="6" t="s">
        <v>1243</v>
      </c>
      <c r="G44" t="str">
        <f t="shared" si="0"/>
        <v>63200 / Non-Recurrent Payroll - GS Stf</v>
      </c>
    </row>
    <row r="45" spans="1:7">
      <c r="A45" s="6" t="s">
        <v>1238</v>
      </c>
      <c r="B45" s="6" t="s">
        <v>1239</v>
      </c>
      <c r="C45" s="6" t="s">
        <v>1240</v>
      </c>
      <c r="D45" s="6" t="s">
        <v>1244</v>
      </c>
      <c r="E45" s="6" t="s">
        <v>1245</v>
      </c>
      <c r="F45" s="6" t="s">
        <v>1246</v>
      </c>
      <c r="G45" t="str">
        <f t="shared" si="0"/>
        <v>63200 / Non-Recurrent Payroll - GS Stf</v>
      </c>
    </row>
    <row r="46" spans="1:7">
      <c r="A46" s="6" t="s">
        <v>1238</v>
      </c>
      <c r="B46" s="6" t="s">
        <v>1239</v>
      </c>
      <c r="C46" s="6" t="s">
        <v>1240</v>
      </c>
      <c r="D46" s="6" t="s">
        <v>1247</v>
      </c>
      <c r="E46" s="6" t="s">
        <v>1248</v>
      </c>
      <c r="F46" s="6" t="s">
        <v>1212</v>
      </c>
      <c r="G46" t="str">
        <f t="shared" si="0"/>
        <v>63200 / Non-Recurrent Payroll - GS Stf</v>
      </c>
    </row>
    <row r="47" spans="1:7">
      <c r="A47" s="6" t="s">
        <v>1238</v>
      </c>
      <c r="B47" s="6" t="s">
        <v>1239</v>
      </c>
      <c r="C47" s="6" t="s">
        <v>1240</v>
      </c>
      <c r="D47" s="6" t="s">
        <v>1249</v>
      </c>
      <c r="E47" s="6" t="s">
        <v>1250</v>
      </c>
      <c r="F47" s="6" t="s">
        <v>1251</v>
      </c>
      <c r="G47" t="str">
        <f t="shared" si="0"/>
        <v>63200 / Non-Recurrent Payroll - GS Stf</v>
      </c>
    </row>
    <row r="48" spans="1:7">
      <c r="A48" s="6" t="s">
        <v>1238</v>
      </c>
      <c r="B48" s="6" t="s">
        <v>1239</v>
      </c>
      <c r="C48" s="6" t="s">
        <v>1240</v>
      </c>
      <c r="D48" s="6" t="s">
        <v>1252</v>
      </c>
      <c r="E48" s="6" t="s">
        <v>1253</v>
      </c>
      <c r="F48" s="6" t="s">
        <v>1167</v>
      </c>
      <c r="G48" t="str">
        <f t="shared" si="0"/>
        <v>63200 / Non-Recurrent Payroll - GS Stf</v>
      </c>
    </row>
    <row r="49" spans="1:7">
      <c r="A49" s="6" t="s">
        <v>1238</v>
      </c>
      <c r="B49" s="6" t="s">
        <v>1239</v>
      </c>
      <c r="C49" s="6" t="s">
        <v>1240</v>
      </c>
      <c r="D49" s="6" t="s">
        <v>1254</v>
      </c>
      <c r="E49" s="6" t="s">
        <v>1255</v>
      </c>
      <c r="F49" s="6" t="s">
        <v>1167</v>
      </c>
      <c r="G49" t="str">
        <f t="shared" si="0"/>
        <v>63200 / Non-Recurrent Payroll - GS Stf</v>
      </c>
    </row>
    <row r="50" spans="1:7">
      <c r="A50" s="6" t="s">
        <v>1238</v>
      </c>
      <c r="B50" s="6" t="s">
        <v>1239</v>
      </c>
      <c r="C50" s="6" t="s">
        <v>1240</v>
      </c>
      <c r="D50" s="6" t="s">
        <v>1256</v>
      </c>
      <c r="E50" s="6" t="s">
        <v>1257</v>
      </c>
      <c r="F50" s="6" t="s">
        <v>1258</v>
      </c>
      <c r="G50" t="str">
        <f t="shared" si="0"/>
        <v>63200 / Non-Recurrent Payroll - GS Stf</v>
      </c>
    </row>
    <row r="51" spans="1:7">
      <c r="A51" s="6" t="s">
        <v>1238</v>
      </c>
      <c r="B51" s="6" t="s">
        <v>1239</v>
      </c>
      <c r="C51" s="6" t="s">
        <v>1240</v>
      </c>
      <c r="D51" s="6" t="s">
        <v>1259</v>
      </c>
      <c r="E51" s="6" t="s">
        <v>1260</v>
      </c>
      <c r="F51" s="6" t="s">
        <v>1261</v>
      </c>
      <c r="G51" t="str">
        <f t="shared" si="0"/>
        <v>63200 / Non-Recurrent Payroll - GS Stf</v>
      </c>
    </row>
    <row r="52" spans="1:7">
      <c r="A52" s="6" t="s">
        <v>1238</v>
      </c>
      <c r="B52" s="6" t="s">
        <v>1239</v>
      </c>
      <c r="C52" s="6" t="s">
        <v>1240</v>
      </c>
      <c r="D52" s="6" t="s">
        <v>1262</v>
      </c>
      <c r="E52" s="6" t="s">
        <v>1263</v>
      </c>
      <c r="F52" s="6" t="s">
        <v>1264</v>
      </c>
      <c r="G52" t="str">
        <f t="shared" si="0"/>
        <v>63200 / Non-Recurrent Payroll - GS Stf</v>
      </c>
    </row>
    <row r="53" spans="1:7">
      <c r="A53" s="6" t="s">
        <v>1238</v>
      </c>
      <c r="B53" s="6" t="s">
        <v>1239</v>
      </c>
      <c r="C53" s="6" t="s">
        <v>1240</v>
      </c>
      <c r="D53" s="6" t="s">
        <v>1265</v>
      </c>
      <c r="E53" s="6" t="s">
        <v>1266</v>
      </c>
      <c r="F53" s="6" t="s">
        <v>1267</v>
      </c>
      <c r="G53" t="str">
        <f t="shared" si="0"/>
        <v>63200 / Non-Recurrent Payroll - GS Stf</v>
      </c>
    </row>
    <row r="54" spans="1:7">
      <c r="A54" s="6" t="s">
        <v>1238</v>
      </c>
      <c r="B54" s="6" t="s">
        <v>1239</v>
      </c>
      <c r="C54" s="6" t="s">
        <v>1240</v>
      </c>
      <c r="D54" s="6" t="s">
        <v>1268</v>
      </c>
      <c r="E54" s="6" t="s">
        <v>1269</v>
      </c>
      <c r="F54" s="6" t="s">
        <v>1270</v>
      </c>
      <c r="G54" t="str">
        <f t="shared" si="0"/>
        <v>63200 / Non-Recurrent Payroll - GS Stf</v>
      </c>
    </row>
    <row r="55" spans="1:7">
      <c r="A55" s="6" t="s">
        <v>1238</v>
      </c>
      <c r="B55" s="6" t="s">
        <v>1239</v>
      </c>
      <c r="C55" s="6" t="s">
        <v>1240</v>
      </c>
      <c r="D55" s="6" t="s">
        <v>1271</v>
      </c>
      <c r="E55" s="6" t="s">
        <v>1272</v>
      </c>
      <c r="F55" s="6" t="s">
        <v>1273</v>
      </c>
      <c r="G55" t="str">
        <f t="shared" si="0"/>
        <v>63200 / Non-Recurrent Payroll - GS Stf</v>
      </c>
    </row>
    <row r="56" spans="1:7">
      <c r="A56" s="6" t="s">
        <v>1274</v>
      </c>
      <c r="B56" s="6" t="s">
        <v>1275</v>
      </c>
      <c r="C56" s="6" t="s">
        <v>1276</v>
      </c>
      <c r="D56" s="6" t="s">
        <v>1277</v>
      </c>
      <c r="E56" s="6" t="s">
        <v>1278</v>
      </c>
      <c r="F56" s="6" t="s">
        <v>1279</v>
      </c>
      <c r="G56" t="str">
        <f t="shared" si="0"/>
        <v>63300 / Non-Recurrent Payroll - IP Stf</v>
      </c>
    </row>
    <row r="57" spans="1:7">
      <c r="A57" s="6" t="s">
        <v>1274</v>
      </c>
      <c r="B57" s="6" t="s">
        <v>1275</v>
      </c>
      <c r="C57" s="6" t="s">
        <v>1276</v>
      </c>
      <c r="D57" s="6" t="s">
        <v>1280</v>
      </c>
      <c r="E57" s="6" t="s">
        <v>1281</v>
      </c>
      <c r="F57" s="6" t="s">
        <v>1282</v>
      </c>
      <c r="G57" t="str">
        <f t="shared" si="0"/>
        <v>63300 / Non-Recurrent Payroll - IP Stf</v>
      </c>
    </row>
    <row r="58" spans="1:7">
      <c r="A58" s="6" t="s">
        <v>1274</v>
      </c>
      <c r="B58" s="6" t="s">
        <v>1275</v>
      </c>
      <c r="C58" s="6" t="s">
        <v>1276</v>
      </c>
      <c r="D58" s="6" t="s">
        <v>1283</v>
      </c>
      <c r="E58" s="6" t="s">
        <v>1284</v>
      </c>
      <c r="F58" s="6" t="s">
        <v>1285</v>
      </c>
      <c r="G58" t="str">
        <f t="shared" si="0"/>
        <v>63300 / Non-Recurrent Payroll - IP Stf</v>
      </c>
    </row>
    <row r="59" spans="1:7">
      <c r="A59" s="6" t="s">
        <v>1274</v>
      </c>
      <c r="B59" s="6" t="s">
        <v>1275</v>
      </c>
      <c r="C59" s="6" t="s">
        <v>1276</v>
      </c>
      <c r="D59" s="6" t="s">
        <v>1286</v>
      </c>
      <c r="E59" s="6" t="s">
        <v>1287</v>
      </c>
      <c r="F59" s="6" t="s">
        <v>1288</v>
      </c>
      <c r="G59" t="str">
        <f t="shared" si="0"/>
        <v>63300 / Non-Recurrent Payroll - IP Stf</v>
      </c>
    </row>
    <row r="60" spans="1:7">
      <c r="A60" s="6" t="s">
        <v>1274</v>
      </c>
      <c r="B60" s="6" t="s">
        <v>1275</v>
      </c>
      <c r="C60" s="6" t="s">
        <v>1276</v>
      </c>
      <c r="D60" s="6" t="s">
        <v>1289</v>
      </c>
      <c r="E60" s="6" t="s">
        <v>1290</v>
      </c>
      <c r="F60" s="6" t="s">
        <v>1291</v>
      </c>
      <c r="G60" t="str">
        <f t="shared" si="0"/>
        <v>63300 / Non-Recurrent Payroll - IP Stf</v>
      </c>
    </row>
    <row r="61" spans="1:7">
      <c r="A61" s="6" t="s">
        <v>1274</v>
      </c>
      <c r="B61" s="6" t="s">
        <v>1275</v>
      </c>
      <c r="C61" s="6" t="s">
        <v>1276</v>
      </c>
      <c r="D61" s="6" t="s">
        <v>1292</v>
      </c>
      <c r="E61" s="6" t="s">
        <v>1293</v>
      </c>
      <c r="F61" s="6" t="s">
        <v>1294</v>
      </c>
      <c r="G61" t="str">
        <f t="shared" si="0"/>
        <v>63300 / Non-Recurrent Payroll - IP Stf</v>
      </c>
    </row>
    <row r="62" spans="1:7">
      <c r="A62" s="6" t="s">
        <v>1274</v>
      </c>
      <c r="B62" s="6" t="s">
        <v>1275</v>
      </c>
      <c r="C62" s="6" t="s">
        <v>1276</v>
      </c>
      <c r="D62" s="6" t="s">
        <v>1295</v>
      </c>
      <c r="E62" s="6" t="s">
        <v>1296</v>
      </c>
      <c r="F62" s="6" t="s">
        <v>1297</v>
      </c>
      <c r="G62" t="str">
        <f t="shared" si="0"/>
        <v>63300 / Non-Recurrent Payroll - IP Stf</v>
      </c>
    </row>
    <row r="63" spans="1:7">
      <c r="A63" s="6" t="s">
        <v>1274</v>
      </c>
      <c r="B63" s="6" t="s">
        <v>1275</v>
      </c>
      <c r="C63" s="6" t="s">
        <v>1276</v>
      </c>
      <c r="D63" s="6" t="s">
        <v>1298</v>
      </c>
      <c r="E63" s="6" t="s">
        <v>1299</v>
      </c>
      <c r="F63" s="6" t="s">
        <v>1300</v>
      </c>
      <c r="G63" t="str">
        <f t="shared" si="0"/>
        <v>63300 / Non-Recurrent Payroll - IP Stf</v>
      </c>
    </row>
    <row r="64" spans="1:7">
      <c r="A64" s="6" t="s">
        <v>1274</v>
      </c>
      <c r="B64" s="6" t="s">
        <v>1275</v>
      </c>
      <c r="C64" s="6" t="s">
        <v>1276</v>
      </c>
      <c r="D64" s="6" t="s">
        <v>1301</v>
      </c>
      <c r="E64" s="6" t="s">
        <v>1302</v>
      </c>
      <c r="F64" s="6" t="s">
        <v>1303</v>
      </c>
      <c r="G64" t="str">
        <f t="shared" si="0"/>
        <v>63300 / Non-Recurrent Payroll - IP Stf</v>
      </c>
    </row>
    <row r="65" spans="1:7">
      <c r="A65" s="6" t="s">
        <v>1274</v>
      </c>
      <c r="B65" s="6" t="s">
        <v>1275</v>
      </c>
      <c r="C65" s="6" t="s">
        <v>1276</v>
      </c>
      <c r="D65" s="6" t="s">
        <v>1304</v>
      </c>
      <c r="E65" s="6" t="s">
        <v>1305</v>
      </c>
      <c r="F65" s="6" t="s">
        <v>1212</v>
      </c>
      <c r="G65" t="str">
        <f t="shared" si="0"/>
        <v>63300 / Non-Recurrent Payroll - IP Stf</v>
      </c>
    </row>
    <row r="66" spans="1:7">
      <c r="A66" s="6" t="s">
        <v>1274</v>
      </c>
      <c r="B66" s="6" t="s">
        <v>1275</v>
      </c>
      <c r="C66" s="6" t="s">
        <v>1276</v>
      </c>
      <c r="D66" s="6" t="s">
        <v>1306</v>
      </c>
      <c r="E66" s="6" t="s">
        <v>1307</v>
      </c>
      <c r="F66" s="6" t="s">
        <v>1308</v>
      </c>
      <c r="G66" t="str">
        <f t="shared" si="0"/>
        <v>63300 / Non-Recurrent Payroll - IP Stf</v>
      </c>
    </row>
    <row r="67" spans="1:7">
      <c r="A67" s="6" t="s">
        <v>1274</v>
      </c>
      <c r="B67" s="6" t="s">
        <v>1275</v>
      </c>
      <c r="C67" s="6" t="s">
        <v>1276</v>
      </c>
      <c r="D67" s="6" t="s">
        <v>1309</v>
      </c>
      <c r="E67" s="6" t="s">
        <v>1310</v>
      </c>
      <c r="F67" s="6" t="s">
        <v>1311</v>
      </c>
      <c r="G67" t="str">
        <f t="shared" ref="G67:G130" si="1">A67&amp;" / "&amp;B67</f>
        <v>63300 / Non-Recurrent Payroll - IP Stf</v>
      </c>
    </row>
    <row r="68" spans="1:7">
      <c r="A68" s="6" t="s">
        <v>1274</v>
      </c>
      <c r="B68" s="6" t="s">
        <v>1275</v>
      </c>
      <c r="C68" s="6" t="s">
        <v>1276</v>
      </c>
      <c r="D68" s="6" t="s">
        <v>1312</v>
      </c>
      <c r="E68" s="6" t="s">
        <v>1313</v>
      </c>
      <c r="F68" s="6" t="s">
        <v>1314</v>
      </c>
      <c r="G68" t="str">
        <f t="shared" si="1"/>
        <v>63300 / Non-Recurrent Payroll - IP Stf</v>
      </c>
    </row>
    <row r="69" spans="1:7">
      <c r="A69" s="6" t="s">
        <v>1274</v>
      </c>
      <c r="B69" s="6" t="s">
        <v>1275</v>
      </c>
      <c r="C69" s="6" t="s">
        <v>1276</v>
      </c>
      <c r="D69" s="6" t="s">
        <v>1315</v>
      </c>
      <c r="E69" s="6" t="s">
        <v>1316</v>
      </c>
      <c r="F69" s="6" t="s">
        <v>1317</v>
      </c>
      <c r="G69" t="str">
        <f t="shared" si="1"/>
        <v>63300 / Non-Recurrent Payroll - IP Stf</v>
      </c>
    </row>
    <row r="70" spans="1:7">
      <c r="A70" s="6" t="s">
        <v>1274</v>
      </c>
      <c r="B70" s="6" t="s">
        <v>1275</v>
      </c>
      <c r="C70" s="6" t="s">
        <v>1276</v>
      </c>
      <c r="D70" s="6" t="s">
        <v>1318</v>
      </c>
      <c r="E70" s="6" t="s">
        <v>1319</v>
      </c>
      <c r="F70" s="6" t="s">
        <v>1320</v>
      </c>
      <c r="G70" t="str">
        <f t="shared" si="1"/>
        <v>63300 / Non-Recurrent Payroll - IP Stf</v>
      </c>
    </row>
    <row r="71" spans="1:7">
      <c r="A71" s="6" t="s">
        <v>1274</v>
      </c>
      <c r="B71" s="6" t="s">
        <v>1275</v>
      </c>
      <c r="C71" s="6" t="s">
        <v>1276</v>
      </c>
      <c r="D71" s="6" t="s">
        <v>1321</v>
      </c>
      <c r="E71" s="6" t="s">
        <v>1322</v>
      </c>
      <c r="F71" s="6" t="s">
        <v>1323</v>
      </c>
      <c r="G71" t="str">
        <f t="shared" si="1"/>
        <v>63300 / Non-Recurrent Payroll - IP Stf</v>
      </c>
    </row>
    <row r="72" spans="1:7">
      <c r="A72" s="6" t="s">
        <v>1324</v>
      </c>
      <c r="B72" s="6" t="s">
        <v>1325</v>
      </c>
      <c r="C72" s="6" t="s">
        <v>1326</v>
      </c>
      <c r="D72" s="6" t="s">
        <v>1327</v>
      </c>
      <c r="E72" s="6" t="s">
        <v>1325</v>
      </c>
      <c r="F72" s="6" t="s">
        <v>1328</v>
      </c>
      <c r="G72" t="str">
        <f t="shared" si="1"/>
        <v>63400 / Learning Costs</v>
      </c>
    </row>
    <row r="73" spans="1:7">
      <c r="A73" s="6" t="s">
        <v>1324</v>
      </c>
      <c r="B73" s="6" t="s">
        <v>1325</v>
      </c>
      <c r="C73" s="6" t="s">
        <v>1326</v>
      </c>
      <c r="D73" s="6" t="s">
        <v>1329</v>
      </c>
      <c r="E73" s="6" t="s">
        <v>1330</v>
      </c>
      <c r="F73" s="6" t="s">
        <v>1331</v>
      </c>
      <c r="G73" t="str">
        <f t="shared" si="1"/>
        <v>63400 / Learning Costs</v>
      </c>
    </row>
    <row r="74" spans="1:7">
      <c r="A74" s="6" t="s">
        <v>1324</v>
      </c>
      <c r="B74" s="6" t="s">
        <v>1325</v>
      </c>
      <c r="C74" s="6" t="s">
        <v>1326</v>
      </c>
      <c r="D74" s="6" t="s">
        <v>1332</v>
      </c>
      <c r="E74" s="6" t="s">
        <v>1333</v>
      </c>
      <c r="F74" s="6" t="s">
        <v>1334</v>
      </c>
      <c r="G74" t="str">
        <f t="shared" si="1"/>
        <v>63400 / Learning Costs</v>
      </c>
    </row>
    <row r="75" spans="1:7">
      <c r="A75" s="6" t="s">
        <v>1324</v>
      </c>
      <c r="B75" s="6" t="s">
        <v>1325</v>
      </c>
      <c r="C75" s="6" t="s">
        <v>1326</v>
      </c>
      <c r="D75" s="6" t="s">
        <v>1335</v>
      </c>
      <c r="E75" s="6" t="s">
        <v>1336</v>
      </c>
      <c r="F75" s="6" t="s">
        <v>1337</v>
      </c>
      <c r="G75" t="str">
        <f t="shared" si="1"/>
        <v>63400 / Learning Costs</v>
      </c>
    </row>
    <row r="76" spans="1:7">
      <c r="A76" s="6" t="s">
        <v>1338</v>
      </c>
      <c r="B76" s="6" t="s">
        <v>1339</v>
      </c>
      <c r="C76" s="6" t="s">
        <v>1340</v>
      </c>
      <c r="D76" s="6" t="s">
        <v>1341</v>
      </c>
      <c r="E76" s="6" t="s">
        <v>1342</v>
      </c>
      <c r="F76" s="6" t="s">
        <v>1343</v>
      </c>
      <c r="G76" t="str">
        <f t="shared" si="1"/>
        <v>63500 / Insurance and Security Costs</v>
      </c>
    </row>
    <row r="77" spans="1:7">
      <c r="A77" s="6" t="s">
        <v>1338</v>
      </c>
      <c r="B77" s="6" t="s">
        <v>1339</v>
      </c>
      <c r="C77" s="6" t="s">
        <v>1340</v>
      </c>
      <c r="D77" s="6" t="s">
        <v>1344</v>
      </c>
      <c r="E77" s="6" t="s">
        <v>1345</v>
      </c>
      <c r="F77" s="6" t="s">
        <v>1346</v>
      </c>
      <c r="G77" t="str">
        <f t="shared" si="1"/>
        <v>63500 / Insurance and Security Costs</v>
      </c>
    </row>
    <row r="78" spans="1:7">
      <c r="A78" s="6" t="s">
        <v>1338</v>
      </c>
      <c r="B78" s="6" t="s">
        <v>1339</v>
      </c>
      <c r="C78" s="6" t="s">
        <v>1340</v>
      </c>
      <c r="D78" s="6" t="s">
        <v>1347</v>
      </c>
      <c r="E78" s="6" t="s">
        <v>1348</v>
      </c>
      <c r="F78" s="6" t="s">
        <v>1349</v>
      </c>
      <c r="G78" t="str">
        <f t="shared" si="1"/>
        <v>63500 / Insurance and Security Costs</v>
      </c>
    </row>
    <row r="79" spans="1:7">
      <c r="A79" s="6" t="s">
        <v>1338</v>
      </c>
      <c r="B79" s="6" t="s">
        <v>1339</v>
      </c>
      <c r="C79" s="6" t="s">
        <v>1340</v>
      </c>
      <c r="D79" s="6" t="s">
        <v>1350</v>
      </c>
      <c r="E79" s="6" t="s">
        <v>1351</v>
      </c>
      <c r="F79" s="6" t="s">
        <v>1352</v>
      </c>
      <c r="G79" t="str">
        <f t="shared" si="1"/>
        <v>63500 / Insurance and Security Costs</v>
      </c>
    </row>
    <row r="80" spans="1:7">
      <c r="A80" s="6" t="s">
        <v>1338</v>
      </c>
      <c r="B80" s="6" t="s">
        <v>1339</v>
      </c>
      <c r="C80" s="6" t="s">
        <v>1340</v>
      </c>
      <c r="D80" s="6" t="s">
        <v>1353</v>
      </c>
      <c r="E80" s="6" t="s">
        <v>1354</v>
      </c>
      <c r="F80" s="6" t="s">
        <v>1355</v>
      </c>
      <c r="G80" t="str">
        <f t="shared" si="1"/>
        <v>63500 / Insurance and Security Costs</v>
      </c>
    </row>
    <row r="81" spans="1:7">
      <c r="A81" s="6" t="s">
        <v>1338</v>
      </c>
      <c r="B81" s="6" t="s">
        <v>1339</v>
      </c>
      <c r="C81" s="6" t="s">
        <v>1340</v>
      </c>
      <c r="D81" s="6" t="s">
        <v>1356</v>
      </c>
      <c r="E81" s="6" t="s">
        <v>1357</v>
      </c>
      <c r="F81" s="6" t="s">
        <v>1358</v>
      </c>
      <c r="G81" t="str">
        <f t="shared" si="1"/>
        <v>63500 / Insurance and Security Costs</v>
      </c>
    </row>
    <row r="82" spans="1:7">
      <c r="A82" s="6" t="s">
        <v>1338</v>
      </c>
      <c r="B82" s="6" t="s">
        <v>1339</v>
      </c>
      <c r="C82" s="6" t="s">
        <v>1340</v>
      </c>
      <c r="D82" s="6" t="s">
        <v>1359</v>
      </c>
      <c r="E82" s="6" t="s">
        <v>1360</v>
      </c>
      <c r="F82" s="6" t="s">
        <v>1361</v>
      </c>
      <c r="G82" t="str">
        <f t="shared" si="1"/>
        <v>63500 / Insurance and Security Costs</v>
      </c>
    </row>
    <row r="83" spans="1:7">
      <c r="A83" s="6" t="s">
        <v>1338</v>
      </c>
      <c r="B83" s="6" t="s">
        <v>1339</v>
      </c>
      <c r="C83" s="6" t="s">
        <v>1340</v>
      </c>
      <c r="D83" s="6" t="s">
        <v>1362</v>
      </c>
      <c r="E83" s="6" t="s">
        <v>1363</v>
      </c>
      <c r="F83" s="6" t="s">
        <v>1364</v>
      </c>
      <c r="G83" t="str">
        <f t="shared" si="1"/>
        <v>63500 / Insurance and Security Costs</v>
      </c>
    </row>
    <row r="84" spans="1:7">
      <c r="A84" s="6" t="s">
        <v>1338</v>
      </c>
      <c r="B84" s="6" t="s">
        <v>1339</v>
      </c>
      <c r="C84" s="6" t="s">
        <v>1340</v>
      </c>
      <c r="D84" s="6" t="s">
        <v>1365</v>
      </c>
      <c r="E84" s="6" t="s">
        <v>1366</v>
      </c>
      <c r="F84" s="6" t="s">
        <v>1367</v>
      </c>
      <c r="G84" t="str">
        <f t="shared" si="1"/>
        <v>63500 / Insurance and Security Costs</v>
      </c>
    </row>
    <row r="85" spans="1:7">
      <c r="A85" s="6" t="s">
        <v>1368</v>
      </c>
      <c r="B85" s="6" t="s">
        <v>1369</v>
      </c>
      <c r="C85" s="6" t="s">
        <v>1370</v>
      </c>
      <c r="D85" s="6" t="s">
        <v>1371</v>
      </c>
      <c r="E85" s="6" t="s">
        <v>1372</v>
      </c>
      <c r="F85" s="6" t="s">
        <v>1373</v>
      </c>
      <c r="G85" t="str">
        <f t="shared" si="1"/>
        <v>64100 / Staff Mgmt Costs-NP Staff</v>
      </c>
    </row>
    <row r="86" spans="1:7">
      <c r="A86" s="6" t="s">
        <v>1368</v>
      </c>
      <c r="B86" s="6" t="s">
        <v>1369</v>
      </c>
      <c r="C86" s="6" t="s">
        <v>1370</v>
      </c>
      <c r="D86" s="6" t="s">
        <v>1374</v>
      </c>
      <c r="E86" s="6" t="s">
        <v>1375</v>
      </c>
      <c r="F86" s="6" t="s">
        <v>1376</v>
      </c>
      <c r="G86" t="str">
        <f t="shared" si="1"/>
        <v>64100 / Staff Mgmt Costs-NP Staff</v>
      </c>
    </row>
    <row r="87" spans="1:7">
      <c r="A87" s="6" t="s">
        <v>1368</v>
      </c>
      <c r="B87" s="6" t="s">
        <v>1369</v>
      </c>
      <c r="C87" s="6" t="s">
        <v>1370</v>
      </c>
      <c r="D87" s="6" t="s">
        <v>1377</v>
      </c>
      <c r="E87" s="6" t="s">
        <v>1378</v>
      </c>
      <c r="F87" s="6" t="s">
        <v>1379</v>
      </c>
      <c r="G87" t="str">
        <f t="shared" si="1"/>
        <v>64100 / Staff Mgmt Costs-NP Staff</v>
      </c>
    </row>
    <row r="88" spans="1:7">
      <c r="A88" s="6" t="s">
        <v>1368</v>
      </c>
      <c r="B88" s="6" t="s">
        <v>1369</v>
      </c>
      <c r="C88" s="6" t="s">
        <v>1370</v>
      </c>
      <c r="D88" s="6" t="s">
        <v>1380</v>
      </c>
      <c r="E88" s="6" t="s">
        <v>1381</v>
      </c>
      <c r="F88" s="6" t="s">
        <v>1382</v>
      </c>
      <c r="G88" t="str">
        <f t="shared" si="1"/>
        <v>64100 / Staff Mgmt Costs-NP Staff</v>
      </c>
    </row>
    <row r="89" spans="1:7">
      <c r="A89" s="6" t="s">
        <v>1383</v>
      </c>
      <c r="B89" s="6" t="s">
        <v>1384</v>
      </c>
      <c r="C89" s="6" t="s">
        <v>1385</v>
      </c>
      <c r="D89" s="6" t="s">
        <v>1386</v>
      </c>
      <c r="E89" s="6" t="s">
        <v>1387</v>
      </c>
      <c r="F89" s="6" t="s">
        <v>1388</v>
      </c>
      <c r="G89" t="str">
        <f t="shared" si="1"/>
        <v>64200 / Staff Mgmt Costs - GS Staff</v>
      </c>
    </row>
    <row r="90" spans="1:7">
      <c r="A90" s="6" t="s">
        <v>1383</v>
      </c>
      <c r="B90" s="6" t="s">
        <v>1384</v>
      </c>
      <c r="C90" s="6" t="s">
        <v>1385</v>
      </c>
      <c r="D90" s="6" t="s">
        <v>1389</v>
      </c>
      <c r="E90" s="6" t="s">
        <v>1390</v>
      </c>
      <c r="F90" s="6" t="s">
        <v>1391</v>
      </c>
      <c r="G90" t="str">
        <f t="shared" si="1"/>
        <v>64200 / Staff Mgmt Costs - GS Staff</v>
      </c>
    </row>
    <row r="91" spans="1:7">
      <c r="A91" s="6" t="s">
        <v>1383</v>
      </c>
      <c r="B91" s="6" t="s">
        <v>1384</v>
      </c>
      <c r="C91" s="6" t="s">
        <v>1385</v>
      </c>
      <c r="D91" s="6" t="s">
        <v>1392</v>
      </c>
      <c r="E91" s="6" t="s">
        <v>1393</v>
      </c>
      <c r="F91" s="6" t="s">
        <v>1379</v>
      </c>
      <c r="G91" t="str">
        <f t="shared" si="1"/>
        <v>64200 / Staff Mgmt Costs - GS Staff</v>
      </c>
    </row>
    <row r="92" spans="1:7">
      <c r="A92" s="6" t="s">
        <v>1383</v>
      </c>
      <c r="B92" s="6" t="s">
        <v>1384</v>
      </c>
      <c r="C92" s="6" t="s">
        <v>1385</v>
      </c>
      <c r="D92" s="6" t="s">
        <v>1394</v>
      </c>
      <c r="E92" s="6" t="s">
        <v>1395</v>
      </c>
      <c r="F92" s="6" t="s">
        <v>1396</v>
      </c>
      <c r="G92" t="str">
        <f t="shared" si="1"/>
        <v>64200 / Staff Mgmt Costs - GS Staff</v>
      </c>
    </row>
    <row r="93" spans="1:7">
      <c r="A93" s="6" t="s">
        <v>1397</v>
      </c>
      <c r="B93" s="6" t="s">
        <v>1398</v>
      </c>
      <c r="C93" s="6" t="s">
        <v>1385</v>
      </c>
      <c r="D93" s="6" t="s">
        <v>1399</v>
      </c>
      <c r="E93" s="6" t="s">
        <v>1400</v>
      </c>
      <c r="F93" s="6" t="s">
        <v>1401</v>
      </c>
      <c r="G93" t="str">
        <f t="shared" si="1"/>
        <v>64300 / Staff Mgmt Costs - IP Staff</v>
      </c>
    </row>
    <row r="94" spans="1:7">
      <c r="A94" s="6" t="s">
        <v>1397</v>
      </c>
      <c r="B94" s="6" t="s">
        <v>1398</v>
      </c>
      <c r="C94" s="6" t="s">
        <v>1385</v>
      </c>
      <c r="D94" s="6" t="s">
        <v>1402</v>
      </c>
      <c r="E94" s="6" t="s">
        <v>1403</v>
      </c>
      <c r="F94" s="6" t="s">
        <v>1404</v>
      </c>
      <c r="G94" t="str">
        <f t="shared" si="1"/>
        <v>64300 / Staff Mgmt Costs - IP Staff</v>
      </c>
    </row>
    <row r="95" spans="1:7">
      <c r="A95" s="6" t="s">
        <v>1397</v>
      </c>
      <c r="B95" s="6" t="s">
        <v>1398</v>
      </c>
      <c r="C95" s="6" t="s">
        <v>1385</v>
      </c>
      <c r="D95" s="6" t="s">
        <v>1405</v>
      </c>
      <c r="E95" s="6" t="s">
        <v>1406</v>
      </c>
      <c r="F95" s="6" t="s">
        <v>1407</v>
      </c>
      <c r="G95" t="str">
        <f t="shared" si="1"/>
        <v>64300 / Staff Mgmt Costs - IP Staff</v>
      </c>
    </row>
    <row r="96" spans="1:7">
      <c r="A96" s="6" t="s">
        <v>1397</v>
      </c>
      <c r="B96" s="6" t="s">
        <v>1398</v>
      </c>
      <c r="C96" s="6" t="s">
        <v>1385</v>
      </c>
      <c r="D96" s="6" t="s">
        <v>1408</v>
      </c>
      <c r="E96" s="6" t="s">
        <v>1409</v>
      </c>
      <c r="F96" s="6" t="s">
        <v>1410</v>
      </c>
      <c r="G96" t="str">
        <f t="shared" si="1"/>
        <v>64300 / Staff Mgmt Costs - IP Staff</v>
      </c>
    </row>
    <row r="97" spans="1:7">
      <c r="A97" s="6" t="s">
        <v>1397</v>
      </c>
      <c r="B97" s="6" t="s">
        <v>1398</v>
      </c>
      <c r="C97" s="6" t="s">
        <v>1385</v>
      </c>
      <c r="D97" s="6" t="s">
        <v>1411</v>
      </c>
      <c r="E97" s="6" t="s">
        <v>1412</v>
      </c>
      <c r="F97" s="6" t="s">
        <v>1413</v>
      </c>
      <c r="G97" t="str">
        <f t="shared" si="1"/>
        <v>64300 / Staff Mgmt Costs - IP Staff</v>
      </c>
    </row>
    <row r="98" spans="1:7">
      <c r="A98" s="6" t="s">
        <v>1397</v>
      </c>
      <c r="B98" s="6" t="s">
        <v>1398</v>
      </c>
      <c r="C98" s="6" t="s">
        <v>1385</v>
      </c>
      <c r="D98" s="6" t="s">
        <v>1414</v>
      </c>
      <c r="E98" s="6" t="s">
        <v>1415</v>
      </c>
      <c r="F98" s="6" t="s">
        <v>1416</v>
      </c>
      <c r="G98" t="str">
        <f t="shared" si="1"/>
        <v>64300 / Staff Mgmt Costs - IP Staff</v>
      </c>
    </row>
    <row r="99" spans="1:7">
      <c r="A99" s="6" t="s">
        <v>1397</v>
      </c>
      <c r="B99" s="6" t="s">
        <v>1398</v>
      </c>
      <c r="C99" s="6" t="s">
        <v>1385</v>
      </c>
      <c r="D99" s="6" t="s">
        <v>1417</v>
      </c>
      <c r="E99" s="6" t="s">
        <v>1418</v>
      </c>
      <c r="F99" s="6" t="s">
        <v>1419</v>
      </c>
      <c r="G99" t="str">
        <f t="shared" si="1"/>
        <v>64300 / Staff Mgmt Costs - IP Staff</v>
      </c>
    </row>
    <row r="100" spans="1:7">
      <c r="A100" s="6" t="s">
        <v>1397</v>
      </c>
      <c r="B100" s="6" t="s">
        <v>1398</v>
      </c>
      <c r="C100" s="6" t="s">
        <v>1385</v>
      </c>
      <c r="D100" s="6" t="s">
        <v>1420</v>
      </c>
      <c r="E100" s="6" t="s">
        <v>1421</v>
      </c>
      <c r="F100" s="6" t="s">
        <v>1422</v>
      </c>
      <c r="G100" t="str">
        <f t="shared" si="1"/>
        <v>64300 / Staff Mgmt Costs - IP Staff</v>
      </c>
    </row>
    <row r="101" spans="1:7">
      <c r="A101" s="6" t="s">
        <v>1397</v>
      </c>
      <c r="B101" s="6" t="s">
        <v>1398</v>
      </c>
      <c r="C101" s="6" t="s">
        <v>1385</v>
      </c>
      <c r="D101" s="6" t="s">
        <v>1423</v>
      </c>
      <c r="E101" s="6" t="s">
        <v>1424</v>
      </c>
      <c r="F101" s="6" t="s">
        <v>1425</v>
      </c>
      <c r="G101" t="str">
        <f t="shared" si="1"/>
        <v>64300 / Staff Mgmt Costs - IP Staff</v>
      </c>
    </row>
    <row r="102" spans="1:7">
      <c r="A102" s="6" t="s">
        <v>1397</v>
      </c>
      <c r="B102" s="6" t="s">
        <v>1398</v>
      </c>
      <c r="C102" s="6" t="s">
        <v>1385</v>
      </c>
      <c r="D102" s="6" t="s">
        <v>1426</v>
      </c>
      <c r="E102" s="6" t="s">
        <v>1427</v>
      </c>
      <c r="F102" s="6" t="s">
        <v>1428</v>
      </c>
      <c r="G102" t="str">
        <f t="shared" si="1"/>
        <v>64300 / Staff Mgmt Costs - IP Staff</v>
      </c>
    </row>
    <row r="103" spans="1:7">
      <c r="A103" s="6" t="s">
        <v>1397</v>
      </c>
      <c r="B103" s="6" t="s">
        <v>1398</v>
      </c>
      <c r="C103" s="6" t="s">
        <v>1385</v>
      </c>
      <c r="D103" s="6" t="s">
        <v>1429</v>
      </c>
      <c r="E103" s="6" t="s">
        <v>1430</v>
      </c>
      <c r="F103" s="6" t="s">
        <v>1431</v>
      </c>
      <c r="G103" t="str">
        <f t="shared" si="1"/>
        <v>64300 / Staff Mgmt Costs - IP Staff</v>
      </c>
    </row>
    <row r="104" spans="1:7">
      <c r="A104" s="6" t="s">
        <v>1397</v>
      </c>
      <c r="B104" s="6" t="s">
        <v>1398</v>
      </c>
      <c r="C104" s="6" t="s">
        <v>1385</v>
      </c>
      <c r="D104" s="6" t="s">
        <v>1432</v>
      </c>
      <c r="E104" s="6" t="s">
        <v>1433</v>
      </c>
      <c r="F104" s="6" t="s">
        <v>1434</v>
      </c>
      <c r="G104" t="str">
        <f t="shared" si="1"/>
        <v>64300 / Staff Mgmt Costs - IP Staff</v>
      </c>
    </row>
    <row r="105" spans="1:7">
      <c r="A105" s="6" t="s">
        <v>1397</v>
      </c>
      <c r="B105" s="6" t="s">
        <v>1398</v>
      </c>
      <c r="C105" s="6" t="s">
        <v>1385</v>
      </c>
      <c r="D105" s="6" t="s">
        <v>1435</v>
      </c>
      <c r="E105" s="6" t="s">
        <v>1436</v>
      </c>
      <c r="F105" s="6" t="s">
        <v>1437</v>
      </c>
      <c r="G105" t="str">
        <f t="shared" si="1"/>
        <v>64300 / Staff Mgmt Costs - IP Staff</v>
      </c>
    </row>
    <row r="106" spans="1:7">
      <c r="A106" s="6" t="s">
        <v>1397</v>
      </c>
      <c r="B106" s="6" t="s">
        <v>1398</v>
      </c>
      <c r="C106" s="6" t="s">
        <v>1385</v>
      </c>
      <c r="D106" s="6" t="s">
        <v>1438</v>
      </c>
      <c r="E106" s="6" t="s">
        <v>1439</v>
      </c>
      <c r="F106" s="6" t="s">
        <v>1440</v>
      </c>
      <c r="G106" t="str">
        <f t="shared" si="1"/>
        <v>64300 / Staff Mgmt Costs - IP Staff</v>
      </c>
    </row>
    <row r="107" spans="1:7">
      <c r="A107" s="6" t="s">
        <v>1397</v>
      </c>
      <c r="B107" s="6" t="s">
        <v>1398</v>
      </c>
      <c r="C107" s="6" t="s">
        <v>1385</v>
      </c>
      <c r="D107" s="6" t="s">
        <v>1441</v>
      </c>
      <c r="E107" s="6" t="s">
        <v>1442</v>
      </c>
      <c r="F107" s="6" t="s">
        <v>1443</v>
      </c>
      <c r="G107" t="str">
        <f t="shared" si="1"/>
        <v>64300 / Staff Mgmt Costs - IP Staff</v>
      </c>
    </row>
    <row r="108" spans="1:7">
      <c r="A108" s="6" t="s">
        <v>1397</v>
      </c>
      <c r="B108" s="6" t="s">
        <v>1398</v>
      </c>
      <c r="C108" s="6" t="s">
        <v>1385</v>
      </c>
      <c r="D108" s="6" t="s">
        <v>1444</v>
      </c>
      <c r="E108" s="6" t="s">
        <v>1445</v>
      </c>
      <c r="F108" s="6" t="s">
        <v>1358</v>
      </c>
      <c r="G108" t="str">
        <f t="shared" si="1"/>
        <v>64300 / Staff Mgmt Costs - IP Staff</v>
      </c>
    </row>
    <row r="109" spans="1:7">
      <c r="A109" s="6" t="s">
        <v>1397</v>
      </c>
      <c r="B109" s="6" t="s">
        <v>1398</v>
      </c>
      <c r="C109" s="6" t="s">
        <v>1385</v>
      </c>
      <c r="D109" s="6" t="s">
        <v>1446</v>
      </c>
      <c r="E109" s="6" t="s">
        <v>1447</v>
      </c>
      <c r="F109" s="6" t="s">
        <v>1448</v>
      </c>
      <c r="G109" t="str">
        <f t="shared" si="1"/>
        <v>64300 / Staff Mgmt Costs - IP Staff</v>
      </c>
    </row>
    <row r="110" spans="1:7">
      <c r="A110" s="6" t="s">
        <v>1397</v>
      </c>
      <c r="B110" s="6" t="s">
        <v>1398</v>
      </c>
      <c r="C110" s="6" t="s">
        <v>1385</v>
      </c>
      <c r="D110" s="6" t="s">
        <v>1449</v>
      </c>
      <c r="E110" s="6" t="s">
        <v>1450</v>
      </c>
      <c r="F110" s="6" t="s">
        <v>1451</v>
      </c>
      <c r="G110" t="str">
        <f t="shared" si="1"/>
        <v>64300 / Staff Mgmt Costs - IP Staff</v>
      </c>
    </row>
    <row r="111" spans="1:7">
      <c r="A111" s="6" t="s">
        <v>1452</v>
      </c>
      <c r="B111" s="6" t="s">
        <v>1453</v>
      </c>
      <c r="C111" s="6" t="s">
        <v>1454</v>
      </c>
      <c r="D111" s="6" t="s">
        <v>1455</v>
      </c>
      <c r="E111" s="6" t="s">
        <v>1456</v>
      </c>
      <c r="F111" s="6" t="s">
        <v>1457</v>
      </c>
      <c r="G111" t="str">
        <f t="shared" si="1"/>
        <v>65100 / After Service Insurance</v>
      </c>
    </row>
    <row r="112" spans="1:7">
      <c r="A112" s="6" t="s">
        <v>1452</v>
      </c>
      <c r="B112" s="6" t="s">
        <v>1453</v>
      </c>
      <c r="C112" s="6" t="s">
        <v>1454</v>
      </c>
      <c r="D112" s="6" t="s">
        <v>1458</v>
      </c>
      <c r="E112" s="6" t="s">
        <v>1459</v>
      </c>
      <c r="F112" s="6" t="s">
        <v>1459</v>
      </c>
      <c r="G112" t="str">
        <f t="shared" si="1"/>
        <v>65100 / After Service Insurance</v>
      </c>
    </row>
    <row r="113" spans="1:7">
      <c r="A113" s="6" t="s">
        <v>1452</v>
      </c>
      <c r="B113" s="6" t="s">
        <v>1453</v>
      </c>
      <c r="C113" s="6" t="s">
        <v>1454</v>
      </c>
      <c r="D113" s="6" t="s">
        <v>1460</v>
      </c>
      <c r="E113" s="6" t="s">
        <v>1461</v>
      </c>
      <c r="F113" s="6" t="s">
        <v>1462</v>
      </c>
      <c r="G113" t="str">
        <f t="shared" si="1"/>
        <v>65100 / After Service Insurance</v>
      </c>
    </row>
    <row r="114" spans="1:7">
      <c r="A114" s="6" t="s">
        <v>1452</v>
      </c>
      <c r="B114" s="6" t="s">
        <v>1453</v>
      </c>
      <c r="C114" s="6" t="s">
        <v>1454</v>
      </c>
      <c r="D114" s="6" t="s">
        <v>1463</v>
      </c>
      <c r="E114" s="6" t="s">
        <v>1464</v>
      </c>
      <c r="F114" s="6" t="s">
        <v>1465</v>
      </c>
      <c r="G114" t="str">
        <f t="shared" si="1"/>
        <v>65100 / After Service Insurance</v>
      </c>
    </row>
    <row r="115" spans="1:7">
      <c r="A115" s="6" t="s">
        <v>1452</v>
      </c>
      <c r="B115" s="6" t="s">
        <v>1453</v>
      </c>
      <c r="C115" s="6" t="s">
        <v>1454</v>
      </c>
      <c r="D115" s="6" t="s">
        <v>1466</v>
      </c>
      <c r="E115" s="6" t="s">
        <v>1467</v>
      </c>
      <c r="F115" s="6" t="s">
        <v>1468</v>
      </c>
      <c r="G115" t="str">
        <f t="shared" si="1"/>
        <v>65100 / After Service Insurance</v>
      </c>
    </row>
    <row r="116" spans="1:7">
      <c r="A116" s="6" t="s">
        <v>1452</v>
      </c>
      <c r="B116" s="6" t="s">
        <v>1453</v>
      </c>
      <c r="C116" s="6" t="s">
        <v>1454</v>
      </c>
      <c r="D116" s="6" t="s">
        <v>1469</v>
      </c>
      <c r="E116" s="6" t="s">
        <v>1470</v>
      </c>
      <c r="F116" s="6" t="s">
        <v>1471</v>
      </c>
      <c r="G116" t="str">
        <f t="shared" si="1"/>
        <v>65100 / After Service Insurance</v>
      </c>
    </row>
    <row r="117" spans="1:7">
      <c r="A117" s="6" t="s">
        <v>1452</v>
      </c>
      <c r="B117" s="6" t="s">
        <v>1453</v>
      </c>
      <c r="C117" s="6" t="s">
        <v>1454</v>
      </c>
      <c r="D117" s="6" t="s">
        <v>1472</v>
      </c>
      <c r="E117" s="6" t="s">
        <v>1473</v>
      </c>
      <c r="F117" s="6" t="s">
        <v>1474</v>
      </c>
      <c r="G117" t="str">
        <f t="shared" si="1"/>
        <v>65100 / After Service Insurance</v>
      </c>
    </row>
    <row r="118" spans="1:7">
      <c r="A118" s="6" t="s">
        <v>1452</v>
      </c>
      <c r="B118" s="6" t="s">
        <v>1453</v>
      </c>
      <c r="C118" s="6" t="s">
        <v>1454</v>
      </c>
      <c r="D118" s="6" t="s">
        <v>1475</v>
      </c>
      <c r="E118" s="6" t="s">
        <v>1476</v>
      </c>
      <c r="F118" s="6" t="s">
        <v>1477</v>
      </c>
      <c r="G118" t="str">
        <f t="shared" si="1"/>
        <v>65100 / After Service Insurance</v>
      </c>
    </row>
    <row r="119" spans="1:7">
      <c r="A119" s="6" t="s">
        <v>1452</v>
      </c>
      <c r="B119" s="6" t="s">
        <v>1453</v>
      </c>
      <c r="C119" s="6" t="s">
        <v>1454</v>
      </c>
      <c r="D119" s="6" t="s">
        <v>1478</v>
      </c>
      <c r="E119" s="6" t="s">
        <v>1479</v>
      </c>
      <c r="F119" s="6" t="s">
        <v>1480</v>
      </c>
      <c r="G119" t="str">
        <f t="shared" si="1"/>
        <v>65100 / After Service Insurance</v>
      </c>
    </row>
    <row r="120" spans="1:7">
      <c r="A120" s="6" t="s">
        <v>1481</v>
      </c>
      <c r="B120" s="6" t="s">
        <v>1482</v>
      </c>
      <c r="C120" s="6" t="s">
        <v>1483</v>
      </c>
      <c r="D120" s="6" t="s">
        <v>1484</v>
      </c>
      <c r="E120" s="6" t="s">
        <v>1482</v>
      </c>
      <c r="F120" s="6" t="s">
        <v>1485</v>
      </c>
      <c r="G120" t="str">
        <f t="shared" si="1"/>
        <v>66100 / Overtime &amp; Night Differential</v>
      </c>
    </row>
    <row r="121" spans="1:7">
      <c r="A121" s="6" t="s">
        <v>1486</v>
      </c>
      <c r="B121" s="6" t="s">
        <v>1487</v>
      </c>
      <c r="C121" s="6" t="s">
        <v>1488</v>
      </c>
      <c r="D121" s="6" t="s">
        <v>1489</v>
      </c>
      <c r="E121" s="6" t="s">
        <v>1490</v>
      </c>
      <c r="F121" s="6" t="s">
        <v>1491</v>
      </c>
      <c r="G121" t="str">
        <f t="shared" si="1"/>
        <v>71100 / ALD Employee Costs</v>
      </c>
    </row>
    <row r="122" spans="1:7">
      <c r="A122" s="6" t="s">
        <v>1486</v>
      </c>
      <c r="B122" s="6" t="s">
        <v>1487</v>
      </c>
      <c r="C122" s="6" t="s">
        <v>1488</v>
      </c>
      <c r="D122" s="6" t="s">
        <v>1492</v>
      </c>
      <c r="E122" s="6" t="s">
        <v>1493</v>
      </c>
      <c r="F122" s="6" t="s">
        <v>1494</v>
      </c>
      <c r="G122" t="str">
        <f t="shared" si="1"/>
        <v>71100 / ALD Employee Costs</v>
      </c>
    </row>
    <row r="123" spans="1:7">
      <c r="A123" s="6" t="s">
        <v>1486</v>
      </c>
      <c r="B123" s="6" t="s">
        <v>1487</v>
      </c>
      <c r="C123" s="6" t="s">
        <v>1488</v>
      </c>
      <c r="D123" s="6" t="s">
        <v>1495</v>
      </c>
      <c r="E123" s="6" t="s">
        <v>1496</v>
      </c>
      <c r="F123" s="6" t="s">
        <v>1497</v>
      </c>
      <c r="G123" t="str">
        <f t="shared" si="1"/>
        <v>71100 / ALD Employee Costs</v>
      </c>
    </row>
    <row r="124" spans="1:7">
      <c r="A124" s="6" t="s">
        <v>1486</v>
      </c>
      <c r="B124" s="6" t="s">
        <v>1487</v>
      </c>
      <c r="C124" s="6" t="s">
        <v>1488</v>
      </c>
      <c r="D124" s="6" t="s">
        <v>1498</v>
      </c>
      <c r="E124" s="6" t="s">
        <v>1499</v>
      </c>
      <c r="F124" s="6" t="s">
        <v>1212</v>
      </c>
      <c r="G124" t="str">
        <f t="shared" si="1"/>
        <v>71100 / ALD Employee Costs</v>
      </c>
    </row>
    <row r="125" spans="1:7">
      <c r="A125" s="6" t="s">
        <v>1486</v>
      </c>
      <c r="B125" s="6" t="s">
        <v>1487</v>
      </c>
      <c r="C125" s="6" t="s">
        <v>1488</v>
      </c>
      <c r="D125" s="6" t="s">
        <v>1500</v>
      </c>
      <c r="E125" s="6" t="s">
        <v>1501</v>
      </c>
      <c r="F125" s="6" t="s">
        <v>1502</v>
      </c>
      <c r="G125" t="str">
        <f t="shared" si="1"/>
        <v>71100 / ALD Employee Costs</v>
      </c>
    </row>
    <row r="126" spans="1:7">
      <c r="A126" s="6" t="s">
        <v>1486</v>
      </c>
      <c r="B126" s="6" t="s">
        <v>1487</v>
      </c>
      <c r="C126" s="6" t="s">
        <v>1488</v>
      </c>
      <c r="D126" s="6" t="s">
        <v>1503</v>
      </c>
      <c r="E126" s="6" t="s">
        <v>1504</v>
      </c>
      <c r="F126" s="6" t="s">
        <v>1505</v>
      </c>
      <c r="G126" t="str">
        <f t="shared" si="1"/>
        <v>71100 / ALD Employee Costs</v>
      </c>
    </row>
    <row r="127" spans="1:7">
      <c r="A127" s="6" t="s">
        <v>1486</v>
      </c>
      <c r="B127" s="6" t="s">
        <v>1487</v>
      </c>
      <c r="C127" s="6" t="s">
        <v>1488</v>
      </c>
      <c r="D127" s="6" t="s">
        <v>1506</v>
      </c>
      <c r="E127" s="6" t="s">
        <v>1507</v>
      </c>
      <c r="F127" s="6" t="s">
        <v>1508</v>
      </c>
      <c r="G127" t="str">
        <f t="shared" si="1"/>
        <v>71100 / ALD Employee Costs</v>
      </c>
    </row>
    <row r="128" spans="1:7">
      <c r="A128" s="6" t="s">
        <v>1486</v>
      </c>
      <c r="B128" s="6" t="s">
        <v>1487</v>
      </c>
      <c r="C128" s="6" t="s">
        <v>1488</v>
      </c>
      <c r="D128" s="6" t="s">
        <v>1509</v>
      </c>
      <c r="E128" s="6" t="s">
        <v>1510</v>
      </c>
      <c r="F128" s="6" t="s">
        <v>1152</v>
      </c>
      <c r="G128" t="str">
        <f t="shared" si="1"/>
        <v>71100 / ALD Employee Costs</v>
      </c>
    </row>
    <row r="129" spans="1:7">
      <c r="A129" s="6" t="s">
        <v>1486</v>
      </c>
      <c r="B129" s="6" t="s">
        <v>1487</v>
      </c>
      <c r="C129" s="6" t="s">
        <v>1488</v>
      </c>
      <c r="D129" s="6" t="s">
        <v>1511</v>
      </c>
      <c r="E129" s="6" t="s">
        <v>1512</v>
      </c>
      <c r="F129" s="6" t="s">
        <v>1513</v>
      </c>
      <c r="G129" t="str">
        <f t="shared" si="1"/>
        <v>71100 / ALD Employee Costs</v>
      </c>
    </row>
    <row r="130" spans="1:7">
      <c r="A130" s="6" t="s">
        <v>1486</v>
      </c>
      <c r="B130" s="6" t="s">
        <v>1487</v>
      </c>
      <c r="C130" s="6" t="s">
        <v>1488</v>
      </c>
      <c r="D130" s="6" t="s">
        <v>1514</v>
      </c>
      <c r="E130" s="6" t="s">
        <v>1515</v>
      </c>
      <c r="F130" s="6" t="s">
        <v>1513</v>
      </c>
      <c r="G130" t="str">
        <f t="shared" si="1"/>
        <v>71100 / ALD Employee Costs</v>
      </c>
    </row>
    <row r="131" spans="1:7">
      <c r="A131" s="6" t="s">
        <v>1486</v>
      </c>
      <c r="B131" s="6" t="s">
        <v>1487</v>
      </c>
      <c r="C131" s="6" t="s">
        <v>1488</v>
      </c>
      <c r="D131" s="6" t="s">
        <v>1516</v>
      </c>
      <c r="E131" s="6" t="s">
        <v>1517</v>
      </c>
      <c r="F131" s="6" t="s">
        <v>1518</v>
      </c>
      <c r="G131" t="str">
        <f t="shared" ref="G131:G194" si="2">A131&amp;" / "&amp;B131</f>
        <v>71100 / ALD Employee Costs</v>
      </c>
    </row>
    <row r="132" spans="1:7">
      <c r="A132" s="6" t="s">
        <v>1486</v>
      </c>
      <c r="B132" s="6" t="s">
        <v>1487</v>
      </c>
      <c r="C132" s="6" t="s">
        <v>1488</v>
      </c>
      <c r="D132" s="6" t="s">
        <v>1519</v>
      </c>
      <c r="E132" s="6" t="s">
        <v>1520</v>
      </c>
      <c r="F132" s="6" t="s">
        <v>1521</v>
      </c>
      <c r="G132" t="str">
        <f t="shared" si="2"/>
        <v>71100 / ALD Employee Costs</v>
      </c>
    </row>
    <row r="133" spans="1:7">
      <c r="A133" s="6" t="s">
        <v>1486</v>
      </c>
      <c r="B133" s="6" t="s">
        <v>1487</v>
      </c>
      <c r="C133" s="6" t="s">
        <v>1488</v>
      </c>
      <c r="D133" s="6" t="s">
        <v>1522</v>
      </c>
      <c r="E133" s="6" t="s">
        <v>1523</v>
      </c>
      <c r="F133" s="6" t="s">
        <v>1524</v>
      </c>
      <c r="G133" t="str">
        <f t="shared" si="2"/>
        <v>71100 / ALD Employee Costs</v>
      </c>
    </row>
    <row r="134" spans="1:7">
      <c r="A134" s="6" t="s">
        <v>1486</v>
      </c>
      <c r="B134" s="6" t="s">
        <v>1487</v>
      </c>
      <c r="C134" s="6" t="s">
        <v>1488</v>
      </c>
      <c r="D134" s="6" t="s">
        <v>1525</v>
      </c>
      <c r="E134" s="6" t="s">
        <v>1526</v>
      </c>
      <c r="F134" s="6" t="s">
        <v>1527</v>
      </c>
      <c r="G134" t="str">
        <f t="shared" si="2"/>
        <v>71100 / ALD Employee Costs</v>
      </c>
    </row>
    <row r="135" spans="1:7">
      <c r="A135" s="6" t="s">
        <v>1486</v>
      </c>
      <c r="B135" s="6" t="s">
        <v>1487</v>
      </c>
      <c r="C135" s="6" t="s">
        <v>1488</v>
      </c>
      <c r="D135" s="6" t="s">
        <v>1528</v>
      </c>
      <c r="E135" s="6" t="s">
        <v>1529</v>
      </c>
      <c r="F135" s="6" t="s">
        <v>1530</v>
      </c>
      <c r="G135" t="str">
        <f t="shared" si="2"/>
        <v>71100 / ALD Employee Costs</v>
      </c>
    </row>
    <row r="136" spans="1:7">
      <c r="A136" s="6" t="s">
        <v>1531</v>
      </c>
      <c r="B136" s="6" t="s">
        <v>1532</v>
      </c>
      <c r="C136" s="6" t="s">
        <v>1533</v>
      </c>
      <c r="D136" s="6" t="s">
        <v>1534</v>
      </c>
      <c r="E136" s="6" t="s">
        <v>1535</v>
      </c>
      <c r="F136" s="6" t="s">
        <v>1536</v>
      </c>
      <c r="G136" t="str">
        <f t="shared" si="2"/>
        <v>71200 / International Consultants</v>
      </c>
    </row>
    <row r="137" spans="1:7">
      <c r="A137" s="6" t="s">
        <v>1531</v>
      </c>
      <c r="B137" s="6" t="s">
        <v>1532</v>
      </c>
      <c r="C137" s="6" t="s">
        <v>1533</v>
      </c>
      <c r="D137" s="6" t="s">
        <v>1537</v>
      </c>
      <c r="E137" s="6" t="s">
        <v>1538</v>
      </c>
      <c r="F137" s="6" t="s">
        <v>1539</v>
      </c>
      <c r="G137" t="str">
        <f t="shared" si="2"/>
        <v>71200 / International Consultants</v>
      </c>
    </row>
    <row r="138" spans="1:7">
      <c r="A138" s="6" t="s">
        <v>1540</v>
      </c>
      <c r="B138" s="6" t="s">
        <v>1541</v>
      </c>
      <c r="C138" s="6" t="s">
        <v>1542</v>
      </c>
      <c r="D138" s="6" t="s">
        <v>1543</v>
      </c>
      <c r="E138" s="6" t="s">
        <v>1544</v>
      </c>
      <c r="F138" s="6" t="s">
        <v>1545</v>
      </c>
      <c r="G138" t="str">
        <f t="shared" si="2"/>
        <v>71300 / Local Consultants</v>
      </c>
    </row>
    <row r="139" spans="1:7">
      <c r="A139" s="6" t="s">
        <v>1540</v>
      </c>
      <c r="B139" s="6" t="s">
        <v>1541</v>
      </c>
      <c r="C139" s="6" t="s">
        <v>1542</v>
      </c>
      <c r="D139" s="6" t="s">
        <v>1546</v>
      </c>
      <c r="E139" s="6" t="s">
        <v>1547</v>
      </c>
      <c r="F139" s="6" t="s">
        <v>1548</v>
      </c>
      <c r="G139" t="str">
        <f t="shared" si="2"/>
        <v>71300 / Local Consultants</v>
      </c>
    </row>
    <row r="140" spans="1:7">
      <c r="A140" s="6" t="s">
        <v>1549</v>
      </c>
      <c r="B140" s="6" t="s">
        <v>1550</v>
      </c>
      <c r="C140" s="6" t="s">
        <v>1551</v>
      </c>
      <c r="D140" s="6" t="s">
        <v>1552</v>
      </c>
      <c r="E140" s="6" t="s">
        <v>1553</v>
      </c>
      <c r="F140" s="6" t="s">
        <v>1554</v>
      </c>
      <c r="G140" t="str">
        <f t="shared" si="2"/>
        <v>71400 / Contractual Services - Individ</v>
      </c>
    </row>
    <row r="141" spans="1:7">
      <c r="A141" s="6" t="s">
        <v>1549</v>
      </c>
      <c r="B141" s="6" t="s">
        <v>1550</v>
      </c>
      <c r="C141" s="6" t="s">
        <v>1551</v>
      </c>
      <c r="D141" s="6" t="s">
        <v>1555</v>
      </c>
      <c r="E141" s="6" t="s">
        <v>1556</v>
      </c>
      <c r="F141" s="6" t="s">
        <v>1557</v>
      </c>
      <c r="G141" t="str">
        <f t="shared" si="2"/>
        <v>71400 / Contractual Services - Individ</v>
      </c>
    </row>
    <row r="142" spans="1:7">
      <c r="A142" s="6" t="s">
        <v>1549</v>
      </c>
      <c r="B142" s="6" t="s">
        <v>1550</v>
      </c>
      <c r="C142" s="6" t="s">
        <v>1551</v>
      </c>
      <c r="D142" s="6" t="s">
        <v>1558</v>
      </c>
      <c r="E142" s="6" t="s">
        <v>1559</v>
      </c>
      <c r="F142" s="6" t="s">
        <v>1560</v>
      </c>
      <c r="G142" t="str">
        <f t="shared" si="2"/>
        <v>71400 / Contractual Services - Individ</v>
      </c>
    </row>
    <row r="143" spans="1:7">
      <c r="A143" s="6" t="s">
        <v>1561</v>
      </c>
      <c r="B143" s="6" t="s">
        <v>1562</v>
      </c>
      <c r="C143" s="6" t="s">
        <v>1563</v>
      </c>
      <c r="D143" s="6" t="s">
        <v>1564</v>
      </c>
      <c r="E143" s="6" t="s">
        <v>1565</v>
      </c>
      <c r="F143" s="6" t="s">
        <v>1566</v>
      </c>
      <c r="G143" t="str">
        <f t="shared" si="2"/>
        <v>71500 / UN Volunteers</v>
      </c>
    </row>
    <row r="144" spans="1:7">
      <c r="A144" s="6" t="s">
        <v>1561</v>
      </c>
      <c r="B144" s="6" t="s">
        <v>1562</v>
      </c>
      <c r="C144" s="6" t="s">
        <v>1563</v>
      </c>
      <c r="D144" s="6" t="s">
        <v>1567</v>
      </c>
      <c r="E144" s="6" t="s">
        <v>1568</v>
      </c>
      <c r="F144" s="6" t="s">
        <v>1569</v>
      </c>
      <c r="G144" t="str">
        <f t="shared" si="2"/>
        <v>71500 / UN Volunteers</v>
      </c>
    </row>
    <row r="145" spans="1:7">
      <c r="A145" s="6" t="s">
        <v>1561</v>
      </c>
      <c r="B145" s="6" t="s">
        <v>1562</v>
      </c>
      <c r="C145" s="6" t="s">
        <v>1563</v>
      </c>
      <c r="D145" s="6" t="s">
        <v>1570</v>
      </c>
      <c r="E145" s="6" t="s">
        <v>1571</v>
      </c>
      <c r="F145" s="6" t="s">
        <v>1572</v>
      </c>
      <c r="G145" t="str">
        <f t="shared" si="2"/>
        <v>71500 / UN Volunteers</v>
      </c>
    </row>
    <row r="146" spans="1:7">
      <c r="A146" s="6" t="s">
        <v>1561</v>
      </c>
      <c r="B146" s="6" t="s">
        <v>1562</v>
      </c>
      <c r="C146" s="6" t="s">
        <v>1563</v>
      </c>
      <c r="D146" s="6" t="s">
        <v>1573</v>
      </c>
      <c r="E146" s="6" t="s">
        <v>1574</v>
      </c>
      <c r="F146" s="6" t="s">
        <v>1575</v>
      </c>
      <c r="G146" t="str">
        <f t="shared" si="2"/>
        <v>71500 / UN Volunteers</v>
      </c>
    </row>
    <row r="147" spans="1:7">
      <c r="A147" s="6" t="s">
        <v>1561</v>
      </c>
      <c r="B147" s="6" t="s">
        <v>1562</v>
      </c>
      <c r="C147" s="6" t="s">
        <v>1563</v>
      </c>
      <c r="D147" s="6" t="s">
        <v>1576</v>
      </c>
      <c r="E147" s="6" t="s">
        <v>1577</v>
      </c>
      <c r="F147" s="6" t="s">
        <v>1578</v>
      </c>
      <c r="G147" t="str">
        <f t="shared" si="2"/>
        <v>71500 / UN Volunteers</v>
      </c>
    </row>
    <row r="148" spans="1:7">
      <c r="A148" s="6" t="s">
        <v>1561</v>
      </c>
      <c r="B148" s="6" t="s">
        <v>1562</v>
      </c>
      <c r="C148" s="6" t="s">
        <v>1563</v>
      </c>
      <c r="D148" s="6" t="s">
        <v>1579</v>
      </c>
      <c r="E148" s="6" t="s">
        <v>1580</v>
      </c>
      <c r="F148" s="6" t="s">
        <v>1581</v>
      </c>
      <c r="G148" t="str">
        <f t="shared" si="2"/>
        <v>71500 / UN Volunteers</v>
      </c>
    </row>
    <row r="149" spans="1:7">
      <c r="A149" s="6" t="s">
        <v>1561</v>
      </c>
      <c r="B149" s="6" t="s">
        <v>1562</v>
      </c>
      <c r="C149" s="6" t="s">
        <v>1563</v>
      </c>
      <c r="D149" s="6" t="s">
        <v>1582</v>
      </c>
      <c r="E149" s="6" t="s">
        <v>1583</v>
      </c>
      <c r="F149" s="6" t="s">
        <v>1584</v>
      </c>
      <c r="G149" t="str">
        <f t="shared" si="2"/>
        <v>71500 / UN Volunteers</v>
      </c>
    </row>
    <row r="150" spans="1:7">
      <c r="A150" s="6" t="s">
        <v>1561</v>
      </c>
      <c r="B150" s="6" t="s">
        <v>1562</v>
      </c>
      <c r="C150" s="6" t="s">
        <v>1563</v>
      </c>
      <c r="D150" s="6" t="s">
        <v>1585</v>
      </c>
      <c r="E150" s="6" t="s">
        <v>1586</v>
      </c>
      <c r="F150" s="6" t="s">
        <v>1587</v>
      </c>
      <c r="G150" t="str">
        <f t="shared" si="2"/>
        <v>71500 / UN Volunteers</v>
      </c>
    </row>
    <row r="151" spans="1:7">
      <c r="A151" s="6" t="s">
        <v>1561</v>
      </c>
      <c r="B151" s="6" t="s">
        <v>1562</v>
      </c>
      <c r="C151" s="6" t="s">
        <v>1563</v>
      </c>
      <c r="D151" s="6" t="s">
        <v>1588</v>
      </c>
      <c r="E151" s="6" t="s">
        <v>1589</v>
      </c>
      <c r="F151" s="6" t="s">
        <v>1590</v>
      </c>
      <c r="G151" t="str">
        <f t="shared" si="2"/>
        <v>71500 / UN Volunteers</v>
      </c>
    </row>
    <row r="152" spans="1:7">
      <c r="A152" s="6" t="s">
        <v>1561</v>
      </c>
      <c r="B152" s="6" t="s">
        <v>1562</v>
      </c>
      <c r="C152" s="6" t="s">
        <v>1563</v>
      </c>
      <c r="D152" s="6" t="s">
        <v>1591</v>
      </c>
      <c r="E152" s="6" t="s">
        <v>1592</v>
      </c>
      <c r="F152" s="6" t="s">
        <v>1593</v>
      </c>
      <c r="G152" t="str">
        <f t="shared" si="2"/>
        <v>71500 / UN Volunteers</v>
      </c>
    </row>
    <row r="153" spans="1:7">
      <c r="A153" s="6" t="s">
        <v>1561</v>
      </c>
      <c r="B153" s="6" t="s">
        <v>1562</v>
      </c>
      <c r="C153" s="6" t="s">
        <v>1563</v>
      </c>
      <c r="D153" s="6" t="s">
        <v>1594</v>
      </c>
      <c r="E153" s="6" t="s">
        <v>1595</v>
      </c>
      <c r="F153" s="6" t="s">
        <v>1596</v>
      </c>
      <c r="G153" t="str">
        <f t="shared" si="2"/>
        <v>71500 / UN Volunteers</v>
      </c>
    </row>
    <row r="154" spans="1:7">
      <c r="A154" s="6" t="s">
        <v>1561</v>
      </c>
      <c r="B154" s="6" t="s">
        <v>1562</v>
      </c>
      <c r="C154" s="6" t="s">
        <v>1563</v>
      </c>
      <c r="D154" s="6" t="s">
        <v>1597</v>
      </c>
      <c r="E154" s="6" t="s">
        <v>1598</v>
      </c>
      <c r="F154" s="6" t="s">
        <v>1599</v>
      </c>
      <c r="G154" t="str">
        <f t="shared" si="2"/>
        <v>71500 / UN Volunteers</v>
      </c>
    </row>
    <row r="155" spans="1:7">
      <c r="A155" s="6" t="s">
        <v>1561</v>
      </c>
      <c r="B155" s="6" t="s">
        <v>1562</v>
      </c>
      <c r="C155" s="6" t="s">
        <v>1563</v>
      </c>
      <c r="D155" s="6" t="s">
        <v>1600</v>
      </c>
      <c r="E155" s="6" t="s">
        <v>1601</v>
      </c>
      <c r="F155" s="6" t="s">
        <v>1602</v>
      </c>
      <c r="G155" t="str">
        <f t="shared" si="2"/>
        <v>71500 / UN Volunteers</v>
      </c>
    </row>
    <row r="156" spans="1:7">
      <c r="A156" s="6" t="s">
        <v>1561</v>
      </c>
      <c r="B156" s="6" t="s">
        <v>1562</v>
      </c>
      <c r="C156" s="6" t="s">
        <v>1563</v>
      </c>
      <c r="D156" s="6" t="s">
        <v>1603</v>
      </c>
      <c r="E156" s="6" t="s">
        <v>1604</v>
      </c>
      <c r="F156" s="6" t="s">
        <v>1605</v>
      </c>
      <c r="G156" t="str">
        <f t="shared" si="2"/>
        <v>71500 / UN Volunteers</v>
      </c>
    </row>
    <row r="157" spans="1:7">
      <c r="A157" s="6" t="s">
        <v>1561</v>
      </c>
      <c r="B157" s="6" t="s">
        <v>1562</v>
      </c>
      <c r="C157" s="6" t="s">
        <v>1563</v>
      </c>
      <c r="D157" s="6" t="s">
        <v>1606</v>
      </c>
      <c r="E157" s="6" t="s">
        <v>1607</v>
      </c>
      <c r="F157" s="6" t="s">
        <v>1608</v>
      </c>
      <c r="G157" t="str">
        <f t="shared" si="2"/>
        <v>71500 / UN Volunteers</v>
      </c>
    </row>
    <row r="158" spans="1:7">
      <c r="A158" s="6" t="s">
        <v>1609</v>
      </c>
      <c r="B158" s="6" t="s">
        <v>1610</v>
      </c>
      <c r="C158" s="6" t="s">
        <v>1610</v>
      </c>
      <c r="D158" s="6" t="s">
        <v>1611</v>
      </c>
      <c r="E158" s="6" t="s">
        <v>1612</v>
      </c>
      <c r="F158" s="6" t="s">
        <v>1613</v>
      </c>
      <c r="G158" t="str">
        <f t="shared" si="2"/>
        <v>71600 / Travel</v>
      </c>
    </row>
    <row r="159" spans="1:7">
      <c r="A159" s="6" t="s">
        <v>1609</v>
      </c>
      <c r="B159" s="6" t="s">
        <v>1610</v>
      </c>
      <c r="C159" s="6" t="s">
        <v>1610</v>
      </c>
      <c r="D159" s="6" t="s">
        <v>1614</v>
      </c>
      <c r="E159" s="6" t="s">
        <v>1615</v>
      </c>
      <c r="F159" s="6" t="s">
        <v>1616</v>
      </c>
      <c r="G159" t="str">
        <f t="shared" si="2"/>
        <v>71600 / Travel</v>
      </c>
    </row>
    <row r="160" spans="1:7">
      <c r="A160" s="6" t="s">
        <v>1609</v>
      </c>
      <c r="B160" s="6" t="s">
        <v>1610</v>
      </c>
      <c r="C160" s="6" t="s">
        <v>1610</v>
      </c>
      <c r="D160" s="6" t="s">
        <v>1617</v>
      </c>
      <c r="E160" s="6" t="s">
        <v>1618</v>
      </c>
      <c r="F160" s="6" t="s">
        <v>1619</v>
      </c>
      <c r="G160" t="str">
        <f t="shared" si="2"/>
        <v>71600 / Travel</v>
      </c>
    </row>
    <row r="161" spans="1:7">
      <c r="A161" s="6" t="s">
        <v>1609</v>
      </c>
      <c r="B161" s="6" t="s">
        <v>1610</v>
      </c>
      <c r="C161" s="6" t="s">
        <v>1610</v>
      </c>
      <c r="D161" s="6" t="s">
        <v>1620</v>
      </c>
      <c r="E161" s="6" t="s">
        <v>1621</v>
      </c>
      <c r="F161" s="6" t="s">
        <v>1622</v>
      </c>
      <c r="G161" t="str">
        <f t="shared" si="2"/>
        <v>71600 / Travel</v>
      </c>
    </row>
    <row r="162" spans="1:7">
      <c r="A162" s="6" t="s">
        <v>1609</v>
      </c>
      <c r="B162" s="6" t="s">
        <v>1610</v>
      </c>
      <c r="C162" s="6" t="s">
        <v>1610</v>
      </c>
      <c r="D162" s="6" t="s">
        <v>1623</v>
      </c>
      <c r="E162" s="6" t="s">
        <v>1624</v>
      </c>
      <c r="F162" s="6" t="s">
        <v>1625</v>
      </c>
      <c r="G162" t="str">
        <f t="shared" si="2"/>
        <v>71600 / Travel</v>
      </c>
    </row>
    <row r="163" spans="1:7">
      <c r="A163" s="6" t="s">
        <v>1609</v>
      </c>
      <c r="B163" s="6" t="s">
        <v>1610</v>
      </c>
      <c r="C163" s="6" t="s">
        <v>1610</v>
      </c>
      <c r="D163" s="6" t="s">
        <v>1626</v>
      </c>
      <c r="E163" s="6" t="s">
        <v>1627</v>
      </c>
      <c r="F163" s="6" t="s">
        <v>1627</v>
      </c>
      <c r="G163" t="str">
        <f t="shared" si="2"/>
        <v>71600 / Travel</v>
      </c>
    </row>
    <row r="164" spans="1:7">
      <c r="A164" s="6" t="s">
        <v>1609</v>
      </c>
      <c r="B164" s="6" t="s">
        <v>1610</v>
      </c>
      <c r="C164" s="6" t="s">
        <v>1610</v>
      </c>
      <c r="D164" s="6" t="s">
        <v>1628</v>
      </c>
      <c r="E164" s="6" t="s">
        <v>1629</v>
      </c>
      <c r="F164" s="6" t="s">
        <v>1630</v>
      </c>
      <c r="G164" t="str">
        <f t="shared" si="2"/>
        <v>71600 / Travel</v>
      </c>
    </row>
    <row r="165" spans="1:7">
      <c r="A165" s="6" t="s">
        <v>1609</v>
      </c>
      <c r="B165" s="6" t="s">
        <v>1610</v>
      </c>
      <c r="C165" s="6" t="s">
        <v>1610</v>
      </c>
      <c r="D165" s="6" t="s">
        <v>1631</v>
      </c>
      <c r="E165" s="6" t="s">
        <v>1632</v>
      </c>
      <c r="F165" s="6" t="s">
        <v>1633</v>
      </c>
      <c r="G165" t="str">
        <f t="shared" si="2"/>
        <v>71600 / Travel</v>
      </c>
    </row>
    <row r="166" spans="1:7">
      <c r="A166" s="6" t="s">
        <v>1634</v>
      </c>
      <c r="B166" s="6" t="s">
        <v>1635</v>
      </c>
      <c r="C166" s="6" t="s">
        <v>1636</v>
      </c>
      <c r="D166" s="6" t="s">
        <v>1637</v>
      </c>
      <c r="E166" s="6" t="s">
        <v>1638</v>
      </c>
      <c r="F166" s="6" t="s">
        <v>1639</v>
      </c>
      <c r="G166" t="str">
        <f t="shared" si="2"/>
        <v>72100 / Contractual Services-Companies</v>
      </c>
    </row>
    <row r="167" spans="1:7">
      <c r="A167" s="6" t="s">
        <v>1634</v>
      </c>
      <c r="B167" s="6" t="s">
        <v>1635</v>
      </c>
      <c r="C167" s="6" t="s">
        <v>1636</v>
      </c>
      <c r="D167" s="6" t="s">
        <v>1640</v>
      </c>
      <c r="E167" s="6" t="s">
        <v>1641</v>
      </c>
      <c r="F167" s="6" t="s">
        <v>1642</v>
      </c>
      <c r="G167" t="str">
        <f t="shared" si="2"/>
        <v>72100 / Contractual Services-Companies</v>
      </c>
    </row>
    <row r="168" spans="1:7">
      <c r="A168" s="6" t="s">
        <v>1634</v>
      </c>
      <c r="B168" s="6" t="s">
        <v>1635</v>
      </c>
      <c r="C168" s="6" t="s">
        <v>1636</v>
      </c>
      <c r="D168" s="6" t="s">
        <v>1643</v>
      </c>
      <c r="E168" s="6" t="s">
        <v>1644</v>
      </c>
      <c r="F168" s="6" t="s">
        <v>1645</v>
      </c>
      <c r="G168" t="str">
        <f t="shared" si="2"/>
        <v>72100 / Contractual Services-Companies</v>
      </c>
    </row>
    <row r="169" spans="1:7">
      <c r="A169" s="6" t="s">
        <v>1634</v>
      </c>
      <c r="B169" s="6" t="s">
        <v>1635</v>
      </c>
      <c r="C169" s="6" t="s">
        <v>1636</v>
      </c>
      <c r="D169" s="6" t="s">
        <v>1646</v>
      </c>
      <c r="E169" s="6" t="s">
        <v>1647</v>
      </c>
      <c r="F169" s="6" t="s">
        <v>1648</v>
      </c>
      <c r="G169" t="str">
        <f t="shared" si="2"/>
        <v>72100 / Contractual Services-Companies</v>
      </c>
    </row>
    <row r="170" spans="1:7">
      <c r="A170" s="6" t="s">
        <v>1634</v>
      </c>
      <c r="B170" s="6" t="s">
        <v>1635</v>
      </c>
      <c r="C170" s="6" t="s">
        <v>1636</v>
      </c>
      <c r="D170" s="6" t="s">
        <v>1649</v>
      </c>
      <c r="E170" s="6" t="s">
        <v>1650</v>
      </c>
      <c r="F170" s="6" t="s">
        <v>1651</v>
      </c>
      <c r="G170" t="str">
        <f t="shared" si="2"/>
        <v>72100 / Contractual Services-Companies</v>
      </c>
    </row>
    <row r="171" spans="1:7">
      <c r="A171" s="6" t="s">
        <v>1634</v>
      </c>
      <c r="B171" s="6" t="s">
        <v>1635</v>
      </c>
      <c r="C171" s="6" t="s">
        <v>1636</v>
      </c>
      <c r="D171" s="6" t="s">
        <v>1652</v>
      </c>
      <c r="E171" s="6" t="s">
        <v>1653</v>
      </c>
      <c r="F171" s="6" t="s">
        <v>1654</v>
      </c>
      <c r="G171" t="str">
        <f t="shared" si="2"/>
        <v>72100 / Contractual Services-Companies</v>
      </c>
    </row>
    <row r="172" spans="1:7">
      <c r="A172" s="6" t="s">
        <v>1634</v>
      </c>
      <c r="B172" s="6" t="s">
        <v>1635</v>
      </c>
      <c r="C172" s="6" t="s">
        <v>1636</v>
      </c>
      <c r="D172" s="6" t="s">
        <v>1655</v>
      </c>
      <c r="E172" s="6" t="s">
        <v>1656</v>
      </c>
      <c r="F172" s="6" t="s">
        <v>1657</v>
      </c>
      <c r="G172" t="str">
        <f t="shared" si="2"/>
        <v>72100 / Contractual Services-Companies</v>
      </c>
    </row>
    <row r="173" spans="1:7">
      <c r="A173" s="6" t="s">
        <v>1634</v>
      </c>
      <c r="B173" s="6" t="s">
        <v>1635</v>
      </c>
      <c r="C173" s="6" t="s">
        <v>1636</v>
      </c>
      <c r="D173" s="6" t="s">
        <v>1658</v>
      </c>
      <c r="E173" s="6" t="s">
        <v>1659</v>
      </c>
      <c r="F173" s="6" t="s">
        <v>1660</v>
      </c>
      <c r="G173" t="str">
        <f t="shared" si="2"/>
        <v>72100 / Contractual Services-Companies</v>
      </c>
    </row>
    <row r="174" spans="1:7">
      <c r="A174" s="6" t="s">
        <v>1634</v>
      </c>
      <c r="B174" s="6" t="s">
        <v>1635</v>
      </c>
      <c r="C174" s="6" t="s">
        <v>1636</v>
      </c>
      <c r="D174" s="6" t="s">
        <v>1661</v>
      </c>
      <c r="E174" s="6" t="s">
        <v>1662</v>
      </c>
      <c r="F174" s="6" t="s">
        <v>1663</v>
      </c>
      <c r="G174" t="str">
        <f t="shared" si="2"/>
        <v>72100 / Contractual Services-Companies</v>
      </c>
    </row>
    <row r="175" spans="1:7">
      <c r="A175" s="6" t="s">
        <v>1634</v>
      </c>
      <c r="B175" s="6" t="s">
        <v>1635</v>
      </c>
      <c r="C175" s="6" t="s">
        <v>1636</v>
      </c>
      <c r="D175" s="6" t="s">
        <v>1664</v>
      </c>
      <c r="E175" s="6" t="s">
        <v>1665</v>
      </c>
      <c r="F175" s="6" t="s">
        <v>1666</v>
      </c>
      <c r="G175" t="str">
        <f t="shared" si="2"/>
        <v>72100 / Contractual Services-Companies</v>
      </c>
    </row>
    <row r="176" spans="1:7">
      <c r="A176" s="6" t="s">
        <v>1634</v>
      </c>
      <c r="B176" s="6" t="s">
        <v>1635</v>
      </c>
      <c r="C176" s="6" t="s">
        <v>1636</v>
      </c>
      <c r="D176" s="6" t="s">
        <v>1667</v>
      </c>
      <c r="E176" s="6" t="s">
        <v>1668</v>
      </c>
      <c r="F176" s="6" t="s">
        <v>1669</v>
      </c>
      <c r="G176" t="str">
        <f t="shared" si="2"/>
        <v>72100 / Contractual Services-Companies</v>
      </c>
    </row>
    <row r="177" spans="1:7">
      <c r="A177" s="6" t="s">
        <v>1634</v>
      </c>
      <c r="B177" s="6" t="s">
        <v>1635</v>
      </c>
      <c r="C177" s="6" t="s">
        <v>1636</v>
      </c>
      <c r="D177" s="6" t="s">
        <v>1670</v>
      </c>
      <c r="E177" s="6" t="s">
        <v>1671</v>
      </c>
      <c r="F177" s="6" t="s">
        <v>1672</v>
      </c>
      <c r="G177" t="str">
        <f t="shared" si="2"/>
        <v>72100 / Contractual Services-Companies</v>
      </c>
    </row>
    <row r="178" spans="1:7">
      <c r="A178" s="6" t="s">
        <v>1634</v>
      </c>
      <c r="B178" s="6" t="s">
        <v>1635</v>
      </c>
      <c r="C178" s="6" t="s">
        <v>1636</v>
      </c>
      <c r="D178" s="6" t="s">
        <v>1673</v>
      </c>
      <c r="E178" s="6" t="s">
        <v>1674</v>
      </c>
      <c r="F178" s="6" t="s">
        <v>1675</v>
      </c>
      <c r="G178" t="str">
        <f t="shared" si="2"/>
        <v>72100 / Contractual Services-Companies</v>
      </c>
    </row>
    <row r="179" spans="1:7">
      <c r="A179" s="6" t="s">
        <v>1634</v>
      </c>
      <c r="B179" s="6" t="s">
        <v>1635</v>
      </c>
      <c r="C179" s="6" t="s">
        <v>1636</v>
      </c>
      <c r="D179" s="6" t="s">
        <v>1676</v>
      </c>
      <c r="E179" s="6" t="s">
        <v>1677</v>
      </c>
      <c r="F179" s="6" t="s">
        <v>1678</v>
      </c>
      <c r="G179" t="str">
        <f t="shared" si="2"/>
        <v>72100 / Contractual Services-Companies</v>
      </c>
    </row>
    <row r="180" spans="1:7">
      <c r="A180" s="6" t="s">
        <v>1634</v>
      </c>
      <c r="B180" s="6" t="s">
        <v>1635</v>
      </c>
      <c r="C180" s="6" t="s">
        <v>1636</v>
      </c>
      <c r="D180" s="6" t="s">
        <v>1679</v>
      </c>
      <c r="E180" s="6" t="s">
        <v>1680</v>
      </c>
      <c r="F180" s="6" t="s">
        <v>1681</v>
      </c>
      <c r="G180" t="str">
        <f t="shared" si="2"/>
        <v>72100 / Contractual Services-Companies</v>
      </c>
    </row>
    <row r="181" spans="1:7">
      <c r="A181" s="6" t="s">
        <v>1634</v>
      </c>
      <c r="B181" s="6" t="s">
        <v>1635</v>
      </c>
      <c r="C181" s="6" t="s">
        <v>1636</v>
      </c>
      <c r="D181" s="6" t="s">
        <v>1682</v>
      </c>
      <c r="E181" s="6" t="s">
        <v>1683</v>
      </c>
      <c r="F181" s="6" t="s">
        <v>1684</v>
      </c>
      <c r="G181" t="str">
        <f t="shared" si="2"/>
        <v>72100 / Contractual Services-Companies</v>
      </c>
    </row>
    <row r="182" spans="1:7">
      <c r="A182" s="6" t="s">
        <v>1685</v>
      </c>
      <c r="B182" s="6" t="s">
        <v>1686</v>
      </c>
      <c r="C182" s="6" t="s">
        <v>1687</v>
      </c>
      <c r="D182" s="6" t="s">
        <v>1688</v>
      </c>
      <c r="E182" s="6" t="s">
        <v>1689</v>
      </c>
      <c r="F182" s="6" t="s">
        <v>1690</v>
      </c>
      <c r="G182" t="str">
        <f t="shared" si="2"/>
        <v>72200 / Equipment and Furniture</v>
      </c>
    </row>
    <row r="183" spans="1:7">
      <c r="A183" s="6" t="s">
        <v>1685</v>
      </c>
      <c r="B183" s="6" t="s">
        <v>1686</v>
      </c>
      <c r="C183" s="6" t="s">
        <v>1687</v>
      </c>
      <c r="D183" s="6" t="s">
        <v>1691</v>
      </c>
      <c r="E183" s="6" t="s">
        <v>1692</v>
      </c>
      <c r="F183" s="6" t="s">
        <v>1693</v>
      </c>
      <c r="G183" t="str">
        <f t="shared" si="2"/>
        <v>72200 / Equipment and Furniture</v>
      </c>
    </row>
    <row r="184" spans="1:7">
      <c r="A184" s="6" t="s">
        <v>1685</v>
      </c>
      <c r="B184" s="6" t="s">
        <v>1686</v>
      </c>
      <c r="C184" s="6" t="s">
        <v>1687</v>
      </c>
      <c r="D184" s="6" t="s">
        <v>1694</v>
      </c>
      <c r="E184" s="6" t="s">
        <v>1695</v>
      </c>
      <c r="F184" s="6" t="s">
        <v>1696</v>
      </c>
      <c r="G184" t="str">
        <f t="shared" si="2"/>
        <v>72200 / Equipment and Furniture</v>
      </c>
    </row>
    <row r="185" spans="1:7">
      <c r="A185" s="6" t="s">
        <v>1685</v>
      </c>
      <c r="B185" s="6" t="s">
        <v>1686</v>
      </c>
      <c r="C185" s="6" t="s">
        <v>1687</v>
      </c>
      <c r="D185" s="6" t="s">
        <v>1697</v>
      </c>
      <c r="E185" s="6" t="s">
        <v>1698</v>
      </c>
      <c r="F185" s="6" t="s">
        <v>1699</v>
      </c>
      <c r="G185" t="str">
        <f t="shared" si="2"/>
        <v>72200 / Equipment and Furniture</v>
      </c>
    </row>
    <row r="186" spans="1:7">
      <c r="A186" s="6" t="s">
        <v>1685</v>
      </c>
      <c r="B186" s="6" t="s">
        <v>1686</v>
      </c>
      <c r="C186" s="6" t="s">
        <v>1687</v>
      </c>
      <c r="D186" s="6" t="s">
        <v>1700</v>
      </c>
      <c r="E186" s="6" t="s">
        <v>1701</v>
      </c>
      <c r="F186" s="6" t="s">
        <v>1701</v>
      </c>
      <c r="G186" t="str">
        <f t="shared" si="2"/>
        <v>72200 / Equipment and Furniture</v>
      </c>
    </row>
    <row r="187" spans="1:7">
      <c r="A187" s="6" t="s">
        <v>1685</v>
      </c>
      <c r="B187" s="6" t="s">
        <v>1686</v>
      </c>
      <c r="C187" s="6" t="s">
        <v>1687</v>
      </c>
      <c r="D187" s="6" t="s">
        <v>1702</v>
      </c>
      <c r="E187" s="6" t="s">
        <v>1703</v>
      </c>
      <c r="F187" s="6" t="s">
        <v>1704</v>
      </c>
      <c r="G187" t="str">
        <f t="shared" si="2"/>
        <v>72200 / Equipment and Furniture</v>
      </c>
    </row>
    <row r="188" spans="1:7">
      <c r="A188" s="6" t="s">
        <v>1705</v>
      </c>
      <c r="B188" s="6" t="s">
        <v>1706</v>
      </c>
      <c r="C188" s="6" t="s">
        <v>1707</v>
      </c>
      <c r="D188" s="6" t="s">
        <v>1708</v>
      </c>
      <c r="E188" s="6" t="s">
        <v>1709</v>
      </c>
      <c r="F188" s="6" t="s">
        <v>1710</v>
      </c>
      <c r="G188" t="str">
        <f t="shared" si="2"/>
        <v>72300 / Materials &amp; Goods</v>
      </c>
    </row>
    <row r="189" spans="1:7">
      <c r="A189" s="6" t="s">
        <v>1705</v>
      </c>
      <c r="B189" s="6" t="s">
        <v>1706</v>
      </c>
      <c r="C189" s="6" t="s">
        <v>1707</v>
      </c>
      <c r="D189" s="6" t="s">
        <v>1711</v>
      </c>
      <c r="E189" s="6" t="s">
        <v>1712</v>
      </c>
      <c r="F189" s="6" t="s">
        <v>1713</v>
      </c>
      <c r="G189" t="str">
        <f t="shared" si="2"/>
        <v>72300 / Materials &amp; Goods</v>
      </c>
    </row>
    <row r="190" spans="1:7">
      <c r="A190" s="6" t="s">
        <v>1705</v>
      </c>
      <c r="B190" s="6" t="s">
        <v>1706</v>
      </c>
      <c r="C190" s="6" t="s">
        <v>1707</v>
      </c>
      <c r="D190" s="6" t="s">
        <v>1714</v>
      </c>
      <c r="E190" s="6" t="s">
        <v>1715</v>
      </c>
      <c r="F190" s="6" t="s">
        <v>1716</v>
      </c>
      <c r="G190" t="str">
        <f t="shared" si="2"/>
        <v>72300 / Materials &amp; Goods</v>
      </c>
    </row>
    <row r="191" spans="1:7">
      <c r="A191" s="6" t="s">
        <v>1705</v>
      </c>
      <c r="B191" s="6" t="s">
        <v>1706</v>
      </c>
      <c r="C191" s="6" t="s">
        <v>1707</v>
      </c>
      <c r="D191" s="6" t="s">
        <v>1717</v>
      </c>
      <c r="E191" s="6" t="s">
        <v>1718</v>
      </c>
      <c r="F191" s="6" t="s">
        <v>1719</v>
      </c>
      <c r="G191" t="str">
        <f t="shared" si="2"/>
        <v>72300 / Materials &amp; Goods</v>
      </c>
    </row>
    <row r="192" spans="1:7">
      <c r="A192" s="6" t="s">
        <v>1705</v>
      </c>
      <c r="B192" s="6" t="s">
        <v>1706</v>
      </c>
      <c r="C192" s="6" t="s">
        <v>1707</v>
      </c>
      <c r="D192" s="6" t="s">
        <v>1720</v>
      </c>
      <c r="E192" s="6" t="s">
        <v>1721</v>
      </c>
      <c r="F192" s="6" t="s">
        <v>1722</v>
      </c>
      <c r="G192" t="str">
        <f t="shared" si="2"/>
        <v>72300 / Materials &amp; Goods</v>
      </c>
    </row>
    <row r="193" spans="1:7">
      <c r="A193" s="6" t="s">
        <v>1705</v>
      </c>
      <c r="B193" s="6" t="s">
        <v>1706</v>
      </c>
      <c r="C193" s="6" t="s">
        <v>1707</v>
      </c>
      <c r="D193" s="6" t="s">
        <v>1723</v>
      </c>
      <c r="E193" s="6" t="s">
        <v>1724</v>
      </c>
      <c r="F193" s="6" t="s">
        <v>1725</v>
      </c>
      <c r="G193" t="str">
        <f t="shared" si="2"/>
        <v>72300 / Materials &amp; Goods</v>
      </c>
    </row>
    <row r="194" spans="1:7">
      <c r="A194" s="6" t="s">
        <v>1705</v>
      </c>
      <c r="B194" s="6" t="s">
        <v>1706</v>
      </c>
      <c r="C194" s="6" t="s">
        <v>1707</v>
      </c>
      <c r="D194" s="6" t="s">
        <v>1726</v>
      </c>
      <c r="E194" s="6" t="s">
        <v>1727</v>
      </c>
      <c r="F194" s="6" t="s">
        <v>1728</v>
      </c>
      <c r="G194" t="str">
        <f t="shared" si="2"/>
        <v>72300 / Materials &amp; Goods</v>
      </c>
    </row>
    <row r="195" spans="1:7">
      <c r="A195" s="6" t="s">
        <v>1705</v>
      </c>
      <c r="B195" s="6" t="s">
        <v>1706</v>
      </c>
      <c r="C195" s="6" t="s">
        <v>1707</v>
      </c>
      <c r="D195" s="6" t="s">
        <v>1729</v>
      </c>
      <c r="E195" s="6" t="s">
        <v>1730</v>
      </c>
      <c r="F195" s="6" t="s">
        <v>1731</v>
      </c>
      <c r="G195" t="str">
        <f t="shared" ref="G195:G258" si="3">A195&amp;" / "&amp;B195</f>
        <v>72300 / Materials &amp; Goods</v>
      </c>
    </row>
    <row r="196" spans="1:7">
      <c r="A196" s="6" t="s">
        <v>1705</v>
      </c>
      <c r="B196" s="6" t="s">
        <v>1706</v>
      </c>
      <c r="C196" s="6" t="s">
        <v>1707</v>
      </c>
      <c r="D196" s="6" t="s">
        <v>1732</v>
      </c>
      <c r="E196" s="6" t="s">
        <v>1733</v>
      </c>
      <c r="F196" s="6" t="s">
        <v>1734</v>
      </c>
      <c r="G196" t="str">
        <f t="shared" si="3"/>
        <v>72300 / Materials &amp; Goods</v>
      </c>
    </row>
    <row r="197" spans="1:7">
      <c r="A197" s="6" t="s">
        <v>1705</v>
      </c>
      <c r="B197" s="6" t="s">
        <v>1706</v>
      </c>
      <c r="C197" s="6" t="s">
        <v>1707</v>
      </c>
      <c r="D197" s="6" t="s">
        <v>1735</v>
      </c>
      <c r="E197" s="6" t="s">
        <v>1736</v>
      </c>
      <c r="F197" s="6" t="s">
        <v>1737</v>
      </c>
      <c r="G197" t="str">
        <f t="shared" si="3"/>
        <v>72300 / Materials &amp; Goods</v>
      </c>
    </row>
    <row r="198" spans="1:7">
      <c r="A198" s="6" t="s">
        <v>1705</v>
      </c>
      <c r="B198" s="6" t="s">
        <v>1706</v>
      </c>
      <c r="C198" s="6" t="s">
        <v>1707</v>
      </c>
      <c r="D198" s="6" t="s">
        <v>1738</v>
      </c>
      <c r="E198" s="6" t="s">
        <v>1739</v>
      </c>
      <c r="F198" s="6" t="s">
        <v>1740</v>
      </c>
      <c r="G198" t="str">
        <f t="shared" si="3"/>
        <v>72300 / Materials &amp; Goods</v>
      </c>
    </row>
    <row r="199" spans="1:7">
      <c r="A199" s="6" t="s">
        <v>1705</v>
      </c>
      <c r="B199" s="6" t="s">
        <v>1706</v>
      </c>
      <c r="C199" s="6" t="s">
        <v>1707</v>
      </c>
      <c r="D199" s="6" t="s">
        <v>1741</v>
      </c>
      <c r="E199" s="6" t="s">
        <v>1742</v>
      </c>
      <c r="F199" s="6" t="s">
        <v>1743</v>
      </c>
      <c r="G199" t="str">
        <f t="shared" si="3"/>
        <v>72300 / Materials &amp; Goods</v>
      </c>
    </row>
    <row r="200" spans="1:7">
      <c r="A200" s="6" t="s">
        <v>1705</v>
      </c>
      <c r="B200" s="6" t="s">
        <v>1706</v>
      </c>
      <c r="C200" s="6" t="s">
        <v>1707</v>
      </c>
      <c r="D200" s="6" t="s">
        <v>1744</v>
      </c>
      <c r="E200" s="6" t="s">
        <v>1745</v>
      </c>
      <c r="F200" s="6" t="s">
        <v>1746</v>
      </c>
      <c r="G200" t="str">
        <f t="shared" si="3"/>
        <v>72300 / Materials &amp; Goods</v>
      </c>
    </row>
    <row r="201" spans="1:7">
      <c r="A201" s="6" t="s">
        <v>1705</v>
      </c>
      <c r="B201" s="6" t="s">
        <v>1706</v>
      </c>
      <c r="C201" s="6" t="s">
        <v>1707</v>
      </c>
      <c r="D201" s="6" t="s">
        <v>1747</v>
      </c>
      <c r="E201" s="6" t="s">
        <v>1748</v>
      </c>
      <c r="F201" s="6" t="s">
        <v>1749</v>
      </c>
      <c r="G201" t="str">
        <f t="shared" si="3"/>
        <v>72300 / Materials &amp; Goods</v>
      </c>
    </row>
    <row r="202" spans="1:7">
      <c r="A202" s="6" t="s">
        <v>1705</v>
      </c>
      <c r="B202" s="6" t="s">
        <v>1706</v>
      </c>
      <c r="C202" s="6" t="s">
        <v>1707</v>
      </c>
      <c r="D202" s="6" t="s">
        <v>1750</v>
      </c>
      <c r="E202" s="6" t="s">
        <v>1751</v>
      </c>
      <c r="F202" s="6" t="s">
        <v>1752</v>
      </c>
      <c r="G202" t="str">
        <f t="shared" si="3"/>
        <v>72300 / Materials &amp; Goods</v>
      </c>
    </row>
    <row r="203" spans="1:7">
      <c r="A203" s="6" t="s">
        <v>1705</v>
      </c>
      <c r="B203" s="6" t="s">
        <v>1706</v>
      </c>
      <c r="C203" s="6" t="s">
        <v>1707</v>
      </c>
      <c r="D203" s="6" t="s">
        <v>1753</v>
      </c>
      <c r="E203" s="6" t="s">
        <v>1754</v>
      </c>
      <c r="F203" s="6" t="s">
        <v>1755</v>
      </c>
      <c r="G203" t="str">
        <f t="shared" si="3"/>
        <v>72300 / Materials &amp; Goods</v>
      </c>
    </row>
    <row r="204" spans="1:7">
      <c r="A204" s="6" t="s">
        <v>1705</v>
      </c>
      <c r="B204" s="6" t="s">
        <v>1706</v>
      </c>
      <c r="C204" s="6" t="s">
        <v>1707</v>
      </c>
      <c r="D204" s="6" t="s">
        <v>1756</v>
      </c>
      <c r="E204" s="6" t="s">
        <v>1757</v>
      </c>
      <c r="F204" s="6" t="s">
        <v>1758</v>
      </c>
      <c r="G204" t="str">
        <f t="shared" si="3"/>
        <v>72300 / Materials &amp; Goods</v>
      </c>
    </row>
    <row r="205" spans="1:7">
      <c r="A205" s="6" t="s">
        <v>1705</v>
      </c>
      <c r="B205" s="6" t="s">
        <v>1706</v>
      </c>
      <c r="C205" s="6" t="s">
        <v>1707</v>
      </c>
      <c r="D205" s="6" t="s">
        <v>1759</v>
      </c>
      <c r="E205" s="6" t="s">
        <v>1760</v>
      </c>
      <c r="F205" s="6" t="s">
        <v>1761</v>
      </c>
      <c r="G205" t="str">
        <f t="shared" si="3"/>
        <v>72300 / Materials &amp; Goods</v>
      </c>
    </row>
    <row r="206" spans="1:7">
      <c r="A206" s="6" t="s">
        <v>1705</v>
      </c>
      <c r="B206" s="6" t="s">
        <v>1706</v>
      </c>
      <c r="C206" s="6" t="s">
        <v>1707</v>
      </c>
      <c r="D206" s="6" t="s">
        <v>1762</v>
      </c>
      <c r="E206" s="6" t="s">
        <v>1763</v>
      </c>
      <c r="F206" s="6" t="s">
        <v>1764</v>
      </c>
      <c r="G206" t="str">
        <f t="shared" si="3"/>
        <v>72300 / Materials &amp; Goods</v>
      </c>
    </row>
    <row r="207" spans="1:7">
      <c r="A207" s="6" t="s">
        <v>1765</v>
      </c>
      <c r="B207" s="6" t="s">
        <v>1766</v>
      </c>
      <c r="C207" s="6" t="s">
        <v>1767</v>
      </c>
      <c r="D207" s="6" t="s">
        <v>1768</v>
      </c>
      <c r="E207" s="6" t="s">
        <v>1769</v>
      </c>
      <c r="F207" s="6" t="s">
        <v>1770</v>
      </c>
      <c r="G207" t="str">
        <f t="shared" si="3"/>
        <v>72400 / Communic &amp; Audio Visual Equip</v>
      </c>
    </row>
    <row r="208" spans="1:7">
      <c r="A208" s="6" t="s">
        <v>1765</v>
      </c>
      <c r="B208" s="6" t="s">
        <v>1766</v>
      </c>
      <c r="C208" s="6" t="s">
        <v>1767</v>
      </c>
      <c r="D208" s="6" t="s">
        <v>1771</v>
      </c>
      <c r="E208" s="6" t="s">
        <v>1772</v>
      </c>
      <c r="F208" s="6" t="s">
        <v>1773</v>
      </c>
      <c r="G208" t="str">
        <f t="shared" si="3"/>
        <v>72400 / Communic &amp; Audio Visual Equip</v>
      </c>
    </row>
    <row r="209" spans="1:7">
      <c r="A209" s="6" t="s">
        <v>1765</v>
      </c>
      <c r="B209" s="6" t="s">
        <v>1766</v>
      </c>
      <c r="C209" s="6" t="s">
        <v>1767</v>
      </c>
      <c r="D209" s="6" t="s">
        <v>1774</v>
      </c>
      <c r="E209" s="6" t="s">
        <v>1775</v>
      </c>
      <c r="F209" s="6" t="s">
        <v>1776</v>
      </c>
      <c r="G209" t="str">
        <f t="shared" si="3"/>
        <v>72400 / Communic &amp; Audio Visual Equip</v>
      </c>
    </row>
    <row r="210" spans="1:7">
      <c r="A210" s="6" t="s">
        <v>1765</v>
      </c>
      <c r="B210" s="6" t="s">
        <v>1766</v>
      </c>
      <c r="C210" s="6" t="s">
        <v>1767</v>
      </c>
      <c r="D210" s="6" t="s">
        <v>1777</v>
      </c>
      <c r="E210" s="6" t="s">
        <v>1778</v>
      </c>
      <c r="F210" s="6" t="s">
        <v>1779</v>
      </c>
      <c r="G210" t="str">
        <f t="shared" si="3"/>
        <v>72400 / Communic &amp; Audio Visual Equip</v>
      </c>
    </row>
    <row r="211" spans="1:7">
      <c r="A211" s="6" t="s">
        <v>1765</v>
      </c>
      <c r="B211" s="6" t="s">
        <v>1766</v>
      </c>
      <c r="C211" s="6" t="s">
        <v>1767</v>
      </c>
      <c r="D211" s="6" t="s">
        <v>1780</v>
      </c>
      <c r="E211" s="6" t="s">
        <v>1781</v>
      </c>
      <c r="F211" s="6" t="s">
        <v>1782</v>
      </c>
      <c r="G211" t="str">
        <f t="shared" si="3"/>
        <v>72400 / Communic &amp; Audio Visual Equip</v>
      </c>
    </row>
    <row r="212" spans="1:7">
      <c r="A212" s="6" t="s">
        <v>1765</v>
      </c>
      <c r="B212" s="6" t="s">
        <v>1766</v>
      </c>
      <c r="C212" s="6" t="s">
        <v>1767</v>
      </c>
      <c r="D212" s="6" t="s">
        <v>1783</v>
      </c>
      <c r="E212" s="6" t="s">
        <v>1784</v>
      </c>
      <c r="F212" s="6" t="s">
        <v>1785</v>
      </c>
      <c r="G212" t="str">
        <f t="shared" si="3"/>
        <v>72400 / Communic &amp; Audio Visual Equip</v>
      </c>
    </row>
    <row r="213" spans="1:7">
      <c r="A213" s="6" t="s">
        <v>1765</v>
      </c>
      <c r="B213" s="6" t="s">
        <v>1766</v>
      </c>
      <c r="C213" s="6" t="s">
        <v>1767</v>
      </c>
      <c r="D213" s="6" t="s">
        <v>1786</v>
      </c>
      <c r="E213" s="6" t="s">
        <v>1787</v>
      </c>
      <c r="F213" s="6" t="s">
        <v>1788</v>
      </c>
      <c r="G213" t="str">
        <f t="shared" si="3"/>
        <v>72400 / Communic &amp; Audio Visual Equip</v>
      </c>
    </row>
    <row r="214" spans="1:7">
      <c r="A214" s="6" t="s">
        <v>1765</v>
      </c>
      <c r="B214" s="6" t="s">
        <v>1766</v>
      </c>
      <c r="C214" s="6" t="s">
        <v>1767</v>
      </c>
      <c r="D214" s="6" t="s">
        <v>1789</v>
      </c>
      <c r="E214" s="6" t="s">
        <v>1790</v>
      </c>
      <c r="F214" s="6" t="s">
        <v>1791</v>
      </c>
      <c r="G214" t="str">
        <f t="shared" si="3"/>
        <v>72400 / Communic &amp; Audio Visual Equip</v>
      </c>
    </row>
    <row r="215" spans="1:7">
      <c r="A215" s="6" t="s">
        <v>1765</v>
      </c>
      <c r="B215" s="6" t="s">
        <v>1766</v>
      </c>
      <c r="C215" s="6" t="s">
        <v>1767</v>
      </c>
      <c r="D215" s="6" t="s">
        <v>1792</v>
      </c>
      <c r="E215" s="6" t="s">
        <v>1793</v>
      </c>
      <c r="F215" s="6" t="s">
        <v>1794</v>
      </c>
      <c r="G215" t="str">
        <f t="shared" si="3"/>
        <v>72400 / Communic &amp; Audio Visual Equip</v>
      </c>
    </row>
    <row r="216" spans="1:7">
      <c r="A216" s="6" t="s">
        <v>1765</v>
      </c>
      <c r="B216" s="6" t="s">
        <v>1766</v>
      </c>
      <c r="C216" s="6" t="s">
        <v>1767</v>
      </c>
      <c r="D216" s="6" t="s">
        <v>1795</v>
      </c>
      <c r="E216" s="6" t="s">
        <v>1796</v>
      </c>
      <c r="F216" s="6" t="s">
        <v>1797</v>
      </c>
      <c r="G216" t="str">
        <f t="shared" si="3"/>
        <v>72400 / Communic &amp; Audio Visual Equip</v>
      </c>
    </row>
    <row r="217" spans="1:7">
      <c r="A217" s="6" t="s">
        <v>1765</v>
      </c>
      <c r="B217" s="6" t="s">
        <v>1766</v>
      </c>
      <c r="C217" s="6" t="s">
        <v>1767</v>
      </c>
      <c r="D217" s="6" t="s">
        <v>1798</v>
      </c>
      <c r="E217" s="6" t="s">
        <v>1799</v>
      </c>
      <c r="F217" s="6" t="s">
        <v>1800</v>
      </c>
      <c r="G217" t="str">
        <f t="shared" si="3"/>
        <v>72400 / Communic &amp; Audio Visual Equip</v>
      </c>
    </row>
    <row r="218" spans="1:7">
      <c r="A218" s="6" t="s">
        <v>1765</v>
      </c>
      <c r="B218" s="6" t="s">
        <v>1766</v>
      </c>
      <c r="C218" s="6" t="s">
        <v>1767</v>
      </c>
      <c r="D218" s="6" t="s">
        <v>1801</v>
      </c>
      <c r="E218" s="6" t="s">
        <v>1802</v>
      </c>
      <c r="F218" s="6" t="s">
        <v>1803</v>
      </c>
      <c r="G218" t="str">
        <f t="shared" si="3"/>
        <v>72400 / Communic &amp; Audio Visual Equip</v>
      </c>
    </row>
    <row r="219" spans="1:7">
      <c r="A219" s="6" t="s">
        <v>1804</v>
      </c>
      <c r="B219" s="6" t="s">
        <v>1805</v>
      </c>
      <c r="C219" s="6" t="s">
        <v>1805</v>
      </c>
      <c r="D219" s="6" t="s">
        <v>1806</v>
      </c>
      <c r="E219" s="6" t="s">
        <v>1807</v>
      </c>
      <c r="F219" s="6" t="s">
        <v>1808</v>
      </c>
      <c r="G219" t="str">
        <f t="shared" si="3"/>
        <v>72500 / Supplies</v>
      </c>
    </row>
    <row r="220" spans="1:7">
      <c r="A220" s="6" t="s">
        <v>1804</v>
      </c>
      <c r="B220" s="6" t="s">
        <v>1805</v>
      </c>
      <c r="C220" s="6" t="s">
        <v>1805</v>
      </c>
      <c r="D220" s="6" t="s">
        <v>1809</v>
      </c>
      <c r="E220" s="6" t="s">
        <v>1810</v>
      </c>
      <c r="F220" s="6" t="s">
        <v>1811</v>
      </c>
      <c r="G220" t="str">
        <f t="shared" si="3"/>
        <v>72500 / Supplies</v>
      </c>
    </row>
    <row r="221" spans="1:7">
      <c r="A221" s="6" t="s">
        <v>1804</v>
      </c>
      <c r="B221" s="6" t="s">
        <v>1805</v>
      </c>
      <c r="C221" s="6" t="s">
        <v>1805</v>
      </c>
      <c r="D221" s="6" t="s">
        <v>1812</v>
      </c>
      <c r="E221" s="6" t="s">
        <v>1813</v>
      </c>
      <c r="F221" s="6" t="s">
        <v>1814</v>
      </c>
      <c r="G221" t="str">
        <f t="shared" si="3"/>
        <v>72500 / Supplies</v>
      </c>
    </row>
    <row r="222" spans="1:7">
      <c r="A222" s="6" t="s">
        <v>1804</v>
      </c>
      <c r="B222" s="6" t="s">
        <v>1805</v>
      </c>
      <c r="C222" s="6" t="s">
        <v>1805</v>
      </c>
      <c r="D222" s="6" t="s">
        <v>1815</v>
      </c>
      <c r="E222" s="6" t="s">
        <v>1816</v>
      </c>
      <c r="F222" s="6" t="s">
        <v>1817</v>
      </c>
      <c r="G222" t="str">
        <f t="shared" si="3"/>
        <v>72500 / Supplies</v>
      </c>
    </row>
    <row r="223" spans="1:7">
      <c r="A223" s="6" t="s">
        <v>1818</v>
      </c>
      <c r="B223" s="6" t="s">
        <v>1819</v>
      </c>
      <c r="C223" s="6" t="s">
        <v>1819</v>
      </c>
      <c r="D223" s="6" t="s">
        <v>1820</v>
      </c>
      <c r="E223" s="6" t="s">
        <v>1821</v>
      </c>
      <c r="F223" s="6" t="s">
        <v>1819</v>
      </c>
      <c r="G223" t="str">
        <f t="shared" si="3"/>
        <v>72600 / Grants</v>
      </c>
    </row>
    <row r="224" spans="1:7">
      <c r="A224" s="6" t="s">
        <v>1818</v>
      </c>
      <c r="B224" s="6" t="s">
        <v>1819</v>
      </c>
      <c r="C224" s="6" t="s">
        <v>1819</v>
      </c>
      <c r="D224" s="6" t="s">
        <v>1822</v>
      </c>
      <c r="E224" s="6" t="s">
        <v>1823</v>
      </c>
      <c r="F224" s="6" t="s">
        <v>1824</v>
      </c>
      <c r="G224" t="str">
        <f t="shared" si="3"/>
        <v>72600 / Grants</v>
      </c>
    </row>
    <row r="225" spans="1:7">
      <c r="A225" s="6" t="s">
        <v>1818</v>
      </c>
      <c r="B225" s="6" t="s">
        <v>1819</v>
      </c>
      <c r="C225" s="6" t="s">
        <v>1819</v>
      </c>
      <c r="D225" s="6" t="s">
        <v>1825</v>
      </c>
      <c r="E225" s="6" t="s">
        <v>1826</v>
      </c>
      <c r="F225" s="6" t="s">
        <v>1827</v>
      </c>
      <c r="G225" t="str">
        <f t="shared" si="3"/>
        <v>72600 / Grants</v>
      </c>
    </row>
    <row r="226" spans="1:7">
      <c r="A226" s="6" t="s">
        <v>1818</v>
      </c>
      <c r="B226" s="6" t="s">
        <v>1819</v>
      </c>
      <c r="C226" s="6" t="s">
        <v>1819</v>
      </c>
      <c r="D226" s="6" t="s">
        <v>1828</v>
      </c>
      <c r="E226" s="6" t="s">
        <v>1829</v>
      </c>
      <c r="F226" s="6" t="s">
        <v>1830</v>
      </c>
      <c r="G226" t="str">
        <f t="shared" si="3"/>
        <v>72600 / Grants</v>
      </c>
    </row>
    <row r="227" spans="1:7">
      <c r="A227" s="6" t="s">
        <v>1818</v>
      </c>
      <c r="B227" s="6" t="s">
        <v>1819</v>
      </c>
      <c r="C227" s="6" t="s">
        <v>1819</v>
      </c>
      <c r="D227" s="6" t="s">
        <v>1831</v>
      </c>
      <c r="E227" s="6" t="s">
        <v>1832</v>
      </c>
      <c r="F227" s="6" t="s">
        <v>1833</v>
      </c>
      <c r="G227" t="str">
        <f t="shared" si="3"/>
        <v>72600 / Grants</v>
      </c>
    </row>
    <row r="228" spans="1:7">
      <c r="A228" s="6" t="s">
        <v>1818</v>
      </c>
      <c r="B228" s="6" t="s">
        <v>1819</v>
      </c>
      <c r="C228" s="6" t="s">
        <v>1819</v>
      </c>
      <c r="D228" s="6" t="s">
        <v>1834</v>
      </c>
      <c r="E228" s="6" t="s">
        <v>1835</v>
      </c>
      <c r="F228" s="6" t="s">
        <v>1836</v>
      </c>
      <c r="G228" t="str">
        <f t="shared" si="3"/>
        <v>72600 / Grants</v>
      </c>
    </row>
    <row r="229" spans="1:7">
      <c r="A229" s="6" t="s">
        <v>1818</v>
      </c>
      <c r="B229" s="6" t="s">
        <v>1819</v>
      </c>
      <c r="C229" s="6" t="s">
        <v>1819</v>
      </c>
      <c r="D229" s="6" t="s">
        <v>1837</v>
      </c>
      <c r="E229" s="6" t="s">
        <v>1838</v>
      </c>
      <c r="F229" s="6" t="s">
        <v>1839</v>
      </c>
      <c r="G229" t="str">
        <f t="shared" si="3"/>
        <v>72600 / Grants</v>
      </c>
    </row>
    <row r="230" spans="1:7">
      <c r="A230" s="6" t="s">
        <v>1840</v>
      </c>
      <c r="B230" s="6" t="s">
        <v>1841</v>
      </c>
      <c r="C230" s="6" t="s">
        <v>1842</v>
      </c>
      <c r="D230" s="6" t="s">
        <v>1843</v>
      </c>
      <c r="E230" s="6" t="s">
        <v>1844</v>
      </c>
      <c r="F230" s="6" t="s">
        <v>1845</v>
      </c>
      <c r="G230" t="str">
        <f t="shared" si="3"/>
        <v>72700 / Hospitality/Catering</v>
      </c>
    </row>
    <row r="231" spans="1:7">
      <c r="A231" s="6" t="s">
        <v>1840</v>
      </c>
      <c r="B231" s="6" t="s">
        <v>1841</v>
      </c>
      <c r="C231" s="6" t="s">
        <v>1842</v>
      </c>
      <c r="D231" s="6" t="s">
        <v>1846</v>
      </c>
      <c r="E231" s="6" t="s">
        <v>1847</v>
      </c>
      <c r="F231" s="6" t="s">
        <v>1848</v>
      </c>
      <c r="G231" t="str">
        <f t="shared" si="3"/>
        <v>72700 / Hospitality/Catering</v>
      </c>
    </row>
    <row r="232" spans="1:7">
      <c r="A232" s="6" t="s">
        <v>1840</v>
      </c>
      <c r="B232" s="6" t="s">
        <v>1841</v>
      </c>
      <c r="C232" s="6" t="s">
        <v>1842</v>
      </c>
      <c r="D232" s="6" t="s">
        <v>1849</v>
      </c>
      <c r="E232" s="6" t="s">
        <v>1850</v>
      </c>
      <c r="F232" s="6" t="s">
        <v>1851</v>
      </c>
      <c r="G232" t="str">
        <f t="shared" si="3"/>
        <v>72700 / Hospitality/Catering</v>
      </c>
    </row>
    <row r="233" spans="1:7">
      <c r="A233" s="6" t="s">
        <v>1852</v>
      </c>
      <c r="B233" s="6" t="s">
        <v>1853</v>
      </c>
      <c r="C233" s="6" t="s">
        <v>1854</v>
      </c>
      <c r="D233" s="6" t="s">
        <v>1855</v>
      </c>
      <c r="E233" s="6" t="s">
        <v>1856</v>
      </c>
      <c r="F233" s="6" t="s">
        <v>1857</v>
      </c>
      <c r="G233" t="str">
        <f t="shared" si="3"/>
        <v>72800 / Information Technology Equipmt</v>
      </c>
    </row>
    <row r="234" spans="1:7">
      <c r="A234" s="6" t="s">
        <v>1852</v>
      </c>
      <c r="B234" s="6" t="s">
        <v>1853</v>
      </c>
      <c r="C234" s="6" t="s">
        <v>1854</v>
      </c>
      <c r="D234" s="6" t="s">
        <v>1858</v>
      </c>
      <c r="E234" s="6" t="s">
        <v>1859</v>
      </c>
      <c r="F234" s="6" t="s">
        <v>1860</v>
      </c>
      <c r="G234" t="str">
        <f t="shared" si="3"/>
        <v>72800 / Information Technology Equipmt</v>
      </c>
    </row>
    <row r="235" spans="1:7">
      <c r="A235" s="6" t="s">
        <v>1852</v>
      </c>
      <c r="B235" s="6" t="s">
        <v>1853</v>
      </c>
      <c r="C235" s="6" t="s">
        <v>1854</v>
      </c>
      <c r="D235" s="6" t="s">
        <v>1861</v>
      </c>
      <c r="E235" s="6" t="s">
        <v>1862</v>
      </c>
      <c r="F235" s="6" t="s">
        <v>1863</v>
      </c>
      <c r="G235" t="str">
        <f t="shared" si="3"/>
        <v>72800 / Information Technology Equipmt</v>
      </c>
    </row>
    <row r="236" spans="1:7">
      <c r="A236" s="6" t="s">
        <v>1852</v>
      </c>
      <c r="B236" s="6" t="s">
        <v>1853</v>
      </c>
      <c r="C236" s="6" t="s">
        <v>1854</v>
      </c>
      <c r="D236" s="6" t="s">
        <v>1864</v>
      </c>
      <c r="E236" s="6" t="s">
        <v>1865</v>
      </c>
      <c r="F236" s="6" t="s">
        <v>1866</v>
      </c>
      <c r="G236" t="str">
        <f t="shared" si="3"/>
        <v>72800 / Information Technology Equipmt</v>
      </c>
    </row>
    <row r="237" spans="1:7">
      <c r="A237" s="6" t="s">
        <v>1852</v>
      </c>
      <c r="B237" s="6" t="s">
        <v>1853</v>
      </c>
      <c r="C237" s="6" t="s">
        <v>1854</v>
      </c>
      <c r="D237" s="6" t="s">
        <v>1867</v>
      </c>
      <c r="E237" s="6" t="s">
        <v>1868</v>
      </c>
      <c r="F237" s="6" t="s">
        <v>1869</v>
      </c>
      <c r="G237" t="str">
        <f t="shared" si="3"/>
        <v>72800 / Information Technology Equipmt</v>
      </c>
    </row>
    <row r="238" spans="1:7">
      <c r="A238" s="6" t="s">
        <v>1852</v>
      </c>
      <c r="B238" s="6" t="s">
        <v>1853</v>
      </c>
      <c r="C238" s="6" t="s">
        <v>1854</v>
      </c>
      <c r="D238" s="6" t="s">
        <v>1870</v>
      </c>
      <c r="E238" s="6" t="s">
        <v>1871</v>
      </c>
      <c r="F238" s="6" t="s">
        <v>1872</v>
      </c>
      <c r="G238" t="str">
        <f t="shared" si="3"/>
        <v>72800 / Information Technology Equipmt</v>
      </c>
    </row>
    <row r="239" spans="1:7">
      <c r="A239" s="6" t="s">
        <v>1852</v>
      </c>
      <c r="B239" s="6" t="s">
        <v>1853</v>
      </c>
      <c r="C239" s="6" t="s">
        <v>1854</v>
      </c>
      <c r="D239" s="6" t="s">
        <v>1873</v>
      </c>
      <c r="E239" s="6" t="s">
        <v>1874</v>
      </c>
      <c r="F239" s="6" t="s">
        <v>1875</v>
      </c>
      <c r="G239" t="str">
        <f t="shared" si="3"/>
        <v>72800 / Information Technology Equipmt</v>
      </c>
    </row>
    <row r="240" spans="1:7">
      <c r="A240" s="6" t="s">
        <v>1852</v>
      </c>
      <c r="B240" s="6" t="s">
        <v>1853</v>
      </c>
      <c r="C240" s="6" t="s">
        <v>1854</v>
      </c>
      <c r="D240" s="6" t="s">
        <v>1876</v>
      </c>
      <c r="E240" s="6" t="s">
        <v>1877</v>
      </c>
      <c r="F240" s="6" t="s">
        <v>1878</v>
      </c>
      <c r="G240" t="str">
        <f t="shared" si="3"/>
        <v>72800 / Information Technology Equipmt</v>
      </c>
    </row>
    <row r="241" spans="1:7">
      <c r="A241" s="6" t="s">
        <v>1852</v>
      </c>
      <c r="B241" s="6" t="s">
        <v>1853</v>
      </c>
      <c r="C241" s="6" t="s">
        <v>1854</v>
      </c>
      <c r="D241" s="6" t="s">
        <v>1879</v>
      </c>
      <c r="E241" s="6" t="s">
        <v>1880</v>
      </c>
      <c r="F241" s="6" t="s">
        <v>1881</v>
      </c>
      <c r="G241" t="str">
        <f t="shared" si="3"/>
        <v>72800 / Information Technology Equipmt</v>
      </c>
    </row>
    <row r="242" spans="1:7">
      <c r="A242" s="6" t="s">
        <v>1852</v>
      </c>
      <c r="B242" s="6" t="s">
        <v>1853</v>
      </c>
      <c r="C242" s="6" t="s">
        <v>1854</v>
      </c>
      <c r="D242" s="6" t="s">
        <v>1882</v>
      </c>
      <c r="E242" s="6" t="s">
        <v>1883</v>
      </c>
      <c r="F242" s="6" t="s">
        <v>1884</v>
      </c>
      <c r="G242" t="str">
        <f t="shared" si="3"/>
        <v>72800 / Information Technology Equipmt</v>
      </c>
    </row>
    <row r="243" spans="1:7">
      <c r="A243" s="6" t="s">
        <v>1852</v>
      </c>
      <c r="B243" s="6" t="s">
        <v>1853</v>
      </c>
      <c r="C243" s="6" t="s">
        <v>1854</v>
      </c>
      <c r="D243" s="6" t="s">
        <v>1885</v>
      </c>
      <c r="E243" s="6" t="s">
        <v>1886</v>
      </c>
      <c r="F243" s="6" t="s">
        <v>1887</v>
      </c>
      <c r="G243" t="str">
        <f t="shared" si="3"/>
        <v>72800 / Information Technology Equipmt</v>
      </c>
    </row>
    <row r="244" spans="1:7">
      <c r="A244" s="6" t="s">
        <v>1852</v>
      </c>
      <c r="B244" s="6" t="s">
        <v>1853</v>
      </c>
      <c r="C244" s="6" t="s">
        <v>1854</v>
      </c>
      <c r="D244" s="6" t="s">
        <v>1888</v>
      </c>
      <c r="E244" s="6" t="s">
        <v>1889</v>
      </c>
      <c r="F244" s="6" t="s">
        <v>1890</v>
      </c>
      <c r="G244" t="str">
        <f t="shared" si="3"/>
        <v>72800 / Information Technology Equipmt</v>
      </c>
    </row>
    <row r="245" spans="1:7">
      <c r="A245" s="6" t="s">
        <v>1852</v>
      </c>
      <c r="B245" s="6" t="s">
        <v>1853</v>
      </c>
      <c r="C245" s="6" t="s">
        <v>1854</v>
      </c>
      <c r="D245" s="6" t="s">
        <v>1891</v>
      </c>
      <c r="E245" s="6" t="s">
        <v>1892</v>
      </c>
      <c r="F245" s="6" t="s">
        <v>1893</v>
      </c>
      <c r="G245" t="str">
        <f t="shared" si="3"/>
        <v>72800 / Information Technology Equipmt</v>
      </c>
    </row>
    <row r="246" spans="1:7">
      <c r="A246" s="6" t="s">
        <v>1852</v>
      </c>
      <c r="B246" s="6" t="s">
        <v>1853</v>
      </c>
      <c r="C246" s="6" t="s">
        <v>1854</v>
      </c>
      <c r="D246" s="6" t="s">
        <v>1894</v>
      </c>
      <c r="E246" s="6" t="s">
        <v>1895</v>
      </c>
      <c r="F246" s="6" t="s">
        <v>1896</v>
      </c>
      <c r="G246" t="str">
        <f t="shared" si="3"/>
        <v>72800 / Information Technology Equipmt</v>
      </c>
    </row>
    <row r="247" spans="1:7">
      <c r="A247" s="6" t="s">
        <v>1852</v>
      </c>
      <c r="B247" s="6" t="s">
        <v>1853</v>
      </c>
      <c r="C247" s="6" t="s">
        <v>1854</v>
      </c>
      <c r="D247" s="6" t="s">
        <v>1897</v>
      </c>
      <c r="E247" s="6" t="s">
        <v>1898</v>
      </c>
      <c r="F247" s="6" t="s">
        <v>1899</v>
      </c>
      <c r="G247" t="str">
        <f t="shared" si="3"/>
        <v>72800 / Information Technology Equipmt</v>
      </c>
    </row>
    <row r="248" spans="1:7">
      <c r="A248" s="6" t="s">
        <v>1852</v>
      </c>
      <c r="B248" s="6" t="s">
        <v>1853</v>
      </c>
      <c r="C248" s="6" t="s">
        <v>1854</v>
      </c>
      <c r="D248" s="6" t="s">
        <v>1900</v>
      </c>
      <c r="E248" s="6" t="s">
        <v>1901</v>
      </c>
      <c r="F248" s="6" t="s">
        <v>1902</v>
      </c>
      <c r="G248" t="str">
        <f t="shared" si="3"/>
        <v>72800 / Information Technology Equipmt</v>
      </c>
    </row>
    <row r="249" spans="1:7">
      <c r="A249" s="6" t="s">
        <v>1852</v>
      </c>
      <c r="B249" s="6" t="s">
        <v>1853</v>
      </c>
      <c r="C249" s="6" t="s">
        <v>1854</v>
      </c>
      <c r="D249" s="6" t="s">
        <v>1903</v>
      </c>
      <c r="E249" s="6" t="s">
        <v>1904</v>
      </c>
      <c r="F249" s="6" t="s">
        <v>1904</v>
      </c>
      <c r="G249" t="str">
        <f t="shared" si="3"/>
        <v>72800 / Information Technology Equipmt</v>
      </c>
    </row>
    <row r="250" spans="1:7">
      <c r="A250" s="6" t="s">
        <v>1852</v>
      </c>
      <c r="B250" s="6" t="s">
        <v>1853</v>
      </c>
      <c r="C250" s="6" t="s">
        <v>1854</v>
      </c>
      <c r="D250" s="6" t="s">
        <v>1905</v>
      </c>
      <c r="E250" s="6" t="s">
        <v>1906</v>
      </c>
      <c r="F250" s="6" t="s">
        <v>1907</v>
      </c>
      <c r="G250" t="str">
        <f t="shared" si="3"/>
        <v>72800 / Information Technology Equipmt</v>
      </c>
    </row>
    <row r="251" spans="1:7">
      <c r="A251" s="6" t="s">
        <v>1852</v>
      </c>
      <c r="B251" s="6" t="s">
        <v>1853</v>
      </c>
      <c r="C251" s="6" t="s">
        <v>1854</v>
      </c>
      <c r="D251" s="6" t="s">
        <v>1908</v>
      </c>
      <c r="E251" s="6" t="s">
        <v>1909</v>
      </c>
      <c r="F251" s="6" t="s">
        <v>1910</v>
      </c>
      <c r="G251" t="str">
        <f t="shared" si="3"/>
        <v>72800 / Information Technology Equipmt</v>
      </c>
    </row>
    <row r="252" spans="1:7">
      <c r="A252" s="6" t="s">
        <v>1852</v>
      </c>
      <c r="B252" s="6" t="s">
        <v>1853</v>
      </c>
      <c r="C252" s="6" t="s">
        <v>1854</v>
      </c>
      <c r="D252" s="6" t="s">
        <v>1911</v>
      </c>
      <c r="E252" s="6" t="s">
        <v>1912</v>
      </c>
      <c r="F252" s="6" t="s">
        <v>1913</v>
      </c>
      <c r="G252" t="str">
        <f t="shared" si="3"/>
        <v>72800 / Information Technology Equipmt</v>
      </c>
    </row>
    <row r="253" spans="1:7">
      <c r="A253" s="6" t="s">
        <v>1914</v>
      </c>
      <c r="B253" s="6" t="s">
        <v>1915</v>
      </c>
      <c r="C253" s="6" t="s">
        <v>1916</v>
      </c>
      <c r="D253" s="6" t="s">
        <v>1917</v>
      </c>
      <c r="E253" s="6" t="s">
        <v>1918</v>
      </c>
      <c r="F253" s="6" t="s">
        <v>1919</v>
      </c>
      <c r="G253" t="str">
        <f t="shared" si="3"/>
        <v>73100 / Rental &amp; Maintenance-Premises</v>
      </c>
    </row>
    <row r="254" spans="1:7">
      <c r="A254" s="6" t="s">
        <v>1914</v>
      </c>
      <c r="B254" s="6" t="s">
        <v>1915</v>
      </c>
      <c r="C254" s="6" t="s">
        <v>1916</v>
      </c>
      <c r="D254" s="6" t="s">
        <v>1920</v>
      </c>
      <c r="E254" s="6" t="s">
        <v>1921</v>
      </c>
      <c r="F254" s="6" t="s">
        <v>1922</v>
      </c>
      <c r="G254" t="str">
        <f t="shared" si="3"/>
        <v>73100 / Rental &amp; Maintenance-Premises</v>
      </c>
    </row>
    <row r="255" spans="1:7">
      <c r="A255" s="6" t="s">
        <v>1914</v>
      </c>
      <c r="B255" s="6" t="s">
        <v>1915</v>
      </c>
      <c r="C255" s="6" t="s">
        <v>1916</v>
      </c>
      <c r="D255" s="6" t="s">
        <v>1923</v>
      </c>
      <c r="E255" s="6" t="s">
        <v>1924</v>
      </c>
      <c r="F255" s="6" t="s">
        <v>1924</v>
      </c>
      <c r="G255" t="str">
        <f t="shared" si="3"/>
        <v>73100 / Rental &amp; Maintenance-Premises</v>
      </c>
    </row>
    <row r="256" spans="1:7">
      <c r="A256" s="6" t="s">
        <v>1914</v>
      </c>
      <c r="B256" s="6" t="s">
        <v>1915</v>
      </c>
      <c r="C256" s="6" t="s">
        <v>1916</v>
      </c>
      <c r="D256" s="6" t="s">
        <v>1925</v>
      </c>
      <c r="E256" s="6" t="s">
        <v>1926</v>
      </c>
      <c r="F256" s="6" t="s">
        <v>1927</v>
      </c>
      <c r="G256" t="str">
        <f t="shared" si="3"/>
        <v>73100 / Rental &amp; Maintenance-Premises</v>
      </c>
    </row>
    <row r="257" spans="1:7">
      <c r="A257" s="6" t="s">
        <v>1914</v>
      </c>
      <c r="B257" s="6" t="s">
        <v>1915</v>
      </c>
      <c r="C257" s="6" t="s">
        <v>1916</v>
      </c>
      <c r="D257" s="6" t="s">
        <v>1928</v>
      </c>
      <c r="E257" s="6" t="s">
        <v>1929</v>
      </c>
      <c r="F257" s="6" t="s">
        <v>1930</v>
      </c>
      <c r="G257" t="str">
        <f t="shared" si="3"/>
        <v>73100 / Rental &amp; Maintenance-Premises</v>
      </c>
    </row>
    <row r="258" spans="1:7">
      <c r="A258" s="6" t="s">
        <v>1914</v>
      </c>
      <c r="B258" s="6" t="s">
        <v>1915</v>
      </c>
      <c r="C258" s="6" t="s">
        <v>1916</v>
      </c>
      <c r="D258" s="6" t="s">
        <v>1931</v>
      </c>
      <c r="E258" s="6" t="s">
        <v>1932</v>
      </c>
      <c r="F258" s="6" t="s">
        <v>1933</v>
      </c>
      <c r="G258" t="str">
        <f t="shared" si="3"/>
        <v>73100 / Rental &amp; Maintenance-Premises</v>
      </c>
    </row>
    <row r="259" spans="1:7">
      <c r="A259" s="6" t="s">
        <v>1914</v>
      </c>
      <c r="B259" s="6" t="s">
        <v>1915</v>
      </c>
      <c r="C259" s="6" t="s">
        <v>1916</v>
      </c>
      <c r="D259" s="6" t="s">
        <v>1934</v>
      </c>
      <c r="E259" s="6" t="s">
        <v>1935</v>
      </c>
      <c r="F259" s="6" t="s">
        <v>1936</v>
      </c>
      <c r="G259" t="str">
        <f t="shared" ref="G259:G322" si="4">A259&amp;" / "&amp;B259</f>
        <v>73100 / Rental &amp; Maintenance-Premises</v>
      </c>
    </row>
    <row r="260" spans="1:7">
      <c r="A260" s="6" t="s">
        <v>1914</v>
      </c>
      <c r="B260" s="6" t="s">
        <v>1915</v>
      </c>
      <c r="C260" s="6" t="s">
        <v>1916</v>
      </c>
      <c r="D260" s="6" t="s">
        <v>1937</v>
      </c>
      <c r="E260" s="6" t="s">
        <v>1938</v>
      </c>
      <c r="F260" s="6" t="s">
        <v>1939</v>
      </c>
      <c r="G260" t="str">
        <f t="shared" si="4"/>
        <v>73100 / Rental &amp; Maintenance-Premises</v>
      </c>
    </row>
    <row r="261" spans="1:7">
      <c r="A261" s="6" t="s">
        <v>1914</v>
      </c>
      <c r="B261" s="6" t="s">
        <v>1915</v>
      </c>
      <c r="C261" s="6" t="s">
        <v>1916</v>
      </c>
      <c r="D261" s="6" t="s">
        <v>1940</v>
      </c>
      <c r="E261" s="6" t="s">
        <v>1941</v>
      </c>
      <c r="F261" s="6" t="s">
        <v>1941</v>
      </c>
      <c r="G261" t="str">
        <f t="shared" si="4"/>
        <v>73100 / Rental &amp; Maintenance-Premises</v>
      </c>
    </row>
    <row r="262" spans="1:7">
      <c r="A262" s="6" t="s">
        <v>1914</v>
      </c>
      <c r="B262" s="6" t="s">
        <v>1915</v>
      </c>
      <c r="C262" s="6" t="s">
        <v>1916</v>
      </c>
      <c r="D262" s="6" t="s">
        <v>1942</v>
      </c>
      <c r="E262" s="6" t="s">
        <v>1943</v>
      </c>
      <c r="F262" s="6" t="s">
        <v>1944</v>
      </c>
      <c r="G262" t="str">
        <f t="shared" si="4"/>
        <v>73100 / Rental &amp; Maintenance-Premises</v>
      </c>
    </row>
    <row r="263" spans="1:7">
      <c r="A263" s="6" t="s">
        <v>1945</v>
      </c>
      <c r="B263" s="6" t="s">
        <v>1946</v>
      </c>
      <c r="C263" s="6" t="s">
        <v>1947</v>
      </c>
      <c r="D263" s="6" t="s">
        <v>1948</v>
      </c>
      <c r="E263" s="6" t="s">
        <v>1949</v>
      </c>
      <c r="F263" s="6" t="s">
        <v>1949</v>
      </c>
      <c r="G263" t="str">
        <f t="shared" si="4"/>
        <v>73200 / Premises Alternations</v>
      </c>
    </row>
    <row r="264" spans="1:7">
      <c r="A264" s="6" t="s">
        <v>1945</v>
      </c>
      <c r="B264" s="6" t="s">
        <v>1946</v>
      </c>
      <c r="C264" s="6" t="s">
        <v>1947</v>
      </c>
      <c r="D264" s="6" t="s">
        <v>1950</v>
      </c>
      <c r="E264" s="6" t="s">
        <v>1951</v>
      </c>
      <c r="F264" s="6" t="s">
        <v>1951</v>
      </c>
      <c r="G264" t="str">
        <f t="shared" si="4"/>
        <v>73200 / Premises Alternations</v>
      </c>
    </row>
    <row r="265" spans="1:7">
      <c r="A265" s="6" t="s">
        <v>1945</v>
      </c>
      <c r="B265" s="6" t="s">
        <v>1946</v>
      </c>
      <c r="C265" s="6" t="s">
        <v>1947</v>
      </c>
      <c r="D265" s="6" t="s">
        <v>1952</v>
      </c>
      <c r="E265" s="6" t="s">
        <v>1946</v>
      </c>
      <c r="F265" s="6" t="s">
        <v>1953</v>
      </c>
      <c r="G265" t="str">
        <f t="shared" si="4"/>
        <v>73200 / Premises Alternations</v>
      </c>
    </row>
    <row r="266" spans="1:7">
      <c r="A266" s="6" t="s">
        <v>1945</v>
      </c>
      <c r="B266" s="6" t="s">
        <v>1946</v>
      </c>
      <c r="C266" s="6" t="s">
        <v>1947</v>
      </c>
      <c r="D266" s="6" t="s">
        <v>1954</v>
      </c>
      <c r="E266" s="6" t="s">
        <v>1955</v>
      </c>
      <c r="F266" s="6" t="s">
        <v>1956</v>
      </c>
      <c r="G266" t="str">
        <f t="shared" si="4"/>
        <v>73200 / Premises Alternations</v>
      </c>
    </row>
    <row r="267" spans="1:7">
      <c r="A267" s="6" t="s">
        <v>1945</v>
      </c>
      <c r="B267" s="6" t="s">
        <v>1946</v>
      </c>
      <c r="C267" s="6" t="s">
        <v>1947</v>
      </c>
      <c r="D267" s="6" t="s">
        <v>1957</v>
      </c>
      <c r="E267" s="6" t="s">
        <v>1958</v>
      </c>
      <c r="F267" s="6" t="s">
        <v>1959</v>
      </c>
      <c r="G267" t="str">
        <f t="shared" si="4"/>
        <v>73200 / Premises Alternations</v>
      </c>
    </row>
    <row r="268" spans="1:7">
      <c r="A268" s="6" t="s">
        <v>1960</v>
      </c>
      <c r="B268" s="6" t="s">
        <v>1961</v>
      </c>
      <c r="C268" s="6" t="s">
        <v>1962</v>
      </c>
      <c r="D268" s="6" t="s">
        <v>1963</v>
      </c>
      <c r="E268" s="6" t="s">
        <v>1964</v>
      </c>
      <c r="F268" s="6" t="s">
        <v>1965</v>
      </c>
      <c r="G268" t="str">
        <f t="shared" si="4"/>
        <v>73300 / Rental &amp; Maint of Info Tech Eq</v>
      </c>
    </row>
    <row r="269" spans="1:7">
      <c r="A269" s="6" t="s">
        <v>1960</v>
      </c>
      <c r="B269" s="6" t="s">
        <v>1961</v>
      </c>
      <c r="C269" s="6" t="s">
        <v>1962</v>
      </c>
      <c r="D269" s="6" t="s">
        <v>1966</v>
      </c>
      <c r="E269" s="6" t="s">
        <v>1967</v>
      </c>
      <c r="F269" s="6" t="s">
        <v>1968</v>
      </c>
      <c r="G269" t="str">
        <f t="shared" si="4"/>
        <v>73300 / Rental &amp; Maint of Info Tech Eq</v>
      </c>
    </row>
    <row r="270" spans="1:7">
      <c r="A270" s="6" t="s">
        <v>1960</v>
      </c>
      <c r="B270" s="6" t="s">
        <v>1961</v>
      </c>
      <c r="C270" s="6" t="s">
        <v>1962</v>
      </c>
      <c r="D270" s="6" t="s">
        <v>1969</v>
      </c>
      <c r="E270" s="6" t="s">
        <v>1970</v>
      </c>
      <c r="F270" s="6" t="s">
        <v>1971</v>
      </c>
      <c r="G270" t="str">
        <f t="shared" si="4"/>
        <v>73300 / Rental &amp; Maint of Info Tech Eq</v>
      </c>
    </row>
    <row r="271" spans="1:7">
      <c r="A271" s="6" t="s">
        <v>1972</v>
      </c>
      <c r="B271" s="6" t="s">
        <v>1973</v>
      </c>
      <c r="C271" s="6" t="s">
        <v>1974</v>
      </c>
      <c r="D271" s="6" t="s">
        <v>1975</v>
      </c>
      <c r="E271" s="6" t="s">
        <v>1976</v>
      </c>
      <c r="F271" s="6" t="s">
        <v>1977</v>
      </c>
      <c r="G271" t="str">
        <f t="shared" si="4"/>
        <v>73400 / Rental &amp; Maint of Other Equip</v>
      </c>
    </row>
    <row r="272" spans="1:7">
      <c r="A272" s="6" t="s">
        <v>1972</v>
      </c>
      <c r="B272" s="6" t="s">
        <v>1973</v>
      </c>
      <c r="C272" s="6" t="s">
        <v>1974</v>
      </c>
      <c r="D272" s="6" t="s">
        <v>1978</v>
      </c>
      <c r="E272" s="6" t="s">
        <v>1979</v>
      </c>
      <c r="F272" s="6" t="s">
        <v>1980</v>
      </c>
      <c r="G272" t="str">
        <f t="shared" si="4"/>
        <v>73400 / Rental &amp; Maint of Other Equip</v>
      </c>
    </row>
    <row r="273" spans="1:7">
      <c r="A273" s="6" t="s">
        <v>1972</v>
      </c>
      <c r="B273" s="6" t="s">
        <v>1973</v>
      </c>
      <c r="C273" s="6" t="s">
        <v>1974</v>
      </c>
      <c r="D273" s="6" t="s">
        <v>1981</v>
      </c>
      <c r="E273" s="6" t="s">
        <v>1982</v>
      </c>
      <c r="F273" s="6" t="s">
        <v>1983</v>
      </c>
      <c r="G273" t="str">
        <f t="shared" si="4"/>
        <v>73400 / Rental &amp; Maint of Other Equip</v>
      </c>
    </row>
    <row r="274" spans="1:7">
      <c r="A274" s="6" t="s">
        <v>1972</v>
      </c>
      <c r="B274" s="6" t="s">
        <v>1973</v>
      </c>
      <c r="C274" s="6" t="s">
        <v>1974</v>
      </c>
      <c r="D274" s="6" t="s">
        <v>1984</v>
      </c>
      <c r="E274" s="6" t="s">
        <v>1985</v>
      </c>
      <c r="F274" s="6" t="s">
        <v>1986</v>
      </c>
      <c r="G274" t="str">
        <f t="shared" si="4"/>
        <v>73400 / Rental &amp; Maint of Other Equip</v>
      </c>
    </row>
    <row r="275" spans="1:7">
      <c r="A275" s="6" t="s">
        <v>1972</v>
      </c>
      <c r="B275" s="6" t="s">
        <v>1973</v>
      </c>
      <c r="C275" s="6" t="s">
        <v>1974</v>
      </c>
      <c r="D275" s="6" t="s">
        <v>1987</v>
      </c>
      <c r="E275" s="6" t="s">
        <v>1988</v>
      </c>
      <c r="F275" s="6" t="s">
        <v>1989</v>
      </c>
      <c r="G275" t="str">
        <f t="shared" si="4"/>
        <v>73400 / Rental &amp; Maint of Other Equip</v>
      </c>
    </row>
    <row r="276" spans="1:7">
      <c r="A276" s="6" t="s">
        <v>1990</v>
      </c>
      <c r="B276" s="6" t="s">
        <v>1991</v>
      </c>
      <c r="C276" s="6" t="s">
        <v>1992</v>
      </c>
      <c r="D276" s="6" t="s">
        <v>1993</v>
      </c>
      <c r="E276" s="6" t="s">
        <v>1994</v>
      </c>
      <c r="F276" s="6" t="s">
        <v>1995</v>
      </c>
      <c r="G276" t="str">
        <f t="shared" si="4"/>
        <v>73500 / Reimbursement Costs</v>
      </c>
    </row>
    <row r="277" spans="1:7">
      <c r="A277" s="6" t="s">
        <v>1990</v>
      </c>
      <c r="B277" s="6" t="s">
        <v>1991</v>
      </c>
      <c r="C277" s="6" t="s">
        <v>1992</v>
      </c>
      <c r="D277" s="6" t="s">
        <v>1996</v>
      </c>
      <c r="E277" s="6" t="s">
        <v>1997</v>
      </c>
      <c r="F277" s="6" t="s">
        <v>1998</v>
      </c>
      <c r="G277" t="str">
        <f t="shared" si="4"/>
        <v>73500 / Reimbursement Costs</v>
      </c>
    </row>
    <row r="278" spans="1:7">
      <c r="A278" s="6" t="s">
        <v>1990</v>
      </c>
      <c r="B278" s="6" t="s">
        <v>1991</v>
      </c>
      <c r="C278" s="6" t="s">
        <v>1992</v>
      </c>
      <c r="D278" s="6" t="s">
        <v>1999</v>
      </c>
      <c r="E278" s="6" t="s">
        <v>2000</v>
      </c>
      <c r="F278" s="6" t="s">
        <v>2001</v>
      </c>
      <c r="G278" t="str">
        <f t="shared" si="4"/>
        <v>73500 / Reimbursement Costs</v>
      </c>
    </row>
    <row r="279" spans="1:7">
      <c r="A279" s="6" t="s">
        <v>1990</v>
      </c>
      <c r="B279" s="6" t="s">
        <v>1991</v>
      </c>
      <c r="C279" s="6" t="s">
        <v>1992</v>
      </c>
      <c r="D279" s="6" t="s">
        <v>2002</v>
      </c>
      <c r="E279" s="6" t="s">
        <v>2003</v>
      </c>
      <c r="F279" s="6" t="s">
        <v>2004</v>
      </c>
      <c r="G279" t="str">
        <f t="shared" si="4"/>
        <v>73500 / Reimbursement Costs</v>
      </c>
    </row>
    <row r="280" spans="1:7">
      <c r="A280" s="6" t="s">
        <v>2005</v>
      </c>
      <c r="B280" s="6" t="s">
        <v>2006</v>
      </c>
      <c r="C280" s="6" t="s">
        <v>2007</v>
      </c>
      <c r="D280" s="6" t="s">
        <v>2008</v>
      </c>
      <c r="E280" s="6" t="s">
        <v>2009</v>
      </c>
      <c r="F280" s="6" t="s">
        <v>2010</v>
      </c>
      <c r="G280" t="str">
        <f t="shared" si="4"/>
        <v>74100 / Professional Services</v>
      </c>
    </row>
    <row r="281" spans="1:7">
      <c r="A281" s="6" t="s">
        <v>2005</v>
      </c>
      <c r="B281" s="6" t="s">
        <v>2006</v>
      </c>
      <c r="C281" s="6" t="s">
        <v>2007</v>
      </c>
      <c r="D281" s="6" t="s">
        <v>2011</v>
      </c>
      <c r="E281" s="6" t="s">
        <v>2012</v>
      </c>
      <c r="F281" s="6" t="s">
        <v>2012</v>
      </c>
      <c r="G281" t="str">
        <f t="shared" si="4"/>
        <v>74100 / Professional Services</v>
      </c>
    </row>
    <row r="282" spans="1:7">
      <c r="A282" s="6" t="s">
        <v>2005</v>
      </c>
      <c r="B282" s="6" t="s">
        <v>2006</v>
      </c>
      <c r="C282" s="6" t="s">
        <v>2007</v>
      </c>
      <c r="D282" s="6" t="s">
        <v>2013</v>
      </c>
      <c r="E282" s="6" t="s">
        <v>2014</v>
      </c>
      <c r="F282" s="6" t="s">
        <v>2015</v>
      </c>
      <c r="G282" t="str">
        <f t="shared" si="4"/>
        <v>74100 / Professional Services</v>
      </c>
    </row>
    <row r="283" spans="1:7">
      <c r="A283" s="6" t="s">
        <v>2005</v>
      </c>
      <c r="B283" s="6" t="s">
        <v>2006</v>
      </c>
      <c r="C283" s="6" t="s">
        <v>2007</v>
      </c>
      <c r="D283" s="6" t="s">
        <v>2016</v>
      </c>
      <c r="E283" s="6" t="s">
        <v>2017</v>
      </c>
      <c r="F283" s="6" t="s">
        <v>2017</v>
      </c>
      <c r="G283" t="str">
        <f t="shared" si="4"/>
        <v>74100 / Professional Services</v>
      </c>
    </row>
    <row r="284" spans="1:7">
      <c r="A284" s="6" t="s">
        <v>2005</v>
      </c>
      <c r="B284" s="6" t="s">
        <v>2006</v>
      </c>
      <c r="C284" s="6" t="s">
        <v>2007</v>
      </c>
      <c r="D284" s="6" t="s">
        <v>2018</v>
      </c>
      <c r="E284" s="6" t="s">
        <v>2019</v>
      </c>
      <c r="F284" s="6" t="s">
        <v>2020</v>
      </c>
      <c r="G284" t="str">
        <f t="shared" si="4"/>
        <v>74100 / Professional Services</v>
      </c>
    </row>
    <row r="285" spans="1:7">
      <c r="A285" s="6" t="s">
        <v>2005</v>
      </c>
      <c r="B285" s="6" t="s">
        <v>2006</v>
      </c>
      <c r="C285" s="6" t="s">
        <v>2007</v>
      </c>
      <c r="D285" s="6" t="s">
        <v>2021</v>
      </c>
      <c r="E285" s="6" t="s">
        <v>2022</v>
      </c>
      <c r="F285" s="6" t="s">
        <v>2023</v>
      </c>
      <c r="G285" t="str">
        <f t="shared" si="4"/>
        <v>74100 / Professional Services</v>
      </c>
    </row>
    <row r="286" spans="1:7">
      <c r="A286" s="6" t="s">
        <v>2024</v>
      </c>
      <c r="B286" s="6" t="s">
        <v>2025</v>
      </c>
      <c r="C286" s="6" t="s">
        <v>2026</v>
      </c>
      <c r="D286" s="6" t="s">
        <v>2027</v>
      </c>
      <c r="E286" s="6" t="s">
        <v>2028</v>
      </c>
      <c r="F286" s="6" t="s">
        <v>2029</v>
      </c>
      <c r="G286" t="str">
        <f t="shared" si="4"/>
        <v>74200 / Audio Visual&amp;Print Prod Costs</v>
      </c>
    </row>
    <row r="287" spans="1:7">
      <c r="A287" s="6" t="s">
        <v>2024</v>
      </c>
      <c r="B287" s="6" t="s">
        <v>2025</v>
      </c>
      <c r="C287" s="6" t="s">
        <v>2026</v>
      </c>
      <c r="D287" s="6" t="s">
        <v>2030</v>
      </c>
      <c r="E287" s="6" t="s">
        <v>2031</v>
      </c>
      <c r="F287" s="6" t="s">
        <v>2032</v>
      </c>
      <c r="G287" t="str">
        <f t="shared" si="4"/>
        <v>74200 / Audio Visual&amp;Print Prod Costs</v>
      </c>
    </row>
    <row r="288" spans="1:7">
      <c r="A288" s="6" t="s">
        <v>2024</v>
      </c>
      <c r="B288" s="6" t="s">
        <v>2025</v>
      </c>
      <c r="C288" s="6" t="s">
        <v>2026</v>
      </c>
      <c r="D288" s="6" t="s">
        <v>2033</v>
      </c>
      <c r="E288" s="6" t="s">
        <v>2034</v>
      </c>
      <c r="F288" s="6" t="s">
        <v>2035</v>
      </c>
      <c r="G288" t="str">
        <f t="shared" si="4"/>
        <v>74200 / Audio Visual&amp;Print Prod Costs</v>
      </c>
    </row>
    <row r="289" spans="1:7">
      <c r="A289" s="6" t="s">
        <v>2024</v>
      </c>
      <c r="B289" s="6" t="s">
        <v>2025</v>
      </c>
      <c r="C289" s="6" t="s">
        <v>2026</v>
      </c>
      <c r="D289" s="6" t="s">
        <v>2036</v>
      </c>
      <c r="E289" s="6" t="s">
        <v>2037</v>
      </c>
      <c r="F289" s="6" t="s">
        <v>2038</v>
      </c>
      <c r="G289" t="str">
        <f t="shared" si="4"/>
        <v>74200 / Audio Visual&amp;Print Prod Costs</v>
      </c>
    </row>
    <row r="290" spans="1:7">
      <c r="A290" s="6" t="s">
        <v>2024</v>
      </c>
      <c r="B290" s="6" t="s">
        <v>2025</v>
      </c>
      <c r="C290" s="6" t="s">
        <v>2026</v>
      </c>
      <c r="D290" s="6" t="s">
        <v>2039</v>
      </c>
      <c r="E290" s="6" t="s">
        <v>2040</v>
      </c>
      <c r="F290" s="6" t="s">
        <v>2041</v>
      </c>
      <c r="G290" t="str">
        <f t="shared" si="4"/>
        <v>74200 / Audio Visual&amp;Print Prod Costs</v>
      </c>
    </row>
    <row r="291" spans="1:7">
      <c r="A291" s="6" t="s">
        <v>2024</v>
      </c>
      <c r="B291" s="6" t="s">
        <v>2025</v>
      </c>
      <c r="C291" s="6" t="s">
        <v>2026</v>
      </c>
      <c r="D291" s="6" t="s">
        <v>2042</v>
      </c>
      <c r="E291" s="6" t="s">
        <v>2043</v>
      </c>
      <c r="F291" s="6" t="s">
        <v>2029</v>
      </c>
      <c r="G291" t="str">
        <f t="shared" si="4"/>
        <v>74200 / Audio Visual&amp;Print Prod Costs</v>
      </c>
    </row>
    <row r="292" spans="1:7">
      <c r="A292" s="6" t="s">
        <v>2044</v>
      </c>
      <c r="B292" s="6" t="s">
        <v>2045</v>
      </c>
      <c r="C292" s="6" t="s">
        <v>2046</v>
      </c>
      <c r="D292" s="6" t="s">
        <v>2047</v>
      </c>
      <c r="E292" s="6" t="s">
        <v>2048</v>
      </c>
      <c r="F292" s="6" t="s">
        <v>2049</v>
      </c>
      <c r="G292" t="str">
        <f t="shared" si="4"/>
        <v>74300 / Contributions</v>
      </c>
    </row>
    <row r="293" spans="1:7">
      <c r="A293" s="6" t="s">
        <v>2044</v>
      </c>
      <c r="B293" s="6" t="s">
        <v>2045</v>
      </c>
      <c r="C293" s="6" t="s">
        <v>2046</v>
      </c>
      <c r="D293" s="6" t="s">
        <v>2050</v>
      </c>
      <c r="E293" s="6" t="s">
        <v>2051</v>
      </c>
      <c r="F293" s="6" t="s">
        <v>2052</v>
      </c>
      <c r="G293" t="str">
        <f t="shared" si="4"/>
        <v>74300 / Contributions</v>
      </c>
    </row>
    <row r="294" spans="1:7">
      <c r="A294" s="6" t="s">
        <v>2044</v>
      </c>
      <c r="B294" s="6" t="s">
        <v>2045</v>
      </c>
      <c r="C294" s="6" t="s">
        <v>2046</v>
      </c>
      <c r="D294" s="6" t="s">
        <v>2053</v>
      </c>
      <c r="E294" s="6" t="s">
        <v>2054</v>
      </c>
      <c r="F294" s="6" t="s">
        <v>2055</v>
      </c>
      <c r="G294" t="str">
        <f t="shared" si="4"/>
        <v>74300 / Contributions</v>
      </c>
    </row>
    <row r="295" spans="1:7">
      <c r="A295" s="6" t="s">
        <v>2044</v>
      </c>
      <c r="B295" s="6" t="s">
        <v>2045</v>
      </c>
      <c r="C295" s="6" t="s">
        <v>2046</v>
      </c>
      <c r="D295" s="6" t="s">
        <v>2056</v>
      </c>
      <c r="E295" s="6" t="s">
        <v>2057</v>
      </c>
      <c r="F295" s="6" t="s">
        <v>2058</v>
      </c>
      <c r="G295" t="str">
        <f t="shared" si="4"/>
        <v>74300 / Contributions</v>
      </c>
    </row>
    <row r="296" spans="1:7">
      <c r="A296" s="6" t="s">
        <v>2044</v>
      </c>
      <c r="B296" s="6" t="s">
        <v>2045</v>
      </c>
      <c r="C296" s="6" t="s">
        <v>2046</v>
      </c>
      <c r="D296" s="6" t="s">
        <v>2059</v>
      </c>
      <c r="E296" s="6" t="s">
        <v>2060</v>
      </c>
      <c r="F296" s="6" t="s">
        <v>1364</v>
      </c>
      <c r="G296" t="str">
        <f t="shared" si="4"/>
        <v>74300 / Contributions</v>
      </c>
    </row>
    <row r="297" spans="1:7">
      <c r="A297" s="6" t="s">
        <v>2061</v>
      </c>
      <c r="B297" s="6" t="s">
        <v>2062</v>
      </c>
      <c r="C297" s="6" t="s">
        <v>2063</v>
      </c>
      <c r="D297" s="6" t="s">
        <v>2064</v>
      </c>
      <c r="E297" s="6" t="s">
        <v>2065</v>
      </c>
      <c r="F297" s="6" t="s">
        <v>2066</v>
      </c>
      <c r="G297" t="str">
        <f t="shared" si="4"/>
        <v>74400 / Provisions &amp; Write-offs</v>
      </c>
    </row>
    <row r="298" spans="1:7">
      <c r="A298" s="6" t="s">
        <v>2061</v>
      </c>
      <c r="B298" s="6" t="s">
        <v>2062</v>
      </c>
      <c r="C298" s="6" t="s">
        <v>2063</v>
      </c>
      <c r="D298" s="6" t="s">
        <v>2067</v>
      </c>
      <c r="E298" s="6" t="s">
        <v>2068</v>
      </c>
      <c r="F298" s="6" t="s">
        <v>2069</v>
      </c>
      <c r="G298" t="str">
        <f t="shared" si="4"/>
        <v>74400 / Provisions &amp; Write-offs</v>
      </c>
    </row>
    <row r="299" spans="1:7">
      <c r="A299" s="6" t="s">
        <v>2061</v>
      </c>
      <c r="B299" s="6" t="s">
        <v>2062</v>
      </c>
      <c r="C299" s="6" t="s">
        <v>2063</v>
      </c>
      <c r="D299" s="6" t="s">
        <v>2070</v>
      </c>
      <c r="E299" s="6" t="s">
        <v>2071</v>
      </c>
      <c r="F299" s="6" t="s">
        <v>2072</v>
      </c>
      <c r="G299" t="str">
        <f t="shared" si="4"/>
        <v>74400 / Provisions &amp; Write-offs</v>
      </c>
    </row>
    <row r="300" spans="1:7">
      <c r="A300" s="6" t="s">
        <v>2061</v>
      </c>
      <c r="B300" s="6" t="s">
        <v>2062</v>
      </c>
      <c r="C300" s="6" t="s">
        <v>2063</v>
      </c>
      <c r="D300" s="6" t="s">
        <v>2073</v>
      </c>
      <c r="E300" s="6" t="s">
        <v>2074</v>
      </c>
      <c r="F300" s="6" t="s">
        <v>2075</v>
      </c>
      <c r="G300" t="str">
        <f t="shared" si="4"/>
        <v>74400 / Provisions &amp; Write-offs</v>
      </c>
    </row>
    <row r="301" spans="1:7">
      <c r="A301" s="6" t="s">
        <v>2061</v>
      </c>
      <c r="B301" s="6" t="s">
        <v>2062</v>
      </c>
      <c r="C301" s="6" t="s">
        <v>2063</v>
      </c>
      <c r="D301" s="6" t="s">
        <v>2076</v>
      </c>
      <c r="E301" s="6" t="s">
        <v>2077</v>
      </c>
      <c r="F301" s="6" t="s">
        <v>2078</v>
      </c>
      <c r="G301" t="str">
        <f t="shared" si="4"/>
        <v>74400 / Provisions &amp; Write-offs</v>
      </c>
    </row>
    <row r="302" spans="1:7">
      <c r="A302" s="6" t="s">
        <v>2061</v>
      </c>
      <c r="B302" s="6" t="s">
        <v>2062</v>
      </c>
      <c r="C302" s="6" t="s">
        <v>2063</v>
      </c>
      <c r="D302" s="6" t="s">
        <v>2079</v>
      </c>
      <c r="E302" s="6" t="s">
        <v>2080</v>
      </c>
      <c r="F302" s="6" t="s">
        <v>2081</v>
      </c>
      <c r="G302" t="str">
        <f t="shared" si="4"/>
        <v>74400 / Provisions &amp; Write-offs</v>
      </c>
    </row>
    <row r="303" spans="1:7">
      <c r="A303" s="6" t="s">
        <v>2082</v>
      </c>
      <c r="B303" s="6" t="s">
        <v>2083</v>
      </c>
      <c r="C303" s="6" t="s">
        <v>2084</v>
      </c>
      <c r="D303" s="6" t="s">
        <v>2085</v>
      </c>
      <c r="E303" s="6" t="s">
        <v>2086</v>
      </c>
      <c r="F303" s="6" t="s">
        <v>2086</v>
      </c>
      <c r="G303" t="str">
        <f t="shared" si="4"/>
        <v>74500 / Miscellaneous Expenses</v>
      </c>
    </row>
    <row r="304" spans="1:7">
      <c r="A304" s="6" t="s">
        <v>2082</v>
      </c>
      <c r="B304" s="6" t="s">
        <v>2083</v>
      </c>
      <c r="C304" s="6" t="s">
        <v>2084</v>
      </c>
      <c r="D304" s="6" t="s">
        <v>2087</v>
      </c>
      <c r="E304" s="6" t="s">
        <v>2088</v>
      </c>
      <c r="F304" s="6" t="s">
        <v>2089</v>
      </c>
      <c r="G304" t="str">
        <f t="shared" si="4"/>
        <v>74500 / Miscellaneous Expenses</v>
      </c>
    </row>
    <row r="305" spans="1:7">
      <c r="A305" s="6" t="s">
        <v>2082</v>
      </c>
      <c r="B305" s="6" t="s">
        <v>2083</v>
      </c>
      <c r="C305" s="6" t="s">
        <v>2084</v>
      </c>
      <c r="D305" s="6" t="s">
        <v>2090</v>
      </c>
      <c r="E305" s="6" t="s">
        <v>2091</v>
      </c>
      <c r="F305" s="6" t="s">
        <v>2092</v>
      </c>
      <c r="G305" t="str">
        <f t="shared" si="4"/>
        <v>74500 / Miscellaneous Expenses</v>
      </c>
    </row>
    <row r="306" spans="1:7">
      <c r="A306" s="6" t="s">
        <v>2082</v>
      </c>
      <c r="B306" s="6" t="s">
        <v>2083</v>
      </c>
      <c r="C306" s="6" t="s">
        <v>2084</v>
      </c>
      <c r="D306" s="6" t="s">
        <v>2093</v>
      </c>
      <c r="E306" s="6" t="s">
        <v>2094</v>
      </c>
      <c r="F306" s="6" t="s">
        <v>2095</v>
      </c>
      <c r="G306" t="str">
        <f t="shared" si="4"/>
        <v>74500 / Miscellaneous Expenses</v>
      </c>
    </row>
    <row r="307" spans="1:7">
      <c r="A307" s="6" t="s">
        <v>2082</v>
      </c>
      <c r="B307" s="6" t="s">
        <v>2083</v>
      </c>
      <c r="C307" s="6" t="s">
        <v>2084</v>
      </c>
      <c r="D307" s="6" t="s">
        <v>2096</v>
      </c>
      <c r="E307" s="6" t="s">
        <v>2097</v>
      </c>
      <c r="F307" s="6" t="s">
        <v>2098</v>
      </c>
      <c r="G307" t="str">
        <f t="shared" si="4"/>
        <v>74500 / Miscellaneous Expenses</v>
      </c>
    </row>
    <row r="308" spans="1:7">
      <c r="A308" s="6" t="s">
        <v>2082</v>
      </c>
      <c r="B308" s="6" t="s">
        <v>2083</v>
      </c>
      <c r="C308" s="6" t="s">
        <v>2084</v>
      </c>
      <c r="D308" s="6" t="s">
        <v>2099</v>
      </c>
      <c r="E308" s="6" t="s">
        <v>2100</v>
      </c>
      <c r="F308" s="6" t="s">
        <v>2100</v>
      </c>
      <c r="G308" t="str">
        <f t="shared" si="4"/>
        <v>74500 / Miscellaneous Expenses</v>
      </c>
    </row>
    <row r="309" spans="1:7">
      <c r="A309" s="6" t="s">
        <v>2082</v>
      </c>
      <c r="B309" s="6" t="s">
        <v>2083</v>
      </c>
      <c r="C309" s="6" t="s">
        <v>2084</v>
      </c>
      <c r="D309" s="6" t="s">
        <v>2101</v>
      </c>
      <c r="E309" s="6" t="s">
        <v>2102</v>
      </c>
      <c r="F309" s="6" t="s">
        <v>2102</v>
      </c>
      <c r="G309" t="str">
        <f t="shared" si="4"/>
        <v>74500 / Miscellaneous Expenses</v>
      </c>
    </row>
    <row r="310" spans="1:7">
      <c r="A310" s="6" t="s">
        <v>2082</v>
      </c>
      <c r="B310" s="6" t="s">
        <v>2083</v>
      </c>
      <c r="C310" s="6" t="s">
        <v>2084</v>
      </c>
      <c r="D310" s="6" t="s">
        <v>2103</v>
      </c>
      <c r="E310" s="6" t="s">
        <v>2104</v>
      </c>
      <c r="F310" s="6" t="s">
        <v>2105</v>
      </c>
      <c r="G310" t="str">
        <f t="shared" si="4"/>
        <v>74500 / Miscellaneous Expenses</v>
      </c>
    </row>
    <row r="311" spans="1:7">
      <c r="A311" s="6" t="s">
        <v>2082</v>
      </c>
      <c r="B311" s="6" t="s">
        <v>2083</v>
      </c>
      <c r="C311" s="6" t="s">
        <v>2084</v>
      </c>
      <c r="D311" s="6" t="s">
        <v>2106</v>
      </c>
      <c r="E311" s="6" t="s">
        <v>2107</v>
      </c>
      <c r="F311" s="6" t="s">
        <v>2108</v>
      </c>
      <c r="G311" t="str">
        <f t="shared" si="4"/>
        <v>74500 / Miscellaneous Expenses</v>
      </c>
    </row>
    <row r="312" spans="1:7">
      <c r="A312" s="6" t="s">
        <v>2109</v>
      </c>
      <c r="B312" s="6" t="s">
        <v>2110</v>
      </c>
      <c r="C312" s="6" t="s">
        <v>2111</v>
      </c>
      <c r="D312" s="6" t="s">
        <v>2112</v>
      </c>
      <c r="E312" s="6" t="s">
        <v>2110</v>
      </c>
      <c r="F312" s="6" t="s">
        <v>2113</v>
      </c>
      <c r="G312" t="str">
        <f t="shared" si="4"/>
        <v>74600 / Prepaid Project Expenses</v>
      </c>
    </row>
    <row r="313" spans="1:7">
      <c r="A313" s="6" t="s">
        <v>2109</v>
      </c>
      <c r="B313" s="6" t="s">
        <v>2110</v>
      </c>
      <c r="C313" s="6" t="s">
        <v>2111</v>
      </c>
      <c r="D313" s="6" t="s">
        <v>2114</v>
      </c>
      <c r="E313" s="6" t="s">
        <v>2115</v>
      </c>
      <c r="F313" s="6" t="s">
        <v>2116</v>
      </c>
      <c r="G313" t="str">
        <f t="shared" si="4"/>
        <v>74600 / Prepaid Project Expenses</v>
      </c>
    </row>
    <row r="314" spans="1:7">
      <c r="A314" s="6" t="s">
        <v>2109</v>
      </c>
      <c r="B314" s="6" t="s">
        <v>2110</v>
      </c>
      <c r="C314" s="6" t="s">
        <v>2111</v>
      </c>
      <c r="D314" s="6" t="s">
        <v>2117</v>
      </c>
      <c r="E314" s="6" t="s">
        <v>2118</v>
      </c>
      <c r="F314" s="6" t="s">
        <v>2119</v>
      </c>
      <c r="G314" t="str">
        <f t="shared" si="4"/>
        <v>74600 / Prepaid Project Expenses</v>
      </c>
    </row>
    <row r="315" spans="1:7">
      <c r="A315" s="6" t="s">
        <v>2120</v>
      </c>
      <c r="B315" s="6" t="s">
        <v>2121</v>
      </c>
      <c r="C315" s="6" t="s">
        <v>2122</v>
      </c>
      <c r="D315" s="6" t="s">
        <v>2123</v>
      </c>
      <c r="E315" s="6" t="s">
        <v>2124</v>
      </c>
      <c r="F315" s="6" t="s">
        <v>2125</v>
      </c>
      <c r="G315" t="str">
        <f t="shared" si="4"/>
        <v>74700 / Transport, Shipping and handle</v>
      </c>
    </row>
    <row r="316" spans="1:7">
      <c r="A316" s="6" t="s">
        <v>2120</v>
      </c>
      <c r="B316" s="6" t="s">
        <v>2121</v>
      </c>
      <c r="C316" s="6" t="s">
        <v>2122</v>
      </c>
      <c r="D316" s="6" t="s">
        <v>2126</v>
      </c>
      <c r="E316" s="6" t="s">
        <v>2127</v>
      </c>
      <c r="F316" s="6" t="s">
        <v>2128</v>
      </c>
      <c r="G316" t="str">
        <f t="shared" si="4"/>
        <v>74700 / Transport, Shipping and handle</v>
      </c>
    </row>
    <row r="317" spans="1:7">
      <c r="A317" s="6" t="s">
        <v>2120</v>
      </c>
      <c r="B317" s="6" t="s">
        <v>2121</v>
      </c>
      <c r="C317" s="6" t="s">
        <v>2122</v>
      </c>
      <c r="D317" s="6" t="s">
        <v>2129</v>
      </c>
      <c r="E317" s="6" t="s">
        <v>2130</v>
      </c>
      <c r="F317" s="6" t="s">
        <v>2131</v>
      </c>
      <c r="G317" t="str">
        <f t="shared" si="4"/>
        <v>74700 / Transport, Shipping and handle</v>
      </c>
    </row>
    <row r="318" spans="1:7">
      <c r="A318" s="6" t="s">
        <v>2120</v>
      </c>
      <c r="B318" s="6" t="s">
        <v>2121</v>
      </c>
      <c r="C318" s="6" t="s">
        <v>2122</v>
      </c>
      <c r="D318" s="6" t="s">
        <v>2132</v>
      </c>
      <c r="E318" s="6" t="s">
        <v>2133</v>
      </c>
      <c r="F318" s="6" t="s">
        <v>2134</v>
      </c>
      <c r="G318" t="str">
        <f t="shared" si="4"/>
        <v>74700 / Transport, Shipping and handle</v>
      </c>
    </row>
    <row r="319" spans="1:7">
      <c r="A319" s="6" t="s">
        <v>2120</v>
      </c>
      <c r="B319" s="6" t="s">
        <v>2121</v>
      </c>
      <c r="C319" s="6" t="s">
        <v>2122</v>
      </c>
      <c r="D319" s="6" t="s">
        <v>2135</v>
      </c>
      <c r="E319" s="6" t="s">
        <v>2136</v>
      </c>
      <c r="F319" s="6" t="s">
        <v>2137</v>
      </c>
      <c r="G319" t="str">
        <f t="shared" si="4"/>
        <v>74700 / Transport, Shipping and handle</v>
      </c>
    </row>
    <row r="320" spans="1:7">
      <c r="A320" s="6" t="s">
        <v>2138</v>
      </c>
      <c r="B320" s="6" t="s">
        <v>2139</v>
      </c>
      <c r="C320" s="6" t="s">
        <v>2140</v>
      </c>
      <c r="D320" s="6" t="s">
        <v>2141</v>
      </c>
      <c r="E320" s="6" t="s">
        <v>2142</v>
      </c>
      <c r="F320" s="6" t="s">
        <v>2143</v>
      </c>
      <c r="G320" t="str">
        <f t="shared" si="4"/>
        <v>74800 / Depreciation Expense</v>
      </c>
    </row>
    <row r="321" spans="1:7">
      <c r="A321" s="6" t="s">
        <v>2138</v>
      </c>
      <c r="B321" s="6" t="s">
        <v>2139</v>
      </c>
      <c r="C321" s="6" t="s">
        <v>2140</v>
      </c>
      <c r="D321" s="6" t="s">
        <v>2144</v>
      </c>
      <c r="E321" s="6" t="s">
        <v>2145</v>
      </c>
      <c r="F321" s="6" t="s">
        <v>2146</v>
      </c>
      <c r="G321" t="str">
        <f t="shared" si="4"/>
        <v>74800 / Depreciation Expense</v>
      </c>
    </row>
    <row r="322" spans="1:7">
      <c r="A322" s="6" t="s">
        <v>2138</v>
      </c>
      <c r="B322" s="6" t="s">
        <v>2139</v>
      </c>
      <c r="C322" s="6" t="s">
        <v>2140</v>
      </c>
      <c r="D322" s="6" t="s">
        <v>2147</v>
      </c>
      <c r="E322" s="6" t="s">
        <v>2148</v>
      </c>
      <c r="F322" s="6" t="s">
        <v>2149</v>
      </c>
      <c r="G322" t="str">
        <f t="shared" si="4"/>
        <v>74800 / Depreciation Expense</v>
      </c>
    </row>
    <row r="323" spans="1:7">
      <c r="A323" s="6" t="s">
        <v>2138</v>
      </c>
      <c r="B323" s="6" t="s">
        <v>2139</v>
      </c>
      <c r="C323" s="6" t="s">
        <v>2140</v>
      </c>
      <c r="D323" s="6" t="s">
        <v>2150</v>
      </c>
      <c r="E323" s="6" t="s">
        <v>2151</v>
      </c>
      <c r="F323" s="6" t="s">
        <v>2152</v>
      </c>
      <c r="G323" t="str">
        <f t="shared" ref="G323:G386" si="5">A323&amp;" / "&amp;B323</f>
        <v>74800 / Depreciation Expense</v>
      </c>
    </row>
    <row r="324" spans="1:7">
      <c r="A324" s="6" t="s">
        <v>2153</v>
      </c>
      <c r="B324" s="6" t="s">
        <v>2154</v>
      </c>
      <c r="C324" s="6" t="s">
        <v>2155</v>
      </c>
      <c r="D324" s="6" t="s">
        <v>2156</v>
      </c>
      <c r="E324" s="6" t="s">
        <v>2157</v>
      </c>
      <c r="F324" s="6" t="s">
        <v>2158</v>
      </c>
      <c r="G324" t="str">
        <f t="shared" si="5"/>
        <v>74900 / Depreciation Exp - Accumulated</v>
      </c>
    </row>
    <row r="325" spans="1:7">
      <c r="A325" s="6" t="s">
        <v>2153</v>
      </c>
      <c r="B325" s="6" t="s">
        <v>2154</v>
      </c>
      <c r="C325" s="6" t="s">
        <v>2155</v>
      </c>
      <c r="D325" s="6" t="s">
        <v>2159</v>
      </c>
      <c r="E325" s="6" t="s">
        <v>2160</v>
      </c>
      <c r="F325" s="6" t="s">
        <v>2161</v>
      </c>
      <c r="G325" t="str">
        <f t="shared" si="5"/>
        <v>74900 / Depreciation Exp - Accumulated</v>
      </c>
    </row>
    <row r="326" spans="1:7">
      <c r="A326" s="6" t="s">
        <v>2153</v>
      </c>
      <c r="B326" s="6" t="s">
        <v>2154</v>
      </c>
      <c r="C326" s="6" t="s">
        <v>2155</v>
      </c>
      <c r="D326" s="6" t="s">
        <v>2162</v>
      </c>
      <c r="E326" s="6" t="s">
        <v>2163</v>
      </c>
      <c r="F326" s="6" t="s">
        <v>2164</v>
      </c>
      <c r="G326" t="str">
        <f t="shared" si="5"/>
        <v>74900 / Depreciation Exp - Accumulated</v>
      </c>
    </row>
    <row r="327" spans="1:7">
      <c r="A327" s="6" t="s">
        <v>2153</v>
      </c>
      <c r="B327" s="6" t="s">
        <v>2154</v>
      </c>
      <c r="C327" s="6" t="s">
        <v>2155</v>
      </c>
      <c r="D327" s="6" t="s">
        <v>2165</v>
      </c>
      <c r="E327" s="6" t="s">
        <v>2166</v>
      </c>
      <c r="F327" s="6" t="s">
        <v>2167</v>
      </c>
      <c r="G327" t="str">
        <f t="shared" si="5"/>
        <v>74900 / Depreciation Exp - Accumulated</v>
      </c>
    </row>
    <row r="328" spans="1:7">
      <c r="A328" s="6" t="s">
        <v>2153</v>
      </c>
      <c r="B328" s="6" t="s">
        <v>2154</v>
      </c>
      <c r="C328" s="6" t="s">
        <v>2155</v>
      </c>
      <c r="D328" s="6" t="s">
        <v>2168</v>
      </c>
      <c r="E328" s="6" t="s">
        <v>2169</v>
      </c>
      <c r="F328" s="6" t="s">
        <v>2170</v>
      </c>
      <c r="G328" t="str">
        <f t="shared" si="5"/>
        <v>74900 / Depreciation Exp - Accumulated</v>
      </c>
    </row>
    <row r="329" spans="1:7">
      <c r="A329" s="6" t="s">
        <v>2153</v>
      </c>
      <c r="B329" s="6" t="s">
        <v>2154</v>
      </c>
      <c r="C329" s="6" t="s">
        <v>2155</v>
      </c>
      <c r="D329" s="6" t="s">
        <v>2171</v>
      </c>
      <c r="E329" s="6" t="s">
        <v>2172</v>
      </c>
      <c r="F329" s="6" t="s">
        <v>2173</v>
      </c>
      <c r="G329" t="str">
        <f t="shared" si="5"/>
        <v>74900 / Depreciation Exp - Accumulated</v>
      </c>
    </row>
    <row r="330" spans="1:7">
      <c r="A330" s="6" t="s">
        <v>2153</v>
      </c>
      <c r="B330" s="6" t="s">
        <v>2154</v>
      </c>
      <c r="C330" s="6" t="s">
        <v>2155</v>
      </c>
      <c r="D330" s="6" t="s">
        <v>2174</v>
      </c>
      <c r="E330" s="6" t="s">
        <v>2175</v>
      </c>
      <c r="F330" s="6" t="s">
        <v>2176</v>
      </c>
      <c r="G330" t="str">
        <f t="shared" si="5"/>
        <v>74900 / Depreciation Exp - Accumulated</v>
      </c>
    </row>
    <row r="331" spans="1:7">
      <c r="A331" s="6" t="s">
        <v>2153</v>
      </c>
      <c r="B331" s="6" t="s">
        <v>2154</v>
      </c>
      <c r="C331" s="6" t="s">
        <v>2155</v>
      </c>
      <c r="D331" s="6" t="s">
        <v>2177</v>
      </c>
      <c r="E331" s="6" t="s">
        <v>2178</v>
      </c>
      <c r="F331" s="6" t="s">
        <v>2179</v>
      </c>
      <c r="G331" t="str">
        <f t="shared" si="5"/>
        <v>74900 / Depreciation Exp - Accumulated</v>
      </c>
    </row>
    <row r="332" spans="1:7">
      <c r="A332" s="6" t="s">
        <v>2153</v>
      </c>
      <c r="B332" s="6" t="s">
        <v>2154</v>
      </c>
      <c r="C332" s="6" t="s">
        <v>2155</v>
      </c>
      <c r="D332" s="6" t="s">
        <v>2180</v>
      </c>
      <c r="E332" s="6" t="s">
        <v>2181</v>
      </c>
      <c r="F332" s="6" t="s">
        <v>2182</v>
      </c>
      <c r="G332" t="str">
        <f t="shared" si="5"/>
        <v>74900 / Depreciation Exp - Accumulated</v>
      </c>
    </row>
    <row r="333" spans="1:7">
      <c r="A333" s="6" t="s">
        <v>2153</v>
      </c>
      <c r="B333" s="6" t="s">
        <v>2154</v>
      </c>
      <c r="C333" s="6" t="s">
        <v>2155</v>
      </c>
      <c r="D333" s="6" t="s">
        <v>2183</v>
      </c>
      <c r="E333" s="6" t="s">
        <v>2184</v>
      </c>
      <c r="F333" s="6" t="s">
        <v>2185</v>
      </c>
      <c r="G333" t="str">
        <f t="shared" si="5"/>
        <v>74900 / Depreciation Exp - Accumulated</v>
      </c>
    </row>
    <row r="334" spans="1:7">
      <c r="A334" s="6" t="s">
        <v>2153</v>
      </c>
      <c r="B334" s="6" t="s">
        <v>2154</v>
      </c>
      <c r="C334" s="6" t="s">
        <v>2155</v>
      </c>
      <c r="D334" s="6" t="s">
        <v>2186</v>
      </c>
      <c r="E334" s="6" t="s">
        <v>2187</v>
      </c>
      <c r="F334" s="6" t="s">
        <v>2188</v>
      </c>
      <c r="G334" t="str">
        <f t="shared" si="5"/>
        <v>74900 / Depreciation Exp - Accumulated</v>
      </c>
    </row>
    <row r="335" spans="1:7">
      <c r="A335" s="6" t="s">
        <v>2153</v>
      </c>
      <c r="B335" s="6" t="s">
        <v>2154</v>
      </c>
      <c r="C335" s="6" t="s">
        <v>2155</v>
      </c>
      <c r="D335" s="6" t="s">
        <v>2189</v>
      </c>
      <c r="E335" s="6" t="s">
        <v>2190</v>
      </c>
      <c r="F335" s="6" t="s">
        <v>2191</v>
      </c>
      <c r="G335" t="str">
        <f t="shared" si="5"/>
        <v>74900 / Depreciation Exp - Accumulated</v>
      </c>
    </row>
    <row r="336" spans="1:7">
      <c r="A336" s="6" t="s">
        <v>2153</v>
      </c>
      <c r="B336" s="6" t="s">
        <v>2154</v>
      </c>
      <c r="C336" s="6" t="s">
        <v>2155</v>
      </c>
      <c r="D336" s="6" t="s">
        <v>2192</v>
      </c>
      <c r="E336" s="6" t="s">
        <v>2193</v>
      </c>
      <c r="F336" s="6" t="s">
        <v>2194</v>
      </c>
      <c r="G336" t="str">
        <f t="shared" si="5"/>
        <v>74900 / Depreciation Exp - Accumulated</v>
      </c>
    </row>
    <row r="337" spans="1:7">
      <c r="A337" s="6" t="s">
        <v>2153</v>
      </c>
      <c r="B337" s="6" t="s">
        <v>2154</v>
      </c>
      <c r="C337" s="6" t="s">
        <v>2155</v>
      </c>
      <c r="D337" s="6" t="s">
        <v>2195</v>
      </c>
      <c r="E337" s="6" t="s">
        <v>2196</v>
      </c>
      <c r="F337" s="6" t="s">
        <v>2197</v>
      </c>
      <c r="G337" t="str">
        <f t="shared" si="5"/>
        <v>74900 / Depreciation Exp - Accumulated</v>
      </c>
    </row>
    <row r="338" spans="1:7">
      <c r="A338" s="6" t="s">
        <v>2198</v>
      </c>
      <c r="B338" s="6" t="s">
        <v>2199</v>
      </c>
      <c r="C338" s="6" t="s">
        <v>2200</v>
      </c>
      <c r="D338" s="6" t="s">
        <v>2201</v>
      </c>
      <c r="E338" s="6" t="s">
        <v>2202</v>
      </c>
      <c r="F338" s="6" t="s">
        <v>2203</v>
      </c>
      <c r="G338" t="str">
        <f t="shared" si="5"/>
        <v>75100 / Facilities &amp; Administration</v>
      </c>
    </row>
    <row r="339" spans="1:7">
      <c r="A339" s="6" t="s">
        <v>2198</v>
      </c>
      <c r="B339" s="6" t="s">
        <v>2199</v>
      </c>
      <c r="C339" s="6" t="s">
        <v>2200</v>
      </c>
      <c r="D339" s="6" t="s">
        <v>2204</v>
      </c>
      <c r="E339" s="6" t="s">
        <v>2205</v>
      </c>
      <c r="F339" s="6" t="s">
        <v>2206</v>
      </c>
      <c r="G339" t="str">
        <f t="shared" si="5"/>
        <v>75100 / Facilities &amp; Administration</v>
      </c>
    </row>
    <row r="340" spans="1:7">
      <c r="A340" s="6" t="s">
        <v>2198</v>
      </c>
      <c r="B340" s="6" t="s">
        <v>2199</v>
      </c>
      <c r="C340" s="6" t="s">
        <v>2200</v>
      </c>
      <c r="D340" s="6" t="s">
        <v>2207</v>
      </c>
      <c r="E340" s="6" t="s">
        <v>2208</v>
      </c>
      <c r="F340" s="6" t="s">
        <v>2209</v>
      </c>
      <c r="G340" t="str">
        <f t="shared" si="5"/>
        <v>75100 / Facilities &amp; Administration</v>
      </c>
    </row>
    <row r="341" spans="1:7">
      <c r="A341" s="6" t="s">
        <v>2210</v>
      </c>
      <c r="B341" s="6" t="s">
        <v>2211</v>
      </c>
      <c r="C341" s="6" t="s">
        <v>2212</v>
      </c>
      <c r="D341" s="6" t="s">
        <v>2213</v>
      </c>
      <c r="E341" s="6" t="s">
        <v>2214</v>
      </c>
      <c r="F341" s="6" t="s">
        <v>2215</v>
      </c>
      <c r="G341" t="str">
        <f t="shared" si="5"/>
        <v>75700 / Training, Workshops and Confer</v>
      </c>
    </row>
    <row r="342" spans="1:7">
      <c r="A342" s="6" t="s">
        <v>2210</v>
      </c>
      <c r="B342" s="6" t="s">
        <v>2211</v>
      </c>
      <c r="C342" s="6" t="s">
        <v>2212</v>
      </c>
      <c r="D342" s="6" t="s">
        <v>2216</v>
      </c>
      <c r="E342" s="6" t="s">
        <v>2217</v>
      </c>
      <c r="F342" s="6" t="s">
        <v>2218</v>
      </c>
      <c r="G342" t="str">
        <f t="shared" si="5"/>
        <v>75700 / Training, Workshops and Confer</v>
      </c>
    </row>
    <row r="343" spans="1:7">
      <c r="A343" s="6" t="s">
        <v>2210</v>
      </c>
      <c r="B343" s="6" t="s">
        <v>2211</v>
      </c>
      <c r="C343" s="6" t="s">
        <v>2212</v>
      </c>
      <c r="D343" s="6" t="s">
        <v>2219</v>
      </c>
      <c r="E343" s="6" t="s">
        <v>2220</v>
      </c>
      <c r="F343" s="6" t="s">
        <v>2221</v>
      </c>
      <c r="G343" t="str">
        <f t="shared" si="5"/>
        <v>75700 / Training, Workshops and Confer</v>
      </c>
    </row>
    <row r="344" spans="1:7">
      <c r="A344" s="6" t="s">
        <v>2210</v>
      </c>
      <c r="B344" s="6" t="s">
        <v>2211</v>
      </c>
      <c r="C344" s="6" t="s">
        <v>2212</v>
      </c>
      <c r="D344" s="6" t="s">
        <v>2222</v>
      </c>
      <c r="E344" s="6" t="s">
        <v>2223</v>
      </c>
      <c r="F344" s="6" t="s">
        <v>2224</v>
      </c>
      <c r="G344" t="str">
        <f t="shared" si="5"/>
        <v>75700 / Training, Workshops and Confer</v>
      </c>
    </row>
    <row r="345" spans="1:7">
      <c r="A345" s="6" t="s">
        <v>2210</v>
      </c>
      <c r="B345" s="6" t="s">
        <v>2211</v>
      </c>
      <c r="C345" s="6" t="s">
        <v>2212</v>
      </c>
      <c r="D345" s="6" t="s">
        <v>2225</v>
      </c>
      <c r="E345" s="6" t="s">
        <v>2226</v>
      </c>
      <c r="F345" s="6" t="s">
        <v>2227</v>
      </c>
      <c r="G345" t="str">
        <f t="shared" si="5"/>
        <v>75700 / Training, Workshops and Confer</v>
      </c>
    </row>
    <row r="346" spans="1:7">
      <c r="A346" s="6" t="s">
        <v>2210</v>
      </c>
      <c r="B346" s="6" t="s">
        <v>2211</v>
      </c>
      <c r="C346" s="6" t="s">
        <v>2212</v>
      </c>
      <c r="D346" s="6" t="s">
        <v>2228</v>
      </c>
      <c r="E346" s="6" t="s">
        <v>2229</v>
      </c>
      <c r="F346" s="6" t="s">
        <v>2230</v>
      </c>
      <c r="G346" t="str">
        <f t="shared" si="5"/>
        <v>75700 / Training, Workshops and Confer</v>
      </c>
    </row>
    <row r="347" spans="1:7">
      <c r="A347" s="6" t="s">
        <v>2210</v>
      </c>
      <c r="B347" s="6" t="s">
        <v>2211</v>
      </c>
      <c r="C347" s="6" t="s">
        <v>2212</v>
      </c>
      <c r="D347" s="6" t="s">
        <v>2231</v>
      </c>
      <c r="E347" s="6" t="s">
        <v>2232</v>
      </c>
      <c r="F347" s="6" t="s">
        <v>2233</v>
      </c>
      <c r="G347" t="str">
        <f t="shared" si="5"/>
        <v>75700 / Training, Workshops and Confer</v>
      </c>
    </row>
    <row r="348" spans="1:7">
      <c r="A348" s="6" t="s">
        <v>2210</v>
      </c>
      <c r="B348" s="6" t="s">
        <v>2211</v>
      </c>
      <c r="C348" s="6" t="s">
        <v>2212</v>
      </c>
      <c r="D348" s="6" t="s">
        <v>2234</v>
      </c>
      <c r="E348" s="6" t="s">
        <v>2235</v>
      </c>
      <c r="F348" s="6" t="s">
        <v>2236</v>
      </c>
      <c r="G348" t="str">
        <f t="shared" si="5"/>
        <v>75700 / Training, Workshops and Confer</v>
      </c>
    </row>
    <row r="349" spans="1:7">
      <c r="A349" s="6" t="s">
        <v>2237</v>
      </c>
      <c r="B349" s="6" t="s">
        <v>2238</v>
      </c>
      <c r="C349" s="6" t="s">
        <v>2239</v>
      </c>
      <c r="D349" s="6" t="s">
        <v>2240</v>
      </c>
      <c r="E349" s="6" t="s">
        <v>2241</v>
      </c>
      <c r="F349" s="6" t="s">
        <v>2242</v>
      </c>
      <c r="G349" t="str">
        <f t="shared" si="5"/>
        <v>76100 / Foreign Exchange Currency Loss</v>
      </c>
    </row>
    <row r="350" spans="1:7">
      <c r="A350" s="6" t="s">
        <v>2237</v>
      </c>
      <c r="B350" s="6" t="s">
        <v>2238</v>
      </c>
      <c r="C350" s="6" t="s">
        <v>2239</v>
      </c>
      <c r="D350" s="6" t="s">
        <v>2243</v>
      </c>
      <c r="E350" s="6" t="s">
        <v>2244</v>
      </c>
      <c r="F350" s="6" t="s">
        <v>2245</v>
      </c>
      <c r="G350" t="str">
        <f t="shared" si="5"/>
        <v>76100 / Foreign Exchange Currency Loss</v>
      </c>
    </row>
    <row r="351" spans="1:7">
      <c r="A351" s="6" t="s">
        <v>2237</v>
      </c>
      <c r="B351" s="6" t="s">
        <v>2238</v>
      </c>
      <c r="C351" s="6" t="s">
        <v>2239</v>
      </c>
      <c r="D351" s="6" t="s">
        <v>2246</v>
      </c>
      <c r="E351" s="6" t="s">
        <v>2247</v>
      </c>
      <c r="F351" s="6" t="s">
        <v>2248</v>
      </c>
      <c r="G351" t="str">
        <f t="shared" si="5"/>
        <v>76100 / Foreign Exchange Currency Loss</v>
      </c>
    </row>
    <row r="352" spans="1:7">
      <c r="A352" s="6" t="s">
        <v>2237</v>
      </c>
      <c r="B352" s="6" t="s">
        <v>2238</v>
      </c>
      <c r="C352" s="6" t="s">
        <v>2239</v>
      </c>
      <c r="D352" s="6" t="s">
        <v>2249</v>
      </c>
      <c r="E352" s="6" t="s">
        <v>2250</v>
      </c>
      <c r="F352" s="6" t="s">
        <v>2251</v>
      </c>
      <c r="G352" t="str">
        <f t="shared" si="5"/>
        <v>76100 / Foreign Exchange Currency Loss</v>
      </c>
    </row>
    <row r="353" spans="1:7">
      <c r="A353" s="6" t="s">
        <v>2237</v>
      </c>
      <c r="B353" s="6" t="s">
        <v>2238</v>
      </c>
      <c r="C353" s="6" t="s">
        <v>2239</v>
      </c>
      <c r="D353" s="6" t="s">
        <v>2252</v>
      </c>
      <c r="E353" s="6" t="s">
        <v>2253</v>
      </c>
      <c r="F353" s="6" t="s">
        <v>2254</v>
      </c>
      <c r="G353" t="str">
        <f t="shared" si="5"/>
        <v>76100 / Foreign Exchange Currency Loss</v>
      </c>
    </row>
    <row r="354" spans="1:7">
      <c r="A354" s="6" t="s">
        <v>2237</v>
      </c>
      <c r="B354" s="6" t="s">
        <v>2238</v>
      </c>
      <c r="C354" s="6" t="s">
        <v>2239</v>
      </c>
      <c r="D354" s="6" t="s">
        <v>2255</v>
      </c>
      <c r="E354" s="6" t="s">
        <v>2256</v>
      </c>
      <c r="F354" s="6" t="s">
        <v>2257</v>
      </c>
      <c r="G354" t="str">
        <f t="shared" si="5"/>
        <v>76100 / Foreign Exchange Currency Loss</v>
      </c>
    </row>
    <row r="355" spans="1:7">
      <c r="A355" s="6" t="s">
        <v>2237</v>
      </c>
      <c r="B355" s="6" t="s">
        <v>2238</v>
      </c>
      <c r="C355" s="6" t="s">
        <v>2239</v>
      </c>
      <c r="D355" s="6" t="s">
        <v>2258</v>
      </c>
      <c r="E355" s="6" t="s">
        <v>2259</v>
      </c>
      <c r="F355" s="6" t="s">
        <v>2260</v>
      </c>
      <c r="G355" t="str">
        <f t="shared" si="5"/>
        <v>76100 / Foreign Exchange Currency Loss</v>
      </c>
    </row>
    <row r="356" spans="1:7">
      <c r="A356" s="6" t="s">
        <v>2237</v>
      </c>
      <c r="B356" s="6" t="s">
        <v>2238</v>
      </c>
      <c r="C356" s="6" t="s">
        <v>2239</v>
      </c>
      <c r="D356" s="6" t="s">
        <v>2261</v>
      </c>
      <c r="E356" s="6" t="s">
        <v>2262</v>
      </c>
      <c r="F356" s="6" t="s">
        <v>2263</v>
      </c>
      <c r="G356" t="str">
        <f t="shared" si="5"/>
        <v>76100 / Foreign Exchange Currency Loss</v>
      </c>
    </row>
    <row r="357" spans="1:7">
      <c r="A357" s="6" t="s">
        <v>2264</v>
      </c>
      <c r="B357" s="6" t="s">
        <v>2265</v>
      </c>
      <c r="C357" s="6" t="s">
        <v>2266</v>
      </c>
      <c r="D357" s="6" t="s">
        <v>2267</v>
      </c>
      <c r="E357" s="6" t="s">
        <v>2268</v>
      </c>
      <c r="F357" s="6" t="s">
        <v>2269</v>
      </c>
      <c r="G357" t="str">
        <f t="shared" si="5"/>
        <v>77100 / Salary and related costs–TA/NP</v>
      </c>
    </row>
    <row r="358" spans="1:7">
      <c r="A358" s="6" t="s">
        <v>2264</v>
      </c>
      <c r="B358" s="6" t="s">
        <v>2265</v>
      </c>
      <c r="C358" s="6" t="s">
        <v>2266</v>
      </c>
      <c r="D358" s="6" t="s">
        <v>2270</v>
      </c>
      <c r="E358" s="6" t="s">
        <v>2271</v>
      </c>
      <c r="F358" s="6" t="s">
        <v>2272</v>
      </c>
      <c r="G358" t="str">
        <f t="shared" si="5"/>
        <v>77100 / Salary and related costs–TA/NP</v>
      </c>
    </row>
    <row r="359" spans="1:7">
      <c r="A359" s="6" t="s">
        <v>2264</v>
      </c>
      <c r="B359" s="6" t="s">
        <v>2265</v>
      </c>
      <c r="C359" s="6" t="s">
        <v>2266</v>
      </c>
      <c r="D359" s="6" t="s">
        <v>2273</v>
      </c>
      <c r="E359" s="6" t="s">
        <v>2274</v>
      </c>
      <c r="F359" s="6" t="s">
        <v>2275</v>
      </c>
      <c r="G359" t="str">
        <f t="shared" si="5"/>
        <v>77100 / Salary and related costs–TA/NP</v>
      </c>
    </row>
    <row r="360" spans="1:7">
      <c r="A360" s="6" t="s">
        <v>2264</v>
      </c>
      <c r="B360" s="6" t="s">
        <v>2265</v>
      </c>
      <c r="C360" s="6" t="s">
        <v>2266</v>
      </c>
      <c r="D360" s="6" t="s">
        <v>2276</v>
      </c>
      <c r="E360" s="6" t="s">
        <v>2277</v>
      </c>
      <c r="F360" s="6" t="s">
        <v>2278</v>
      </c>
      <c r="G360" t="str">
        <f t="shared" si="5"/>
        <v>77100 / Salary and related costs–TA/NP</v>
      </c>
    </row>
    <row r="361" spans="1:7">
      <c r="A361" s="6" t="s">
        <v>2264</v>
      </c>
      <c r="B361" s="6" t="s">
        <v>2265</v>
      </c>
      <c r="C361" s="6" t="s">
        <v>2266</v>
      </c>
      <c r="D361" s="6" t="s">
        <v>2279</v>
      </c>
      <c r="E361" s="6" t="s">
        <v>2280</v>
      </c>
      <c r="F361" s="6" t="s">
        <v>2281</v>
      </c>
      <c r="G361" t="str">
        <f t="shared" si="5"/>
        <v>77100 / Salary and related costs–TA/NP</v>
      </c>
    </row>
    <row r="362" spans="1:7">
      <c r="A362" s="6" t="s">
        <v>2264</v>
      </c>
      <c r="B362" s="6" t="s">
        <v>2265</v>
      </c>
      <c r="C362" s="6" t="s">
        <v>2266</v>
      </c>
      <c r="D362" s="6" t="s">
        <v>2282</v>
      </c>
      <c r="E362" s="6" t="s">
        <v>2283</v>
      </c>
      <c r="F362" s="6" t="s">
        <v>2284</v>
      </c>
      <c r="G362" t="str">
        <f t="shared" si="5"/>
        <v>77100 / Salary and related costs–TA/NP</v>
      </c>
    </row>
    <row r="363" spans="1:7">
      <c r="A363" s="6" t="s">
        <v>2264</v>
      </c>
      <c r="B363" s="6" t="s">
        <v>2265</v>
      </c>
      <c r="C363" s="6" t="s">
        <v>2266</v>
      </c>
      <c r="D363" s="6" t="s">
        <v>2285</v>
      </c>
      <c r="E363" s="6" t="s">
        <v>2286</v>
      </c>
      <c r="F363" s="6" t="s">
        <v>2287</v>
      </c>
      <c r="G363" t="str">
        <f t="shared" si="5"/>
        <v>77100 / Salary and related costs–TA/NP</v>
      </c>
    </row>
    <row r="364" spans="1:7">
      <c r="A364" s="6" t="s">
        <v>2264</v>
      </c>
      <c r="B364" s="6" t="s">
        <v>2265</v>
      </c>
      <c r="C364" s="6" t="s">
        <v>2266</v>
      </c>
      <c r="D364" s="6" t="s">
        <v>2288</v>
      </c>
      <c r="E364" s="6" t="s">
        <v>2289</v>
      </c>
      <c r="F364" s="6" t="s">
        <v>2290</v>
      </c>
      <c r="G364" t="str">
        <f t="shared" si="5"/>
        <v>77100 / Salary and related costs–TA/NP</v>
      </c>
    </row>
    <row r="365" spans="1:7">
      <c r="A365" s="6" t="s">
        <v>2264</v>
      </c>
      <c r="B365" s="6" t="s">
        <v>2265</v>
      </c>
      <c r="C365" s="6" t="s">
        <v>2266</v>
      </c>
      <c r="D365" s="6" t="s">
        <v>2291</v>
      </c>
      <c r="E365" s="6" t="s">
        <v>2292</v>
      </c>
      <c r="F365" s="6" t="s">
        <v>2293</v>
      </c>
      <c r="G365" t="str">
        <f t="shared" si="5"/>
        <v>77100 / Salary and related costs–TA/NP</v>
      </c>
    </row>
    <row r="366" spans="1:7">
      <c r="A366" s="6" t="s">
        <v>2264</v>
      </c>
      <c r="B366" s="6" t="s">
        <v>2265</v>
      </c>
      <c r="C366" s="6" t="s">
        <v>2266</v>
      </c>
      <c r="D366" s="6" t="s">
        <v>2294</v>
      </c>
      <c r="E366" s="6" t="s">
        <v>2295</v>
      </c>
      <c r="F366" s="6" t="s">
        <v>2296</v>
      </c>
      <c r="G366" t="str">
        <f t="shared" si="5"/>
        <v>77100 / Salary and related costs–TA/NP</v>
      </c>
    </row>
    <row r="367" spans="1:7">
      <c r="A367" s="6" t="s">
        <v>2264</v>
      </c>
      <c r="B367" s="6" t="s">
        <v>2265</v>
      </c>
      <c r="C367" s="6" t="s">
        <v>2266</v>
      </c>
      <c r="D367" s="6" t="s">
        <v>2297</v>
      </c>
      <c r="E367" s="6" t="s">
        <v>2298</v>
      </c>
      <c r="F367" s="6" t="s">
        <v>2299</v>
      </c>
      <c r="G367" t="str">
        <f t="shared" si="5"/>
        <v>77100 / Salary and related costs–TA/NP</v>
      </c>
    </row>
    <row r="368" spans="1:7">
      <c r="A368" s="6" t="s">
        <v>2264</v>
      </c>
      <c r="B368" s="6" t="s">
        <v>2265</v>
      </c>
      <c r="C368" s="6" t="s">
        <v>2266</v>
      </c>
      <c r="D368" s="6" t="s">
        <v>2300</v>
      </c>
      <c r="E368" s="6" t="s">
        <v>2301</v>
      </c>
      <c r="F368" s="6" t="s">
        <v>2302</v>
      </c>
      <c r="G368" t="str">
        <f t="shared" si="5"/>
        <v>77100 / Salary and related costs–TA/NP</v>
      </c>
    </row>
    <row r="369" spans="1:7">
      <c r="A369" s="6" t="s">
        <v>2264</v>
      </c>
      <c r="B369" s="6" t="s">
        <v>2265</v>
      </c>
      <c r="C369" s="6" t="s">
        <v>2266</v>
      </c>
      <c r="D369" s="6" t="s">
        <v>2303</v>
      </c>
      <c r="E369" s="6" t="s">
        <v>2304</v>
      </c>
      <c r="F369" s="6" t="s">
        <v>2305</v>
      </c>
      <c r="G369" t="str">
        <f t="shared" si="5"/>
        <v>77100 / Salary and related costs–TA/NP</v>
      </c>
    </row>
    <row r="370" spans="1:7">
      <c r="A370" s="6" t="s">
        <v>2264</v>
      </c>
      <c r="B370" s="6" t="s">
        <v>2265</v>
      </c>
      <c r="C370" s="6" t="s">
        <v>2266</v>
      </c>
      <c r="D370" s="6" t="s">
        <v>2306</v>
      </c>
      <c r="E370" s="6" t="s">
        <v>2307</v>
      </c>
      <c r="F370" s="6" t="s">
        <v>2308</v>
      </c>
      <c r="G370" t="str">
        <f t="shared" si="5"/>
        <v>77100 / Salary and related costs–TA/NP</v>
      </c>
    </row>
    <row r="371" spans="1:7">
      <c r="A371" s="6" t="s">
        <v>2264</v>
      </c>
      <c r="B371" s="6" t="s">
        <v>2265</v>
      </c>
      <c r="C371" s="6" t="s">
        <v>2266</v>
      </c>
      <c r="D371" s="6" t="s">
        <v>2309</v>
      </c>
      <c r="E371" s="6" t="s">
        <v>2310</v>
      </c>
      <c r="F371" s="6" t="s">
        <v>2311</v>
      </c>
      <c r="G371" t="str">
        <f t="shared" si="5"/>
        <v>77100 / Salary and related costs–TA/NP</v>
      </c>
    </row>
    <row r="372" spans="1:7">
      <c r="A372" s="6" t="s">
        <v>2264</v>
      </c>
      <c r="B372" s="6" t="s">
        <v>2265</v>
      </c>
      <c r="C372" s="6" t="s">
        <v>2266</v>
      </c>
      <c r="D372" s="6" t="s">
        <v>2312</v>
      </c>
      <c r="E372" s="6" t="s">
        <v>2313</v>
      </c>
      <c r="F372" s="6" t="s">
        <v>2314</v>
      </c>
      <c r="G372" t="str">
        <f t="shared" si="5"/>
        <v>77100 / Salary and related costs–TA/NP</v>
      </c>
    </row>
    <row r="373" spans="1:7">
      <c r="A373" s="6" t="s">
        <v>2315</v>
      </c>
      <c r="B373" s="6" t="s">
        <v>2316</v>
      </c>
      <c r="C373" s="6" t="s">
        <v>2317</v>
      </c>
      <c r="D373" s="6" t="s">
        <v>2318</v>
      </c>
      <c r="E373" s="6" t="s">
        <v>2319</v>
      </c>
      <c r="F373" s="6" t="s">
        <v>2320</v>
      </c>
      <c r="G373" t="str">
        <f t="shared" si="5"/>
        <v>77200 / Salary and related costs–TA/GS</v>
      </c>
    </row>
    <row r="374" spans="1:7">
      <c r="A374" s="6" t="s">
        <v>2315</v>
      </c>
      <c r="B374" s="6" t="s">
        <v>2316</v>
      </c>
      <c r="C374" s="6" t="s">
        <v>2317</v>
      </c>
      <c r="D374" s="6" t="s">
        <v>2321</v>
      </c>
      <c r="E374" s="6" t="s">
        <v>2322</v>
      </c>
      <c r="F374" s="6" t="s">
        <v>2323</v>
      </c>
      <c r="G374" t="str">
        <f t="shared" si="5"/>
        <v>77200 / Salary and related costs–TA/GS</v>
      </c>
    </row>
    <row r="375" spans="1:7">
      <c r="A375" s="6" t="s">
        <v>2315</v>
      </c>
      <c r="B375" s="6" t="s">
        <v>2316</v>
      </c>
      <c r="C375" s="6" t="s">
        <v>2317</v>
      </c>
      <c r="D375" s="6" t="s">
        <v>2324</v>
      </c>
      <c r="E375" s="6" t="s">
        <v>2325</v>
      </c>
      <c r="F375" s="6" t="s">
        <v>2326</v>
      </c>
      <c r="G375" t="str">
        <f t="shared" si="5"/>
        <v>77200 / Salary and related costs–TA/GS</v>
      </c>
    </row>
    <row r="376" spans="1:7">
      <c r="A376" s="6" t="s">
        <v>2315</v>
      </c>
      <c r="B376" s="6" t="s">
        <v>2316</v>
      </c>
      <c r="C376" s="6" t="s">
        <v>2317</v>
      </c>
      <c r="D376" s="6" t="s">
        <v>2327</v>
      </c>
      <c r="E376" s="6" t="s">
        <v>2328</v>
      </c>
      <c r="F376" s="6" t="s">
        <v>2329</v>
      </c>
      <c r="G376" t="str">
        <f t="shared" si="5"/>
        <v>77200 / Salary and related costs–TA/GS</v>
      </c>
    </row>
    <row r="377" spans="1:7">
      <c r="A377" s="6" t="s">
        <v>2315</v>
      </c>
      <c r="B377" s="6" t="s">
        <v>2316</v>
      </c>
      <c r="C377" s="6" t="s">
        <v>2317</v>
      </c>
      <c r="D377" s="6" t="s">
        <v>2330</v>
      </c>
      <c r="E377" s="6" t="s">
        <v>2331</v>
      </c>
      <c r="F377" s="6" t="s">
        <v>2326</v>
      </c>
      <c r="G377" t="str">
        <f t="shared" si="5"/>
        <v>77200 / Salary and related costs–TA/GS</v>
      </c>
    </row>
    <row r="378" spans="1:7">
      <c r="A378" s="6" t="s">
        <v>2315</v>
      </c>
      <c r="B378" s="6" t="s">
        <v>2316</v>
      </c>
      <c r="C378" s="6" t="s">
        <v>2317</v>
      </c>
      <c r="D378" s="6" t="s">
        <v>2332</v>
      </c>
      <c r="E378" s="6" t="s">
        <v>2333</v>
      </c>
      <c r="F378" s="6" t="s">
        <v>2334</v>
      </c>
      <c r="G378" t="str">
        <f t="shared" si="5"/>
        <v>77200 / Salary and related costs–TA/GS</v>
      </c>
    </row>
    <row r="379" spans="1:7">
      <c r="A379" s="6" t="s">
        <v>2315</v>
      </c>
      <c r="B379" s="6" t="s">
        <v>2316</v>
      </c>
      <c r="C379" s="6" t="s">
        <v>2317</v>
      </c>
      <c r="D379" s="6" t="s">
        <v>2335</v>
      </c>
      <c r="E379" s="6" t="s">
        <v>2336</v>
      </c>
      <c r="F379" s="6" t="s">
        <v>2337</v>
      </c>
      <c r="G379" t="str">
        <f t="shared" si="5"/>
        <v>77200 / Salary and related costs–TA/GS</v>
      </c>
    </row>
    <row r="380" spans="1:7">
      <c r="A380" s="6" t="s">
        <v>2315</v>
      </c>
      <c r="B380" s="6" t="s">
        <v>2316</v>
      </c>
      <c r="C380" s="6" t="s">
        <v>2317</v>
      </c>
      <c r="D380" s="6" t="s">
        <v>2338</v>
      </c>
      <c r="E380" s="6" t="s">
        <v>2339</v>
      </c>
      <c r="F380" s="6" t="s">
        <v>2340</v>
      </c>
      <c r="G380" t="str">
        <f t="shared" si="5"/>
        <v>77200 / Salary and related costs–TA/GS</v>
      </c>
    </row>
    <row r="381" spans="1:7">
      <c r="A381" s="6" t="s">
        <v>2315</v>
      </c>
      <c r="B381" s="6" t="s">
        <v>2316</v>
      </c>
      <c r="C381" s="6" t="s">
        <v>2317</v>
      </c>
      <c r="D381" s="6" t="s">
        <v>2341</v>
      </c>
      <c r="E381" s="6" t="s">
        <v>2342</v>
      </c>
      <c r="F381" s="6" t="s">
        <v>2343</v>
      </c>
      <c r="G381" t="str">
        <f t="shared" si="5"/>
        <v>77200 / Salary and related costs–TA/GS</v>
      </c>
    </row>
    <row r="382" spans="1:7">
      <c r="A382" s="6" t="s">
        <v>2315</v>
      </c>
      <c r="B382" s="6" t="s">
        <v>2316</v>
      </c>
      <c r="C382" s="6" t="s">
        <v>2317</v>
      </c>
      <c r="D382" s="6" t="s">
        <v>2344</v>
      </c>
      <c r="E382" s="6" t="s">
        <v>2345</v>
      </c>
      <c r="F382" s="6" t="s">
        <v>2346</v>
      </c>
      <c r="G382" t="str">
        <f t="shared" si="5"/>
        <v>77200 / Salary and related costs–TA/GS</v>
      </c>
    </row>
    <row r="383" spans="1:7">
      <c r="A383" s="6" t="s">
        <v>2315</v>
      </c>
      <c r="B383" s="6" t="s">
        <v>2316</v>
      </c>
      <c r="C383" s="6" t="s">
        <v>2317</v>
      </c>
      <c r="D383" s="6" t="s">
        <v>2347</v>
      </c>
      <c r="E383" s="6" t="s">
        <v>2348</v>
      </c>
      <c r="F383" s="6" t="s">
        <v>2349</v>
      </c>
      <c r="G383" t="str">
        <f t="shared" si="5"/>
        <v>77200 / Salary and related costs–TA/GS</v>
      </c>
    </row>
    <row r="384" spans="1:7">
      <c r="A384" s="6" t="s">
        <v>2315</v>
      </c>
      <c r="B384" s="6" t="s">
        <v>2316</v>
      </c>
      <c r="C384" s="6" t="s">
        <v>2317</v>
      </c>
      <c r="D384" s="6" t="s">
        <v>2350</v>
      </c>
      <c r="E384" s="6" t="s">
        <v>2351</v>
      </c>
      <c r="F384" s="6" t="s">
        <v>2352</v>
      </c>
      <c r="G384" t="str">
        <f t="shared" si="5"/>
        <v>77200 / Salary and related costs–TA/GS</v>
      </c>
    </row>
    <row r="385" spans="1:7">
      <c r="A385" s="6" t="s">
        <v>2315</v>
      </c>
      <c r="B385" s="6" t="s">
        <v>2316</v>
      </c>
      <c r="C385" s="6" t="s">
        <v>2317</v>
      </c>
      <c r="D385" s="6" t="s">
        <v>2353</v>
      </c>
      <c r="E385" s="6" t="s">
        <v>2354</v>
      </c>
      <c r="F385" s="6" t="s">
        <v>2355</v>
      </c>
      <c r="G385" t="str">
        <f t="shared" si="5"/>
        <v>77200 / Salary and related costs–TA/GS</v>
      </c>
    </row>
    <row r="386" spans="1:7">
      <c r="A386" s="6" t="s">
        <v>2315</v>
      </c>
      <c r="B386" s="6" t="s">
        <v>2316</v>
      </c>
      <c r="C386" s="6" t="s">
        <v>2317</v>
      </c>
      <c r="D386" s="6" t="s">
        <v>2356</v>
      </c>
      <c r="E386" s="6" t="s">
        <v>2357</v>
      </c>
      <c r="F386" s="6" t="s">
        <v>2358</v>
      </c>
      <c r="G386" t="str">
        <f t="shared" si="5"/>
        <v>77200 / Salary and related costs–TA/GS</v>
      </c>
    </row>
    <row r="387" spans="1:7">
      <c r="A387" s="6" t="s">
        <v>2315</v>
      </c>
      <c r="B387" s="6" t="s">
        <v>2316</v>
      </c>
      <c r="C387" s="6" t="s">
        <v>2317</v>
      </c>
      <c r="D387" s="6" t="s">
        <v>2359</v>
      </c>
      <c r="E387" s="6" t="s">
        <v>2360</v>
      </c>
      <c r="F387" s="6" t="s">
        <v>2361</v>
      </c>
      <c r="G387" t="str">
        <f t="shared" ref="G387:G424" si="6">A387&amp;" / "&amp;B387</f>
        <v>77200 / Salary and related costs–TA/GS</v>
      </c>
    </row>
    <row r="388" spans="1:7">
      <c r="A388" s="6" t="s">
        <v>2315</v>
      </c>
      <c r="B388" s="6" t="s">
        <v>2316</v>
      </c>
      <c r="C388" s="6" t="s">
        <v>2317</v>
      </c>
      <c r="D388" s="6" t="s">
        <v>2362</v>
      </c>
      <c r="E388" s="6" t="s">
        <v>2363</v>
      </c>
      <c r="F388" s="6" t="s">
        <v>2364</v>
      </c>
      <c r="G388" t="str">
        <f t="shared" si="6"/>
        <v>77200 / Salary and related costs–TA/GS</v>
      </c>
    </row>
    <row r="389" spans="1:7">
      <c r="A389" s="6" t="s">
        <v>2315</v>
      </c>
      <c r="B389" s="6" t="s">
        <v>2316</v>
      </c>
      <c r="C389" s="6" t="s">
        <v>2317</v>
      </c>
      <c r="D389" s="6" t="s">
        <v>2365</v>
      </c>
      <c r="E389" s="6" t="s">
        <v>2366</v>
      </c>
      <c r="F389" s="6" t="s">
        <v>2367</v>
      </c>
      <c r="G389" t="str">
        <f t="shared" si="6"/>
        <v>77200 / Salary and related costs–TA/GS</v>
      </c>
    </row>
    <row r="390" spans="1:7">
      <c r="A390" s="6" t="s">
        <v>2368</v>
      </c>
      <c r="B390" s="6" t="s">
        <v>2369</v>
      </c>
      <c r="C390" s="6" t="s">
        <v>2370</v>
      </c>
      <c r="D390" s="6" t="s">
        <v>2371</v>
      </c>
      <c r="E390" s="6" t="s">
        <v>2372</v>
      </c>
      <c r="F390" s="6" t="s">
        <v>2373</v>
      </c>
      <c r="G390" t="str">
        <f t="shared" si="6"/>
        <v>77300 / Salary and related costs–TA/IP</v>
      </c>
    </row>
    <row r="391" spans="1:7">
      <c r="A391" s="6" t="s">
        <v>2368</v>
      </c>
      <c r="B391" s="6" t="s">
        <v>2369</v>
      </c>
      <c r="C391" s="6" t="s">
        <v>2370</v>
      </c>
      <c r="D391" s="6" t="s">
        <v>2374</v>
      </c>
      <c r="E391" s="6" t="s">
        <v>2375</v>
      </c>
      <c r="F391" s="6" t="s">
        <v>2376</v>
      </c>
      <c r="G391" t="str">
        <f t="shared" si="6"/>
        <v>77300 / Salary and related costs–TA/IP</v>
      </c>
    </row>
    <row r="392" spans="1:7">
      <c r="A392" s="6" t="s">
        <v>2368</v>
      </c>
      <c r="B392" s="6" t="s">
        <v>2369</v>
      </c>
      <c r="C392" s="6" t="s">
        <v>2370</v>
      </c>
      <c r="D392" s="6" t="s">
        <v>2377</v>
      </c>
      <c r="E392" s="6" t="s">
        <v>2378</v>
      </c>
      <c r="F392" s="6" t="s">
        <v>2379</v>
      </c>
      <c r="G392" t="str">
        <f t="shared" si="6"/>
        <v>77300 / Salary and related costs–TA/IP</v>
      </c>
    </row>
    <row r="393" spans="1:7">
      <c r="A393" s="6" t="s">
        <v>2368</v>
      </c>
      <c r="B393" s="6" t="s">
        <v>2369</v>
      </c>
      <c r="C393" s="6" t="s">
        <v>2370</v>
      </c>
      <c r="D393" s="6" t="s">
        <v>2380</v>
      </c>
      <c r="E393" s="6" t="s">
        <v>2381</v>
      </c>
      <c r="F393" s="6" t="s">
        <v>2382</v>
      </c>
      <c r="G393" t="str">
        <f t="shared" si="6"/>
        <v>77300 / Salary and related costs–TA/IP</v>
      </c>
    </row>
    <row r="394" spans="1:7">
      <c r="A394" s="6" t="s">
        <v>2368</v>
      </c>
      <c r="B394" s="6" t="s">
        <v>2369</v>
      </c>
      <c r="C394" s="6" t="s">
        <v>2370</v>
      </c>
      <c r="D394" s="6" t="s">
        <v>2383</v>
      </c>
      <c r="E394" s="6" t="s">
        <v>2384</v>
      </c>
      <c r="F394" s="6" t="s">
        <v>2385</v>
      </c>
      <c r="G394" t="str">
        <f t="shared" si="6"/>
        <v>77300 / Salary and related costs–TA/IP</v>
      </c>
    </row>
    <row r="395" spans="1:7">
      <c r="A395" s="6" t="s">
        <v>2368</v>
      </c>
      <c r="B395" s="6" t="s">
        <v>2369</v>
      </c>
      <c r="C395" s="6" t="s">
        <v>2370</v>
      </c>
      <c r="D395" s="6" t="s">
        <v>2386</v>
      </c>
      <c r="E395" s="6" t="s">
        <v>2387</v>
      </c>
      <c r="F395" s="6" t="s">
        <v>2388</v>
      </c>
      <c r="G395" t="str">
        <f t="shared" si="6"/>
        <v>77300 / Salary and related costs–TA/IP</v>
      </c>
    </row>
    <row r="396" spans="1:7">
      <c r="A396" s="6" t="s">
        <v>2368</v>
      </c>
      <c r="B396" s="6" t="s">
        <v>2369</v>
      </c>
      <c r="C396" s="6" t="s">
        <v>2370</v>
      </c>
      <c r="D396" s="6" t="s">
        <v>2389</v>
      </c>
      <c r="E396" s="6" t="s">
        <v>2390</v>
      </c>
      <c r="F396" s="6" t="s">
        <v>2391</v>
      </c>
      <c r="G396" t="str">
        <f t="shared" si="6"/>
        <v>77300 / Salary and related costs–TA/IP</v>
      </c>
    </row>
    <row r="397" spans="1:7">
      <c r="A397" s="6" t="s">
        <v>2368</v>
      </c>
      <c r="B397" s="6" t="s">
        <v>2369</v>
      </c>
      <c r="C397" s="6" t="s">
        <v>2370</v>
      </c>
      <c r="D397" s="6" t="s">
        <v>2392</v>
      </c>
      <c r="E397" s="6" t="s">
        <v>2393</v>
      </c>
      <c r="F397" s="6" t="s">
        <v>2394</v>
      </c>
      <c r="G397" t="str">
        <f t="shared" si="6"/>
        <v>77300 / Salary and related costs–TA/IP</v>
      </c>
    </row>
    <row r="398" spans="1:7">
      <c r="A398" s="6" t="s">
        <v>2368</v>
      </c>
      <c r="B398" s="6" t="s">
        <v>2369</v>
      </c>
      <c r="C398" s="6" t="s">
        <v>2370</v>
      </c>
      <c r="D398" s="6" t="s">
        <v>2395</v>
      </c>
      <c r="E398" s="6" t="s">
        <v>2396</v>
      </c>
      <c r="F398" s="6" t="s">
        <v>2397</v>
      </c>
      <c r="G398" t="str">
        <f t="shared" si="6"/>
        <v>77300 / Salary and related costs–TA/IP</v>
      </c>
    </row>
    <row r="399" spans="1:7">
      <c r="A399" s="6" t="s">
        <v>2368</v>
      </c>
      <c r="B399" s="6" t="s">
        <v>2369</v>
      </c>
      <c r="C399" s="6" t="s">
        <v>2370</v>
      </c>
      <c r="D399" s="6" t="s">
        <v>2398</v>
      </c>
      <c r="E399" s="6" t="s">
        <v>2399</v>
      </c>
      <c r="F399" s="6" t="s">
        <v>2400</v>
      </c>
      <c r="G399" t="str">
        <f t="shared" si="6"/>
        <v>77300 / Salary and related costs–TA/IP</v>
      </c>
    </row>
    <row r="400" spans="1:7">
      <c r="A400" s="6" t="s">
        <v>2368</v>
      </c>
      <c r="B400" s="6" t="s">
        <v>2369</v>
      </c>
      <c r="C400" s="6" t="s">
        <v>2370</v>
      </c>
      <c r="D400" s="6" t="s">
        <v>2401</v>
      </c>
      <c r="E400" s="6" t="s">
        <v>2402</v>
      </c>
      <c r="F400" s="6" t="s">
        <v>2403</v>
      </c>
      <c r="G400" t="str">
        <f t="shared" si="6"/>
        <v>77300 / Salary and related costs–TA/IP</v>
      </c>
    </row>
    <row r="401" spans="1:7">
      <c r="A401" s="6" t="s">
        <v>2368</v>
      </c>
      <c r="B401" s="6" t="s">
        <v>2369</v>
      </c>
      <c r="C401" s="6" t="s">
        <v>2370</v>
      </c>
      <c r="D401" s="6" t="s">
        <v>2404</v>
      </c>
      <c r="E401" s="6" t="s">
        <v>2405</v>
      </c>
      <c r="F401" s="6" t="s">
        <v>2406</v>
      </c>
      <c r="G401" t="str">
        <f t="shared" si="6"/>
        <v>77300 / Salary and related costs–TA/IP</v>
      </c>
    </row>
    <row r="402" spans="1:7">
      <c r="A402" s="6" t="s">
        <v>2368</v>
      </c>
      <c r="B402" s="6" t="s">
        <v>2369</v>
      </c>
      <c r="C402" s="6" t="s">
        <v>2370</v>
      </c>
      <c r="D402" s="6" t="s">
        <v>2407</v>
      </c>
      <c r="E402" s="6" t="s">
        <v>2408</v>
      </c>
      <c r="F402" s="6" t="s">
        <v>2409</v>
      </c>
      <c r="G402" t="str">
        <f t="shared" si="6"/>
        <v>77300 / Salary and related costs–TA/IP</v>
      </c>
    </row>
    <row r="403" spans="1:7">
      <c r="A403" s="6" t="s">
        <v>2368</v>
      </c>
      <c r="B403" s="6" t="s">
        <v>2369</v>
      </c>
      <c r="C403" s="6" t="s">
        <v>2370</v>
      </c>
      <c r="D403" s="6" t="s">
        <v>2410</v>
      </c>
      <c r="E403" s="6" t="s">
        <v>2411</v>
      </c>
      <c r="F403" s="6" t="s">
        <v>2412</v>
      </c>
      <c r="G403" t="str">
        <f t="shared" si="6"/>
        <v>77300 / Salary and related costs–TA/IP</v>
      </c>
    </row>
    <row r="404" spans="1:7">
      <c r="A404" s="6" t="s">
        <v>2368</v>
      </c>
      <c r="B404" s="6" t="s">
        <v>2369</v>
      </c>
      <c r="C404" s="6" t="s">
        <v>2370</v>
      </c>
      <c r="D404" s="6" t="s">
        <v>2413</v>
      </c>
      <c r="E404" s="6" t="s">
        <v>2414</v>
      </c>
      <c r="F404" s="6" t="s">
        <v>2415</v>
      </c>
      <c r="G404" t="str">
        <f t="shared" si="6"/>
        <v>77300 / Salary and related costs–TA/IP</v>
      </c>
    </row>
    <row r="405" spans="1:7">
      <c r="A405" s="6" t="s">
        <v>2368</v>
      </c>
      <c r="B405" s="6" t="s">
        <v>2369</v>
      </c>
      <c r="C405" s="6" t="s">
        <v>2370</v>
      </c>
      <c r="D405" s="6" t="s">
        <v>2416</v>
      </c>
      <c r="E405" s="6" t="s">
        <v>2417</v>
      </c>
      <c r="F405" s="6" t="s">
        <v>2418</v>
      </c>
      <c r="G405" t="str">
        <f t="shared" si="6"/>
        <v>77300 / Salary and related costs–TA/IP</v>
      </c>
    </row>
    <row r="406" spans="1:7">
      <c r="A406" s="6" t="s">
        <v>2368</v>
      </c>
      <c r="B406" s="6" t="s">
        <v>2369</v>
      </c>
      <c r="C406" s="6" t="s">
        <v>2370</v>
      </c>
      <c r="D406" s="6" t="s">
        <v>2419</v>
      </c>
      <c r="E406" s="6" t="s">
        <v>2420</v>
      </c>
      <c r="F406" s="6" t="s">
        <v>2421</v>
      </c>
      <c r="G406" t="str">
        <f t="shared" si="6"/>
        <v>77300 / Salary and related costs–TA/IP</v>
      </c>
    </row>
    <row r="407" spans="1:7">
      <c r="A407" s="6" t="s">
        <v>2368</v>
      </c>
      <c r="B407" s="6" t="s">
        <v>2369</v>
      </c>
      <c r="C407" s="6" t="s">
        <v>2370</v>
      </c>
      <c r="D407" s="6" t="s">
        <v>2422</v>
      </c>
      <c r="E407" s="6" t="s">
        <v>2423</v>
      </c>
      <c r="F407" s="6" t="s">
        <v>2424</v>
      </c>
      <c r="G407" t="str">
        <f t="shared" si="6"/>
        <v>77300 / Salary and related costs–TA/IP</v>
      </c>
    </row>
    <row r="408" spans="1:7">
      <c r="A408" s="6" t="s">
        <v>2368</v>
      </c>
      <c r="B408" s="6" t="s">
        <v>2369</v>
      </c>
      <c r="C408" s="6" t="s">
        <v>2370</v>
      </c>
      <c r="D408" s="6" t="s">
        <v>2425</v>
      </c>
      <c r="E408" s="6" t="s">
        <v>2426</v>
      </c>
      <c r="F408" s="6" t="s">
        <v>2427</v>
      </c>
      <c r="G408" t="str">
        <f t="shared" si="6"/>
        <v>77300 / Salary and related costs–TA/IP</v>
      </c>
    </row>
    <row r="409" spans="1:7">
      <c r="A409" s="6" t="s">
        <v>2368</v>
      </c>
      <c r="B409" s="6" t="s">
        <v>2369</v>
      </c>
      <c r="C409" s="6" t="s">
        <v>2370</v>
      </c>
      <c r="D409" s="6" t="s">
        <v>2428</v>
      </c>
      <c r="E409" s="6" t="s">
        <v>2429</v>
      </c>
      <c r="F409" s="6" t="s">
        <v>2430</v>
      </c>
      <c r="G409" t="str">
        <f t="shared" si="6"/>
        <v>77300 / Salary and related costs–TA/IP</v>
      </c>
    </row>
    <row r="410" spans="1:7">
      <c r="A410" s="6" t="s">
        <v>2368</v>
      </c>
      <c r="B410" s="6" t="s">
        <v>2369</v>
      </c>
      <c r="C410" s="6" t="s">
        <v>2370</v>
      </c>
      <c r="D410" s="6" t="s">
        <v>2431</v>
      </c>
      <c r="E410" s="6" t="s">
        <v>2432</v>
      </c>
      <c r="F410" s="6" t="s">
        <v>2433</v>
      </c>
      <c r="G410" t="str">
        <f t="shared" si="6"/>
        <v>77300 / Salary and related costs–TA/IP</v>
      </c>
    </row>
    <row r="411" spans="1:7">
      <c r="A411" s="6" t="s">
        <v>2368</v>
      </c>
      <c r="B411" s="6" t="s">
        <v>2369</v>
      </c>
      <c r="C411" s="6" t="s">
        <v>2370</v>
      </c>
      <c r="D411" s="6" t="s">
        <v>2434</v>
      </c>
      <c r="E411" s="6" t="s">
        <v>2435</v>
      </c>
      <c r="F411" s="6" t="s">
        <v>2436</v>
      </c>
      <c r="G411" t="str">
        <f t="shared" si="6"/>
        <v>77300 / Salary and related costs–TA/IP</v>
      </c>
    </row>
    <row r="412" spans="1:7">
      <c r="A412" s="6" t="s">
        <v>2368</v>
      </c>
      <c r="B412" s="6" t="s">
        <v>2369</v>
      </c>
      <c r="C412" s="6" t="s">
        <v>2370</v>
      </c>
      <c r="D412" s="6" t="s">
        <v>2437</v>
      </c>
      <c r="E412" s="6" t="s">
        <v>2438</v>
      </c>
      <c r="F412" s="6" t="s">
        <v>2439</v>
      </c>
      <c r="G412" t="str">
        <f t="shared" si="6"/>
        <v>77300 / Salary and related costs–TA/IP</v>
      </c>
    </row>
    <row r="413" spans="1:7">
      <c r="A413" s="6" t="s">
        <v>2440</v>
      </c>
      <c r="B413" s="6" t="s">
        <v>2441</v>
      </c>
      <c r="C413" s="6" t="s">
        <v>2442</v>
      </c>
      <c r="D413" s="6" t="s">
        <v>2443</v>
      </c>
      <c r="E413" s="6" t="s">
        <v>2444</v>
      </c>
      <c r="F413" s="6" t="s">
        <v>2445</v>
      </c>
      <c r="G413" t="str">
        <f t="shared" si="6"/>
        <v>BA001 / Land - Budget</v>
      </c>
    </row>
    <row r="414" spans="1:7">
      <c r="A414" s="6" t="s">
        <v>2446</v>
      </c>
      <c r="B414" s="6" t="s">
        <v>2447</v>
      </c>
      <c r="C414" s="6" t="s">
        <v>2448</v>
      </c>
      <c r="D414" s="6" t="s">
        <v>2449</v>
      </c>
      <c r="E414" s="6" t="s">
        <v>2450</v>
      </c>
      <c r="F414" s="6" t="s">
        <v>2451</v>
      </c>
      <c r="G414" t="str">
        <f t="shared" si="6"/>
        <v>BA002 / Building - Budget</v>
      </c>
    </row>
    <row r="415" spans="1:7">
      <c r="A415" s="6" t="s">
        <v>2452</v>
      </c>
      <c r="B415" s="6" t="s">
        <v>2453</v>
      </c>
      <c r="C415" s="6" t="s">
        <v>2454</v>
      </c>
      <c r="D415" s="6" t="s">
        <v>2455</v>
      </c>
      <c r="E415" s="6" t="s">
        <v>2456</v>
      </c>
      <c r="F415" s="6" t="s">
        <v>2457</v>
      </c>
      <c r="G415" t="str">
        <f t="shared" si="6"/>
        <v>BA003 / Leasehold Impr - Budget</v>
      </c>
    </row>
    <row r="416" spans="1:7">
      <c r="A416" s="6" t="s">
        <v>2458</v>
      </c>
      <c r="B416" s="6" t="s">
        <v>2459</v>
      </c>
      <c r="C416" s="6" t="s">
        <v>2460</v>
      </c>
      <c r="D416" s="6" t="s">
        <v>2461</v>
      </c>
      <c r="E416" s="6" t="s">
        <v>2462</v>
      </c>
      <c r="F416" s="6" t="s">
        <v>2463</v>
      </c>
      <c r="G416" t="str">
        <f t="shared" si="6"/>
        <v>BA004 / Vehicles - Budget</v>
      </c>
    </row>
    <row r="417" spans="1:7">
      <c r="A417" s="6" t="s">
        <v>2464</v>
      </c>
      <c r="B417" s="6" t="s">
        <v>2465</v>
      </c>
      <c r="C417" s="6" t="s">
        <v>2466</v>
      </c>
      <c r="D417" s="6" t="s">
        <v>2467</v>
      </c>
      <c r="E417" s="6" t="s">
        <v>2468</v>
      </c>
      <c r="F417" s="6" t="s">
        <v>2469</v>
      </c>
      <c r="G417" t="str">
        <f t="shared" si="6"/>
        <v>BA005 / Furniture - Budget</v>
      </c>
    </row>
    <row r="418" spans="1:7">
      <c r="A418" s="6" t="s">
        <v>2470</v>
      </c>
      <c r="B418" s="6" t="s">
        <v>2471</v>
      </c>
      <c r="C418" s="6" t="s">
        <v>2472</v>
      </c>
      <c r="D418" s="6" t="s">
        <v>2473</v>
      </c>
      <c r="E418" s="6" t="s">
        <v>2474</v>
      </c>
      <c r="F418" s="6" t="s">
        <v>2475</v>
      </c>
      <c r="G418" t="str">
        <f t="shared" si="6"/>
        <v>BA006 / Heavy Equipment - Budget</v>
      </c>
    </row>
    <row r="419" spans="1:7">
      <c r="A419" s="6" t="s">
        <v>2476</v>
      </c>
      <c r="B419" s="6" t="s">
        <v>2477</v>
      </c>
      <c r="C419" s="6" t="s">
        <v>2478</v>
      </c>
      <c r="D419" s="6" t="s">
        <v>2479</v>
      </c>
      <c r="E419" s="6" t="s">
        <v>2480</v>
      </c>
      <c r="F419" s="6" t="s">
        <v>2481</v>
      </c>
      <c r="G419" t="str">
        <f t="shared" si="6"/>
        <v>BA007 / IT&amp;C - Budget</v>
      </c>
    </row>
    <row r="420" spans="1:7">
      <c r="A420" s="6" t="s">
        <v>2482</v>
      </c>
      <c r="B420" s="6" t="s">
        <v>2483</v>
      </c>
      <c r="C420" s="6" t="s">
        <v>2484</v>
      </c>
      <c r="D420" s="6" t="s">
        <v>2485</v>
      </c>
      <c r="E420" s="6" t="s">
        <v>2486</v>
      </c>
      <c r="F420" s="6" t="s">
        <v>2487</v>
      </c>
      <c r="G420" t="str">
        <f t="shared" si="6"/>
        <v>BA008 / Security Equip - Budget</v>
      </c>
    </row>
    <row r="421" spans="1:7">
      <c r="A421" s="6" t="s">
        <v>2488</v>
      </c>
      <c r="B421" s="6" t="s">
        <v>2489</v>
      </c>
      <c r="C421" s="6" t="s">
        <v>2490</v>
      </c>
      <c r="D421" s="6" t="s">
        <v>2491</v>
      </c>
      <c r="E421" s="6" t="s">
        <v>2492</v>
      </c>
      <c r="F421" s="6" t="s">
        <v>2493</v>
      </c>
      <c r="G421" t="str">
        <f t="shared" si="6"/>
        <v>BA009 / Intangible - Budget</v>
      </c>
    </row>
    <row r="422" spans="1:7">
      <c r="A422" s="6" t="s">
        <v>2494</v>
      </c>
      <c r="B422" s="6" t="s">
        <v>2495</v>
      </c>
      <c r="C422" s="6" t="s">
        <v>2496</v>
      </c>
      <c r="D422" s="6" t="s">
        <v>2497</v>
      </c>
      <c r="E422" s="6" t="s">
        <v>2498</v>
      </c>
      <c r="F422" s="6" t="s">
        <v>1465</v>
      </c>
      <c r="G422" t="str">
        <f t="shared" si="6"/>
        <v>BA010 / Construct Fixed Asset - Budget</v>
      </c>
    </row>
    <row r="423" spans="1:7">
      <c r="A423" s="6" t="s">
        <v>2499</v>
      </c>
      <c r="B423" s="6" t="s">
        <v>2500</v>
      </c>
      <c r="C423" s="6" t="s">
        <v>2501</v>
      </c>
      <c r="D423" s="6" t="s">
        <v>2502</v>
      </c>
      <c r="E423" s="6" t="s">
        <v>2503</v>
      </c>
      <c r="F423" s="6" t="s">
        <v>2504</v>
      </c>
      <c r="G423" t="str">
        <f t="shared" si="6"/>
        <v>BA011 / Construct Intangible - Budget</v>
      </c>
    </row>
    <row r="424" spans="1:7">
      <c r="A424" s="6" t="s">
        <v>2505</v>
      </c>
      <c r="B424" s="6" t="s">
        <v>2506</v>
      </c>
      <c r="C424" s="6" t="s">
        <v>2507</v>
      </c>
      <c r="D424" s="6" t="s">
        <v>2508</v>
      </c>
      <c r="E424" s="6" t="s">
        <v>2509</v>
      </c>
      <c r="F424" s="6" t="s">
        <v>2510</v>
      </c>
      <c r="G424" t="str">
        <f t="shared" si="6"/>
        <v>BA012 / Asset NBV Transfer- Budget</v>
      </c>
    </row>
    <row r="425" spans="1:7">
      <c r="G425" s="50" t="s">
        <v>2511</v>
      </c>
    </row>
  </sheetData>
  <autoFilter ref="A1:G424" xr:uid="{44436EA7-F625-40D3-A888-6F721893F9A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ADAAF-94FE-4855-A4C9-D15632A19B14}">
  <sheetPr codeName="Sheet8"/>
  <dimension ref="A1:G283"/>
  <sheetViews>
    <sheetView topLeftCell="A2" workbookViewId="0">
      <selection activeCell="G283" sqref="G283"/>
    </sheetView>
  </sheetViews>
  <sheetFormatPr defaultColWidth="21.42578125" defaultRowHeight="12.95"/>
  <cols>
    <col min="1" max="1" width="18.42578125" customWidth="1"/>
    <col min="2" max="2" width="48.7109375" customWidth="1"/>
    <col min="3" max="3" width="23.42578125" customWidth="1"/>
  </cols>
  <sheetData>
    <row r="1" spans="1:7">
      <c r="A1" s="10" t="s">
        <v>2512</v>
      </c>
      <c r="B1" s="10" t="s">
        <v>2513</v>
      </c>
      <c r="C1" s="10" t="s">
        <v>2514</v>
      </c>
      <c r="D1" s="456" t="s">
        <v>2515</v>
      </c>
      <c r="E1" s="457"/>
      <c r="F1" s="458"/>
      <c r="G1" s="10" t="s">
        <v>2516</v>
      </c>
    </row>
    <row r="2" spans="1:7">
      <c r="A2" s="11" t="s">
        <v>2517</v>
      </c>
      <c r="B2" s="11" t="s">
        <v>2518</v>
      </c>
      <c r="C2" s="11" t="s">
        <v>2519</v>
      </c>
      <c r="D2" s="453" t="s">
        <v>2520</v>
      </c>
      <c r="E2" s="454"/>
      <c r="F2" s="455"/>
      <c r="G2" t="str">
        <f>A2&amp;" / "&amp;B2</f>
        <v xml:space="preserve"> 001511 / PAL-Local Non Govermen Organis</v>
      </c>
    </row>
    <row r="3" spans="1:7">
      <c r="A3" s="11" t="s">
        <v>2521</v>
      </c>
      <c r="B3" s="11" t="s">
        <v>2522</v>
      </c>
      <c r="C3" s="11" t="s">
        <v>2519</v>
      </c>
      <c r="D3" s="453" t="s">
        <v>2520</v>
      </c>
      <c r="E3" s="454"/>
      <c r="F3" s="455"/>
      <c r="G3" t="str">
        <f t="shared" ref="G3:G66" si="0">A3&amp;" / "&amp;B3</f>
        <v xml:space="preserve"> 009923 / PAL-AlJaleel Soc Cre&amp;Com Rehab</v>
      </c>
    </row>
    <row r="4" spans="1:7">
      <c r="A4" s="11" t="s">
        <v>2523</v>
      </c>
      <c r="B4" s="11" t="s">
        <v>2524</v>
      </c>
      <c r="C4" s="11" t="s">
        <v>2519</v>
      </c>
      <c r="D4" s="453" t="s">
        <v>2520</v>
      </c>
      <c r="E4" s="454"/>
      <c r="F4" s="455"/>
      <c r="G4" t="str">
        <f t="shared" si="0"/>
        <v xml:space="preserve"> 009925 / PAL-Birzeit Univer-Friends Ass</v>
      </c>
    </row>
    <row r="5" spans="1:7">
      <c r="A5" s="11" t="s">
        <v>2525</v>
      </c>
      <c r="B5" s="11" t="s">
        <v>2526</v>
      </c>
      <c r="C5" s="11" t="s">
        <v>2519</v>
      </c>
      <c r="D5" s="453" t="s">
        <v>2527</v>
      </c>
      <c r="E5" s="454"/>
      <c r="F5" s="455"/>
      <c r="G5" t="str">
        <f t="shared" si="0"/>
        <v xml:space="preserve"> 009926 / PAL-Min. of Social Development</v>
      </c>
    </row>
    <row r="6" spans="1:7">
      <c r="A6" s="11" t="s">
        <v>2528</v>
      </c>
      <c r="B6" s="11" t="s">
        <v>2529</v>
      </c>
      <c r="C6" s="11" t="s">
        <v>2519</v>
      </c>
      <c r="D6" s="453" t="s">
        <v>2520</v>
      </c>
      <c r="E6" s="454"/>
      <c r="F6" s="455"/>
      <c r="G6" t="str">
        <f t="shared" si="0"/>
        <v xml:space="preserve"> 009927 / PAL-Natuf for Environ&amp;Comm Dev</v>
      </c>
    </row>
    <row r="7" spans="1:7">
      <c r="A7" s="11" t="s">
        <v>2530</v>
      </c>
      <c r="B7" s="11" t="s">
        <v>2531</v>
      </c>
      <c r="C7" s="11" t="s">
        <v>2519</v>
      </c>
      <c r="D7" s="453" t="s">
        <v>2520</v>
      </c>
      <c r="E7" s="454"/>
      <c r="F7" s="455"/>
      <c r="G7" t="str">
        <f t="shared" si="0"/>
        <v xml:space="preserve"> 010340 / PAL-PALESTINE POLYTECHNIC UNIV</v>
      </c>
    </row>
    <row r="8" spans="1:7">
      <c r="A8" s="11" t="s">
        <v>2532</v>
      </c>
      <c r="B8" s="11" t="s">
        <v>2533</v>
      </c>
      <c r="C8" s="11" t="s">
        <v>2519</v>
      </c>
      <c r="D8" s="453" t="s">
        <v>2520</v>
      </c>
      <c r="E8" s="454"/>
      <c r="F8" s="455"/>
      <c r="G8" t="str">
        <f t="shared" si="0"/>
        <v xml:space="preserve"> 010342 / PAL-ARAB CENTER FOR AGRICULTUR</v>
      </c>
    </row>
    <row r="9" spans="1:7">
      <c r="A9" s="11" t="s">
        <v>2534</v>
      </c>
      <c r="B9" s="11" t="s">
        <v>2535</v>
      </c>
      <c r="C9" s="11" t="s">
        <v>2519</v>
      </c>
      <c r="D9" s="453" t="s">
        <v>2520</v>
      </c>
      <c r="E9" s="454"/>
      <c r="F9" s="455"/>
      <c r="G9" t="str">
        <f t="shared" si="0"/>
        <v xml:space="preserve"> 010343 / PAL-HIGHER COUNCIL FOR YOUTH A</v>
      </c>
    </row>
    <row r="10" spans="1:7">
      <c r="A10" s="11" t="s">
        <v>2536</v>
      </c>
      <c r="B10" s="11" t="s">
        <v>2537</v>
      </c>
      <c r="C10" s="11" t="s">
        <v>2519</v>
      </c>
      <c r="D10" s="453" t="s">
        <v>2520</v>
      </c>
      <c r="E10" s="454"/>
      <c r="F10" s="455"/>
      <c r="G10" t="str">
        <f t="shared" si="0"/>
        <v xml:space="preserve"> 010344 / PAL-ALOFOQ FOUNDATION FOR YOUT</v>
      </c>
    </row>
    <row r="11" spans="1:7">
      <c r="A11" s="11" t="s">
        <v>2538</v>
      </c>
      <c r="B11" s="11" t="s">
        <v>2539</v>
      </c>
      <c r="C11" s="11" t="s">
        <v>2519</v>
      </c>
      <c r="D11" s="453" t="s">
        <v>2520</v>
      </c>
      <c r="E11" s="454"/>
      <c r="F11" s="455"/>
      <c r="G11" t="str">
        <f t="shared" si="0"/>
        <v xml:space="preserve"> 010345 / PAL-PALESTINIAN AGRICULTURAL R</v>
      </c>
    </row>
    <row r="12" spans="1:7">
      <c r="A12" s="11" t="s">
        <v>2540</v>
      </c>
      <c r="B12" s="11" t="s">
        <v>2541</v>
      </c>
      <c r="C12" s="11" t="s">
        <v>2519</v>
      </c>
      <c r="D12" s="453" t="s">
        <v>2520</v>
      </c>
      <c r="E12" s="454"/>
      <c r="F12" s="455"/>
      <c r="G12" t="str">
        <f t="shared" si="0"/>
        <v xml:space="preserve"> 010346 / PAL-WAFAA CAPACITY BUILDING &amp;</v>
      </c>
    </row>
    <row r="13" spans="1:7">
      <c r="A13" s="11" t="s">
        <v>2542</v>
      </c>
      <c r="B13" s="11" t="s">
        <v>2543</v>
      </c>
      <c r="C13" s="11" t="s">
        <v>2519</v>
      </c>
      <c r="D13" s="453" t="s">
        <v>2520</v>
      </c>
      <c r="E13" s="454"/>
      <c r="F13" s="455"/>
      <c r="G13" t="str">
        <f t="shared" si="0"/>
        <v xml:space="preserve"> 010347 / PAL-PALESTINE FOR CREDIT AND D</v>
      </c>
    </row>
    <row r="14" spans="1:7">
      <c r="A14" s="11" t="s">
        <v>2544</v>
      </c>
      <c r="B14" s="11" t="s">
        <v>2545</v>
      </c>
      <c r="C14" s="11" t="s">
        <v>2519</v>
      </c>
      <c r="D14" s="453" t="s">
        <v>2520</v>
      </c>
      <c r="E14" s="454"/>
      <c r="F14" s="455"/>
      <c r="G14" t="str">
        <f t="shared" si="0"/>
        <v xml:space="preserve"> 010348 / PAL-PALESTIN. EMPLOYMENT FUND</v>
      </c>
    </row>
    <row r="15" spans="1:7">
      <c r="A15" s="11" t="s">
        <v>2546</v>
      </c>
      <c r="B15" s="11" t="s">
        <v>2547</v>
      </c>
      <c r="C15" s="11" t="s">
        <v>2519</v>
      </c>
      <c r="D15" s="453" t="s">
        <v>2520</v>
      </c>
      <c r="E15" s="454"/>
      <c r="F15" s="455"/>
      <c r="G15" t="str">
        <f t="shared" si="0"/>
        <v xml:space="preserve"> 010349 / PAL-Job Creation Program</v>
      </c>
    </row>
    <row r="16" spans="1:7">
      <c r="A16" s="11" t="s">
        <v>2548</v>
      </c>
      <c r="B16" s="11" t="s">
        <v>2549</v>
      </c>
      <c r="C16" s="11" t="s">
        <v>2519</v>
      </c>
      <c r="D16" s="453" t="s">
        <v>2520</v>
      </c>
      <c r="E16" s="454"/>
      <c r="F16" s="455"/>
      <c r="G16" t="str">
        <f t="shared" si="0"/>
        <v xml:space="preserve"> 010350 / PAL-LUTHERAN WORLD FEDERATION</v>
      </c>
    </row>
    <row r="17" spans="1:7">
      <c r="A17" s="11" t="s">
        <v>2550</v>
      </c>
      <c r="B17" s="11" t="s">
        <v>2551</v>
      </c>
      <c r="C17" s="11" t="s">
        <v>2519</v>
      </c>
      <c r="D17" s="453" t="s">
        <v>2527</v>
      </c>
      <c r="E17" s="454"/>
      <c r="F17" s="455"/>
      <c r="G17" t="str">
        <f t="shared" si="0"/>
        <v xml:space="preserve"> 010351 / PAL-PALESTINIAN ANTI-CORRUPTIO</v>
      </c>
    </row>
    <row r="18" spans="1:7">
      <c r="A18" s="11" t="s">
        <v>2552</v>
      </c>
      <c r="B18" s="11" t="s">
        <v>2553</v>
      </c>
      <c r="C18" s="11" t="s">
        <v>2519</v>
      </c>
      <c r="D18" s="453" t="s">
        <v>2520</v>
      </c>
      <c r="E18" s="454"/>
      <c r="F18" s="455"/>
      <c r="G18" t="str">
        <f t="shared" si="0"/>
        <v xml:space="preserve"> 010352 / PAL-PALESTINIAN BAR ASSOC. - G</v>
      </c>
    </row>
    <row r="19" spans="1:7">
      <c r="A19" s="11" t="s">
        <v>2554</v>
      </c>
      <c r="B19" s="11" t="s">
        <v>2555</v>
      </c>
      <c r="C19" s="11" t="s">
        <v>2519</v>
      </c>
      <c r="D19" s="453" t="s">
        <v>2520</v>
      </c>
      <c r="E19" s="454"/>
      <c r="F19" s="455"/>
      <c r="G19" t="str">
        <f t="shared" si="0"/>
        <v xml:space="preserve"> 010353 / PAL-PALESTINIAN BAR ASSOC. - W</v>
      </c>
    </row>
    <row r="20" spans="1:7">
      <c r="A20" s="11" t="s">
        <v>2556</v>
      </c>
      <c r="B20" s="11" t="s">
        <v>2557</v>
      </c>
      <c r="C20" s="11" t="s">
        <v>2519</v>
      </c>
      <c r="D20" s="453" t="s">
        <v>2527</v>
      </c>
      <c r="E20" s="454"/>
      <c r="F20" s="455"/>
      <c r="G20" t="str">
        <f t="shared" si="0"/>
        <v xml:space="preserve"> 010354 / PAL-PRIME MINISTER OFFICE</v>
      </c>
    </row>
    <row r="21" spans="1:7">
      <c r="A21" s="11" t="s">
        <v>2558</v>
      </c>
      <c r="B21" s="11" t="s">
        <v>2559</v>
      </c>
      <c r="C21" s="11" t="s">
        <v>2519</v>
      </c>
      <c r="D21" s="453" t="s">
        <v>2520</v>
      </c>
      <c r="E21" s="454"/>
      <c r="F21" s="455"/>
      <c r="G21" t="str">
        <f t="shared" si="0"/>
        <v xml:space="preserve"> 010355 / PAL-ACT ASSOCIATION</v>
      </c>
    </row>
    <row r="22" spans="1:7">
      <c r="A22" s="11" t="s">
        <v>2560</v>
      </c>
      <c r="B22" s="11" t="s">
        <v>2561</v>
      </c>
      <c r="C22" s="11" t="s">
        <v>2519</v>
      </c>
      <c r="D22" s="453" t="s">
        <v>2520</v>
      </c>
      <c r="E22" s="454"/>
      <c r="F22" s="455"/>
      <c r="G22" t="str">
        <f t="shared" si="0"/>
        <v xml:space="preserve"> 010356 / PAL-BIRZEIT UNIVERSITY     </v>
      </c>
    </row>
    <row r="23" spans="1:7">
      <c r="A23" s="11" t="s">
        <v>2562</v>
      </c>
      <c r="B23" s="11" t="s">
        <v>2563</v>
      </c>
      <c r="C23" s="11" t="s">
        <v>2519</v>
      </c>
      <c r="D23" s="453" t="s">
        <v>2520</v>
      </c>
      <c r="E23" s="454"/>
      <c r="F23" s="455"/>
      <c r="G23" t="str">
        <f t="shared" si="0"/>
        <v xml:space="preserve"> 010416 / PAL-FOUNDATION OF ORPHAN FUNDS</v>
      </c>
    </row>
    <row r="24" spans="1:7">
      <c r="A24" s="11" t="s">
        <v>2564</v>
      </c>
      <c r="B24" s="11" t="s">
        <v>2565</v>
      </c>
      <c r="C24" s="11" t="s">
        <v>2519</v>
      </c>
      <c r="D24" s="453" t="s">
        <v>2520</v>
      </c>
      <c r="E24" s="454"/>
      <c r="F24" s="455"/>
      <c r="G24" t="str">
        <f t="shared" si="0"/>
        <v xml:space="preserve"> 010417 / PAL-JERU. DAWN FOR LOANS &amp; FIN</v>
      </c>
    </row>
    <row r="25" spans="1:7">
      <c r="A25" s="11" t="s">
        <v>2566</v>
      </c>
      <c r="B25" s="11" t="s">
        <v>2567</v>
      </c>
      <c r="C25" s="11" t="s">
        <v>2519</v>
      </c>
      <c r="D25" s="453" t="s">
        <v>2520</v>
      </c>
      <c r="E25" s="454"/>
      <c r="F25" s="455"/>
      <c r="G25" t="str">
        <f t="shared" si="0"/>
        <v xml:space="preserve"> 010418 / PAL-PALESTINIAN INFORMATION</v>
      </c>
    </row>
    <row r="26" spans="1:7">
      <c r="A26" s="11" t="s">
        <v>2568</v>
      </c>
      <c r="B26" s="11" t="s">
        <v>2569</v>
      </c>
      <c r="C26" s="11" t="s">
        <v>2519</v>
      </c>
      <c r="D26" s="453" t="s">
        <v>2520</v>
      </c>
      <c r="E26" s="454"/>
      <c r="F26" s="455"/>
      <c r="G26" t="str">
        <f t="shared" si="0"/>
        <v xml:space="preserve"> 010419 / PAL-WORK WITHOUT BORDERS</v>
      </c>
    </row>
    <row r="27" spans="1:7">
      <c r="A27" s="11" t="s">
        <v>2570</v>
      </c>
      <c r="B27" s="11" t="s">
        <v>2571</v>
      </c>
      <c r="C27" s="11" t="s">
        <v>2519</v>
      </c>
      <c r="D27" s="453" t="s">
        <v>2520</v>
      </c>
      <c r="E27" s="454"/>
      <c r="F27" s="455"/>
      <c r="G27" t="str">
        <f t="shared" si="0"/>
        <v xml:space="preserve"> 010420 / PAL-FUND FOR EMPLOY &amp; SOCIAL</v>
      </c>
    </row>
    <row r="28" spans="1:7">
      <c r="A28" s="11" t="s">
        <v>2572</v>
      </c>
      <c r="B28" s="11" t="s">
        <v>2573</v>
      </c>
      <c r="C28" s="11" t="s">
        <v>2519</v>
      </c>
      <c r="D28" s="453" t="s">
        <v>2520</v>
      </c>
      <c r="E28" s="454"/>
      <c r="F28" s="455"/>
      <c r="G28" t="str">
        <f t="shared" si="0"/>
        <v xml:space="preserve"> 010421 / PAL-LAND RESEARCH CENTER</v>
      </c>
    </row>
    <row r="29" spans="1:7">
      <c r="A29" s="11" t="s">
        <v>2574</v>
      </c>
      <c r="B29" s="11" t="s">
        <v>2575</v>
      </c>
      <c r="C29" s="11" t="s">
        <v>2519</v>
      </c>
      <c r="D29" s="453" t="s">
        <v>2520</v>
      </c>
      <c r="E29" s="454"/>
      <c r="F29" s="455"/>
      <c r="G29" t="str">
        <f t="shared" si="0"/>
        <v xml:space="preserve"> 010422 / PAL-QADER FOR COMMUNITY</v>
      </c>
    </row>
    <row r="30" spans="1:7">
      <c r="A30" s="11" t="s">
        <v>2576</v>
      </c>
      <c r="B30" s="11" t="s">
        <v>2577</v>
      </c>
      <c r="C30" s="11" t="s">
        <v>2519</v>
      </c>
      <c r="D30" s="453" t="s">
        <v>2520</v>
      </c>
      <c r="E30" s="454"/>
      <c r="F30" s="455"/>
      <c r="G30" t="str">
        <f t="shared" si="0"/>
        <v xml:space="preserve"> 010423 / PAL-PALESTINIAN FEDERATION</v>
      </c>
    </row>
    <row r="31" spans="1:7">
      <c r="A31" s="11" t="s">
        <v>2578</v>
      </c>
      <c r="B31" s="11" t="s">
        <v>2579</v>
      </c>
      <c r="C31" s="11" t="s">
        <v>2519</v>
      </c>
      <c r="D31" s="453" t="s">
        <v>2520</v>
      </c>
      <c r="E31" s="454"/>
      <c r="F31" s="455"/>
      <c r="G31" t="str">
        <f t="shared" si="0"/>
        <v xml:space="preserve"> 010424 / PAL-Maan Development Center</v>
      </c>
    </row>
    <row r="32" spans="1:7">
      <c r="A32" s="11" t="s">
        <v>2580</v>
      </c>
      <c r="B32" s="11" t="s">
        <v>2581</v>
      </c>
      <c r="C32" s="11" t="s">
        <v>2519</v>
      </c>
      <c r="D32" s="453" t="s">
        <v>2520</v>
      </c>
      <c r="E32" s="454"/>
      <c r="F32" s="455"/>
      <c r="G32" t="str">
        <f t="shared" si="0"/>
        <v xml:space="preserve"> 010451 / PAL-Mercy Corps</v>
      </c>
    </row>
    <row r="33" spans="1:7">
      <c r="A33" s="11" t="s">
        <v>2582</v>
      </c>
      <c r="B33" s="11" t="s">
        <v>2583</v>
      </c>
      <c r="C33" s="11" t="s">
        <v>2519</v>
      </c>
      <c r="D33" s="453" t="s">
        <v>2520</v>
      </c>
      <c r="E33" s="454"/>
      <c r="F33" s="455"/>
      <c r="G33" t="str">
        <f t="shared" si="0"/>
        <v xml:space="preserve"> 010500 / PAL-Uni Coll. Applied Science</v>
      </c>
    </row>
    <row r="34" spans="1:7">
      <c r="A34" s="11" t="s">
        <v>2584</v>
      </c>
      <c r="B34" s="11" t="s">
        <v>2585</v>
      </c>
      <c r="C34" s="11" t="s">
        <v>2519</v>
      </c>
      <c r="D34" s="453" t="s">
        <v>2527</v>
      </c>
      <c r="E34" s="454"/>
      <c r="F34" s="455"/>
      <c r="G34" t="str">
        <f t="shared" si="0"/>
        <v xml:space="preserve"> 010501 / PAL-Coastal Muni Water Utility</v>
      </c>
    </row>
    <row r="35" spans="1:7">
      <c r="A35" s="11" t="s">
        <v>2586</v>
      </c>
      <c r="B35" s="11" t="s">
        <v>2587</v>
      </c>
      <c r="C35" s="11" t="s">
        <v>2519</v>
      </c>
      <c r="D35" s="453" t="s">
        <v>2520</v>
      </c>
      <c r="E35" s="454"/>
      <c r="F35" s="455"/>
      <c r="G35" t="str">
        <f t="shared" si="0"/>
        <v xml:space="preserve"> 010623 / Pal-Arab Chamber Of Commerce</v>
      </c>
    </row>
    <row r="36" spans="1:7">
      <c r="A36" s="11" t="s">
        <v>2588</v>
      </c>
      <c r="B36" s="11" t="s">
        <v>2589</v>
      </c>
      <c r="C36" s="11" t="s">
        <v>2519</v>
      </c>
      <c r="D36" s="453" t="s">
        <v>2520</v>
      </c>
      <c r="E36" s="454"/>
      <c r="F36" s="455"/>
      <c r="G36" t="str">
        <f t="shared" si="0"/>
        <v xml:space="preserve"> 010624 / Pal-Augusta Victoria Hospital</v>
      </c>
    </row>
    <row r="37" spans="1:7">
      <c r="A37" s="11" t="s">
        <v>2590</v>
      </c>
      <c r="B37" s="11" t="s">
        <v>2591</v>
      </c>
      <c r="C37" s="11" t="s">
        <v>2519</v>
      </c>
      <c r="D37" s="453" t="s">
        <v>2527</v>
      </c>
      <c r="E37" s="454"/>
      <c r="F37" s="455"/>
      <c r="G37" t="str">
        <f t="shared" si="0"/>
        <v xml:space="preserve"> 010625 / Pal-Awqaf General Department</v>
      </c>
    </row>
    <row r="38" spans="1:7">
      <c r="A38" s="11" t="s">
        <v>2592</v>
      </c>
      <c r="B38" s="11" t="s">
        <v>2593</v>
      </c>
      <c r="C38" s="11" t="s">
        <v>2519</v>
      </c>
      <c r="D38" s="453" t="s">
        <v>2527</v>
      </c>
      <c r="E38" s="454"/>
      <c r="F38" s="455"/>
      <c r="G38" t="str">
        <f t="shared" si="0"/>
        <v xml:space="preserve"> 010626 / Pal-Jlm Directorate Of Edu</v>
      </c>
    </row>
    <row r="39" spans="1:7">
      <c r="A39" s="11" t="s">
        <v>2594</v>
      </c>
      <c r="B39" s="11" t="s">
        <v>2595</v>
      </c>
      <c r="C39" s="11" t="s">
        <v>2519</v>
      </c>
      <c r="D39" s="453" t="s">
        <v>2520</v>
      </c>
      <c r="E39" s="454"/>
      <c r="F39" s="455"/>
      <c r="G39" t="str">
        <f t="shared" si="0"/>
        <v xml:space="preserve"> 010627 / Pal-Jerusalem Youth Cultural F</v>
      </c>
    </row>
    <row r="40" spans="1:7">
      <c r="A40" s="11" t="s">
        <v>2596</v>
      </c>
      <c r="B40" s="11" t="s">
        <v>2597</v>
      </c>
      <c r="C40" s="11" t="s">
        <v>2519</v>
      </c>
      <c r="D40" s="453" t="s">
        <v>2527</v>
      </c>
      <c r="E40" s="454"/>
      <c r="F40" s="455"/>
      <c r="G40" t="str">
        <f t="shared" si="0"/>
        <v xml:space="preserve"> 010628 / Pal-Ministry Of Education</v>
      </c>
    </row>
    <row r="41" spans="1:7">
      <c r="A41" s="11" t="s">
        <v>2598</v>
      </c>
      <c r="B41" s="11" t="s">
        <v>2599</v>
      </c>
      <c r="C41" s="11" t="s">
        <v>2519</v>
      </c>
      <c r="D41" s="453" t="s">
        <v>2520</v>
      </c>
      <c r="E41" s="454"/>
      <c r="F41" s="455"/>
      <c r="G41" t="str">
        <f t="shared" si="0"/>
        <v xml:space="preserve"> 010629 / Pal-Palestinian Counsell Cntr</v>
      </c>
    </row>
    <row r="42" spans="1:7">
      <c r="A42" s="11" t="s">
        <v>2600</v>
      </c>
      <c r="B42" s="11" t="s">
        <v>2601</v>
      </c>
      <c r="C42" s="11" t="s">
        <v>2519</v>
      </c>
      <c r="D42" s="453" t="s">
        <v>2527</v>
      </c>
      <c r="E42" s="454"/>
      <c r="F42" s="455"/>
      <c r="G42" t="str">
        <f t="shared" si="0"/>
        <v xml:space="preserve"> 010855 / PAL-Palest Legislative Council</v>
      </c>
    </row>
    <row r="43" spans="1:7">
      <c r="A43" s="11" t="s">
        <v>2602</v>
      </c>
      <c r="B43" s="11" t="s">
        <v>2603</v>
      </c>
      <c r="C43" s="11" t="s">
        <v>2519</v>
      </c>
      <c r="D43" s="453" t="s">
        <v>2520</v>
      </c>
      <c r="E43" s="454"/>
      <c r="F43" s="455"/>
      <c r="G43" t="str">
        <f t="shared" si="0"/>
        <v xml:space="preserve"> 010872 / PAL-YouthDevDep/YDD/OrientHous</v>
      </c>
    </row>
    <row r="44" spans="1:7">
      <c r="A44" s="11" t="s">
        <v>2604</v>
      </c>
      <c r="B44" s="11" t="s">
        <v>2605</v>
      </c>
      <c r="C44" s="11" t="s">
        <v>2519</v>
      </c>
      <c r="D44" s="453" t="s">
        <v>2520</v>
      </c>
      <c r="E44" s="454"/>
      <c r="F44" s="455"/>
      <c r="G44" t="str">
        <f t="shared" si="0"/>
        <v xml:space="preserve"> 010998 / PAL-Business Incubator BTI-IUG</v>
      </c>
    </row>
    <row r="45" spans="1:7">
      <c r="A45" s="11" t="s">
        <v>2606</v>
      </c>
      <c r="B45" s="11" t="s">
        <v>2607</v>
      </c>
      <c r="C45" s="11" t="s">
        <v>2519</v>
      </c>
      <c r="D45" s="453" t="s">
        <v>2520</v>
      </c>
      <c r="E45" s="454"/>
      <c r="F45" s="455"/>
      <c r="G45" t="str">
        <f t="shared" si="0"/>
        <v xml:space="preserve"> 011066 / PAL-Save Youth Future Society</v>
      </c>
    </row>
    <row r="46" spans="1:7">
      <c r="A46" s="11" t="s">
        <v>2608</v>
      </c>
      <c r="B46" s="11" t="s">
        <v>2609</v>
      </c>
      <c r="C46" s="11" t="s">
        <v>2519</v>
      </c>
      <c r="D46" s="453" t="s">
        <v>2520</v>
      </c>
      <c r="E46" s="454"/>
      <c r="F46" s="455"/>
      <c r="G46" t="str">
        <f t="shared" si="0"/>
        <v xml:space="preserve"> 011074 / PAL-Central Bureau of Statist</v>
      </c>
    </row>
    <row r="47" spans="1:7">
      <c r="A47" s="11" t="s">
        <v>2610</v>
      </c>
      <c r="B47" s="11" t="s">
        <v>2611</v>
      </c>
      <c r="C47" s="11" t="s">
        <v>2519</v>
      </c>
      <c r="D47" s="453" t="s">
        <v>2520</v>
      </c>
      <c r="E47" s="454"/>
      <c r="F47" s="455"/>
      <c r="G47" t="str">
        <f t="shared" si="0"/>
        <v xml:space="preserve"> 011301 / PAL-Youth Vision Society</v>
      </c>
    </row>
    <row r="48" spans="1:7">
      <c r="A48" s="11" t="s">
        <v>2612</v>
      </c>
      <c r="B48" s="11" t="s">
        <v>2613</v>
      </c>
      <c r="C48" s="11" t="s">
        <v>2519</v>
      </c>
      <c r="D48" s="453" t="s">
        <v>2527</v>
      </c>
      <c r="E48" s="454"/>
      <c r="F48" s="455"/>
      <c r="G48" t="str">
        <f t="shared" si="0"/>
        <v xml:space="preserve"> 011346 / PAL-JerusalemDirectorateofEduc</v>
      </c>
    </row>
    <row r="49" spans="1:7">
      <c r="A49" s="11" t="s">
        <v>2614</v>
      </c>
      <c r="B49" s="11" t="s">
        <v>2615</v>
      </c>
      <c r="C49" s="11" t="s">
        <v>2519</v>
      </c>
      <c r="D49" s="453" t="s">
        <v>2527</v>
      </c>
      <c r="E49" s="454"/>
      <c r="F49" s="455"/>
      <c r="G49" t="str">
        <f t="shared" si="0"/>
        <v xml:space="preserve"> 011386 / PAL-PALESTINIAN CENTRAL BUREAU</v>
      </c>
    </row>
    <row r="50" spans="1:7">
      <c r="A50" s="11" t="s">
        <v>2616</v>
      </c>
      <c r="B50" s="11" t="s">
        <v>2617</v>
      </c>
      <c r="C50" s="11" t="s">
        <v>2519</v>
      </c>
      <c r="D50" s="453" t="s">
        <v>2520</v>
      </c>
      <c r="E50" s="454"/>
      <c r="F50" s="455"/>
      <c r="G50" t="str">
        <f t="shared" si="0"/>
        <v xml:space="preserve"> 011387 / PAL-AL MEZAN CENTER FOR HUMAN</v>
      </c>
    </row>
    <row r="51" spans="1:7">
      <c r="A51" s="11" t="s">
        <v>2618</v>
      </c>
      <c r="B51" s="11" t="s">
        <v>2619</v>
      </c>
      <c r="C51" s="11" t="s">
        <v>2519</v>
      </c>
      <c r="D51" s="453" t="s">
        <v>2520</v>
      </c>
      <c r="E51" s="454"/>
      <c r="F51" s="455"/>
      <c r="G51" t="str">
        <f t="shared" si="0"/>
        <v xml:space="preserve"> 011388 / PAL-NATIONAL SOCIETY FOR DEMOC</v>
      </c>
    </row>
    <row r="52" spans="1:7">
      <c r="A52" s="11" t="s">
        <v>2620</v>
      </c>
      <c r="B52" s="11" t="s">
        <v>2621</v>
      </c>
      <c r="C52" s="11" t="s">
        <v>2519</v>
      </c>
      <c r="D52" s="453" t="s">
        <v>2520</v>
      </c>
      <c r="E52" s="454"/>
      <c r="F52" s="455"/>
      <c r="G52" t="str">
        <f t="shared" si="0"/>
        <v xml:space="preserve"> 011389 / PAL-THE CULTURE &amp; FREE THOUGHT</v>
      </c>
    </row>
    <row r="53" spans="1:7">
      <c r="A53" s="11" t="s">
        <v>2622</v>
      </c>
      <c r="B53" s="11" t="s">
        <v>2623</v>
      </c>
      <c r="C53" s="11" t="s">
        <v>2519</v>
      </c>
      <c r="D53" s="453" t="s">
        <v>2520</v>
      </c>
      <c r="E53" s="454"/>
      <c r="F53" s="455"/>
      <c r="G53" t="str">
        <f t="shared" si="0"/>
        <v xml:space="preserve"> 011390 / PAL-WOMEN'S AFFAIRS CENTRE-GAZ</v>
      </c>
    </row>
    <row r="54" spans="1:7">
      <c r="A54" s="11" t="s">
        <v>2624</v>
      </c>
      <c r="B54" s="11" t="s">
        <v>2625</v>
      </c>
      <c r="C54" s="11" t="s">
        <v>2519</v>
      </c>
      <c r="D54" s="453" t="s">
        <v>2520</v>
      </c>
      <c r="E54" s="454"/>
      <c r="F54" s="455"/>
      <c r="G54" t="str">
        <f t="shared" si="0"/>
        <v xml:space="preserve"> 011391 / PAL-AL DAMEER ASSOCIATION FOR</v>
      </c>
    </row>
    <row r="55" spans="1:7">
      <c r="A55" s="11" t="s">
        <v>2626</v>
      </c>
      <c r="B55" s="11" t="s">
        <v>2627</v>
      </c>
      <c r="C55" s="11" t="s">
        <v>2519</v>
      </c>
      <c r="D55" s="453" t="s">
        <v>2520</v>
      </c>
      <c r="E55" s="454"/>
      <c r="F55" s="455"/>
      <c r="G55" t="str">
        <f t="shared" si="0"/>
        <v xml:space="preserve"> 011392 / PAL-PALESTINIAN CENTER FOR HUM</v>
      </c>
    </row>
    <row r="56" spans="1:7">
      <c r="A56" s="11" t="s">
        <v>2628</v>
      </c>
      <c r="B56" s="11" t="s">
        <v>2629</v>
      </c>
      <c r="C56" s="11" t="s">
        <v>2519</v>
      </c>
      <c r="D56" s="453" t="s">
        <v>2520</v>
      </c>
      <c r="E56" s="454"/>
      <c r="F56" s="455"/>
      <c r="G56" t="str">
        <f t="shared" si="0"/>
        <v xml:space="preserve"> 011393 / PAL-AISHA ASSOC.FOR WOMAN&amp;CH</v>
      </c>
    </row>
    <row r="57" spans="1:7">
      <c r="A57" s="11" t="s">
        <v>2630</v>
      </c>
      <c r="B57" s="11" t="s">
        <v>2631</v>
      </c>
      <c r="C57" s="11" t="s">
        <v>2519</v>
      </c>
      <c r="D57" s="453" t="s">
        <v>2520</v>
      </c>
      <c r="E57" s="454"/>
      <c r="F57" s="455"/>
      <c r="G57" t="str">
        <f t="shared" si="0"/>
        <v xml:space="preserve"> 011394 / PAL-CENTER FOR WOMAN'S LEGAL R</v>
      </c>
    </row>
    <row r="58" spans="1:7">
      <c r="A58" s="11" t="s">
        <v>2632</v>
      </c>
      <c r="B58" s="11" t="s">
        <v>2633</v>
      </c>
      <c r="C58" s="11" t="s">
        <v>2519</v>
      </c>
      <c r="D58" s="453" t="s">
        <v>2520</v>
      </c>
      <c r="E58" s="454"/>
      <c r="F58" s="455"/>
      <c r="G58" t="str">
        <f t="shared" si="0"/>
        <v xml:space="preserve"> 011668 / PAL-JERUSALEM LEGAL AID CENTER</v>
      </c>
    </row>
    <row r="59" spans="1:7">
      <c r="A59" s="11" t="s">
        <v>2634</v>
      </c>
      <c r="B59" s="11" t="s">
        <v>2635</v>
      </c>
      <c r="C59" s="11" t="s">
        <v>2519</v>
      </c>
      <c r="D59" s="453" t="s">
        <v>2520</v>
      </c>
      <c r="E59" s="454"/>
      <c r="F59" s="455"/>
      <c r="G59" t="str">
        <f t="shared" si="0"/>
        <v xml:space="preserve"> 011669 / PAL-WOMEN CENTER FOR LEGAL AID</v>
      </c>
    </row>
    <row r="60" spans="1:7">
      <c r="A60" s="11" t="s">
        <v>2636</v>
      </c>
      <c r="B60" s="11" t="s">
        <v>2637</v>
      </c>
      <c r="C60" s="11" t="s">
        <v>2519</v>
      </c>
      <c r="D60" s="453" t="s">
        <v>2520</v>
      </c>
      <c r="E60" s="454"/>
      <c r="F60" s="455"/>
      <c r="G60" t="str">
        <f t="shared" si="0"/>
        <v xml:space="preserve"> 011670 / PAL-PALESTINIAN CENTER DEMOC</v>
      </c>
    </row>
    <row r="61" spans="1:7">
      <c r="A61" s="11" t="s">
        <v>2638</v>
      </c>
      <c r="B61" s="11" t="s">
        <v>2639</v>
      </c>
      <c r="C61" s="11" t="s">
        <v>2519</v>
      </c>
      <c r="D61" s="453" t="s">
        <v>2520</v>
      </c>
      <c r="E61" s="454"/>
      <c r="F61" s="455"/>
      <c r="G61" t="str">
        <f t="shared" si="0"/>
        <v xml:space="preserve"> 011671 / PAL-HURRIYAT FOR WEST BANK RES</v>
      </c>
    </row>
    <row r="62" spans="1:7">
      <c r="A62" s="11" t="s">
        <v>2640</v>
      </c>
      <c r="B62" s="11" t="s">
        <v>2641</v>
      </c>
      <c r="C62" s="11" t="s">
        <v>2519</v>
      </c>
      <c r="D62" s="453" t="s">
        <v>2520</v>
      </c>
      <c r="E62" s="454"/>
      <c r="F62" s="455"/>
      <c r="G62" t="str">
        <f t="shared" si="0"/>
        <v xml:space="preserve"> 011672 / PAL-WOMAN AFFAIRS CENTERMAAN</v>
      </c>
    </row>
    <row r="63" spans="1:7">
      <c r="A63" s="11" t="s">
        <v>2642</v>
      </c>
      <c r="B63" s="11" t="s">
        <v>2643</v>
      </c>
      <c r="C63" s="11" t="s">
        <v>2519</v>
      </c>
      <c r="D63" s="453" t="s">
        <v>2520</v>
      </c>
      <c r="E63" s="454"/>
      <c r="F63" s="455"/>
      <c r="G63" t="str">
        <f t="shared" si="0"/>
        <v xml:space="preserve"> 011673 / PAL-JERUSALEM COMMUNITY ADVOC</v>
      </c>
    </row>
    <row r="64" spans="1:7">
      <c r="A64" s="11" t="s">
        <v>2644</v>
      </c>
      <c r="B64" s="11" t="s">
        <v>2645</v>
      </c>
      <c r="C64" s="11" t="s">
        <v>2519</v>
      </c>
      <c r="D64" s="453" t="s">
        <v>2520</v>
      </c>
      <c r="E64" s="454"/>
      <c r="F64" s="455"/>
      <c r="G64" t="str">
        <f t="shared" si="0"/>
        <v xml:space="preserve"> 011674 / PAL-CENTER FOR WOMEN RESEAR</v>
      </c>
    </row>
    <row r="65" spans="1:7">
      <c r="A65" s="11" t="s">
        <v>2646</v>
      </c>
      <c r="B65" s="11" t="s">
        <v>2647</v>
      </c>
      <c r="C65" s="11" t="s">
        <v>2519</v>
      </c>
      <c r="D65" s="453" t="s">
        <v>2520</v>
      </c>
      <c r="E65" s="454"/>
      <c r="F65" s="455"/>
      <c r="G65" t="str">
        <f t="shared" si="0"/>
        <v xml:space="preserve"> 011675 / PAL-LEGAL CENTRER FOR FREEDOM</v>
      </c>
    </row>
    <row r="66" spans="1:7">
      <c r="A66" s="11" t="s">
        <v>2648</v>
      </c>
      <c r="B66" s="11" t="s">
        <v>2649</v>
      </c>
      <c r="C66" s="11" t="s">
        <v>2519</v>
      </c>
      <c r="D66" s="453" t="s">
        <v>2520</v>
      </c>
      <c r="E66" s="454"/>
      <c r="F66" s="455"/>
      <c r="G66" t="str">
        <f t="shared" si="0"/>
        <v xml:space="preserve"> 011676 / PAL-COALITION FOR INTEGRITY</v>
      </c>
    </row>
    <row r="67" spans="1:7">
      <c r="A67" s="11" t="s">
        <v>2650</v>
      </c>
      <c r="B67" s="11" t="s">
        <v>2651</v>
      </c>
      <c r="C67" s="11" t="s">
        <v>2519</v>
      </c>
      <c r="D67" s="453" t="s">
        <v>2520</v>
      </c>
      <c r="E67" s="454"/>
      <c r="F67" s="455"/>
      <c r="G67" t="str">
        <f t="shared" ref="G67:G130" si="1">A67&amp;" / "&amp;B67</f>
        <v xml:space="preserve"> 011677 / PAL-YESH DIN VOLUNTEERS FOR HU</v>
      </c>
    </row>
    <row r="68" spans="1:7">
      <c r="A68" s="11" t="s">
        <v>2652</v>
      </c>
      <c r="B68" s="11" t="s">
        <v>2653</v>
      </c>
      <c r="C68" s="11" t="s">
        <v>2519</v>
      </c>
      <c r="D68" s="453" t="s">
        <v>2654</v>
      </c>
      <c r="E68" s="454"/>
      <c r="F68" s="455"/>
      <c r="G68" t="str">
        <f t="shared" si="1"/>
        <v xml:space="preserve"> 011999 / PAL-TV Radio &amp; Social Media</v>
      </c>
    </row>
    <row r="69" spans="1:7">
      <c r="A69" s="11" t="s">
        <v>2655</v>
      </c>
      <c r="B69" s="11" t="s">
        <v>2656</v>
      </c>
      <c r="C69" s="11" t="s">
        <v>2519</v>
      </c>
      <c r="D69" s="453" t="s">
        <v>2520</v>
      </c>
      <c r="E69" s="454"/>
      <c r="F69" s="455"/>
      <c r="G69" t="str">
        <f t="shared" si="1"/>
        <v xml:space="preserve"> 012000 / PAL-Glbal Dialogue &amp; Democracy</v>
      </c>
    </row>
    <row r="70" spans="1:7">
      <c r="A70" s="11" t="s">
        <v>2657</v>
      </c>
      <c r="B70" s="11" t="s">
        <v>2658</v>
      </c>
      <c r="C70" s="11" t="s">
        <v>2519</v>
      </c>
      <c r="D70" s="453" t="s">
        <v>2527</v>
      </c>
      <c r="E70" s="454"/>
      <c r="F70" s="455"/>
      <c r="G70" t="str">
        <f t="shared" si="1"/>
        <v xml:space="preserve"> 012001 / PAL-Al-Aqsa University</v>
      </c>
    </row>
    <row r="71" spans="1:7">
      <c r="A71" s="11" t="s">
        <v>2659</v>
      </c>
      <c r="B71" s="11" t="s">
        <v>2660</v>
      </c>
      <c r="C71" s="11" t="s">
        <v>2519</v>
      </c>
      <c r="D71" s="453" t="s">
        <v>2527</v>
      </c>
      <c r="E71" s="454"/>
      <c r="F71" s="455"/>
      <c r="G71" t="str">
        <f t="shared" si="1"/>
        <v xml:space="preserve"> 012002 / PAL-Football Association</v>
      </c>
    </row>
    <row r="72" spans="1:7">
      <c r="A72" s="11" t="s">
        <v>2661</v>
      </c>
      <c r="B72" s="11" t="s">
        <v>2662</v>
      </c>
      <c r="C72" s="11" t="s">
        <v>2519</v>
      </c>
      <c r="D72" s="453" t="s">
        <v>2527</v>
      </c>
      <c r="E72" s="454"/>
      <c r="F72" s="455"/>
      <c r="G72" t="str">
        <f t="shared" si="1"/>
        <v xml:space="preserve"> 012003 / PAL-Olypic Committee</v>
      </c>
    </row>
    <row r="73" spans="1:7">
      <c r="A73" s="11" t="s">
        <v>2663</v>
      </c>
      <c r="B73" s="11" t="s">
        <v>2664</v>
      </c>
      <c r="C73" s="11" t="s">
        <v>2519</v>
      </c>
      <c r="D73" s="453" t="s">
        <v>2520</v>
      </c>
      <c r="E73" s="454"/>
      <c r="F73" s="455"/>
      <c r="G73" t="str">
        <f t="shared" si="1"/>
        <v xml:space="preserve"> 012092 / PAL-Info Tech Assoc of Compani</v>
      </c>
    </row>
    <row r="74" spans="1:7">
      <c r="A74" s="11" t="s">
        <v>2665</v>
      </c>
      <c r="B74" s="11" t="s">
        <v>2666</v>
      </c>
      <c r="C74" s="11" t="s">
        <v>2519</v>
      </c>
      <c r="D74" s="453" t="s">
        <v>2520</v>
      </c>
      <c r="E74" s="454"/>
      <c r="F74" s="455"/>
      <c r="G74" t="str">
        <f t="shared" si="1"/>
        <v xml:space="preserve"> 012119 / PAL-Burj AILuIqIuq</v>
      </c>
    </row>
    <row r="75" spans="1:7">
      <c r="A75" s="11" t="s">
        <v>2667</v>
      </c>
      <c r="B75" s="11" t="s">
        <v>2668</v>
      </c>
      <c r="C75" s="11" t="s">
        <v>2519</v>
      </c>
      <c r="D75" s="453" t="s">
        <v>2520</v>
      </c>
      <c r="E75" s="454"/>
      <c r="F75" s="455"/>
      <c r="G75" t="str">
        <f t="shared" si="1"/>
        <v xml:space="preserve"> 012163 / PAL-HEBRON REHAB COMMITEE</v>
      </c>
    </row>
    <row r="76" spans="1:7">
      <c r="A76" s="11" t="s">
        <v>2669</v>
      </c>
      <c r="B76" s="11" t="s">
        <v>2670</v>
      </c>
      <c r="C76" s="11" t="s">
        <v>2519</v>
      </c>
      <c r="D76" s="453" t="s">
        <v>2520</v>
      </c>
      <c r="E76" s="454"/>
      <c r="F76" s="455"/>
      <c r="G76" t="str">
        <f t="shared" si="1"/>
        <v xml:space="preserve"> 012197 / PAL-ALAZHAR UNIVERSITY</v>
      </c>
    </row>
    <row r="77" spans="1:7">
      <c r="A77" s="11" t="s">
        <v>2671</v>
      </c>
      <c r="B77" s="11" t="s">
        <v>2672</v>
      </c>
      <c r="C77" s="11" t="s">
        <v>2519</v>
      </c>
      <c r="D77" s="453" t="s">
        <v>2520</v>
      </c>
      <c r="E77" s="454"/>
      <c r="F77" s="455"/>
      <c r="G77" t="str">
        <f t="shared" si="1"/>
        <v xml:space="preserve"> 012198 / PAL-ISLAMIC UNIVERSITY</v>
      </c>
    </row>
    <row r="78" spans="1:7">
      <c r="A78" s="11" t="s">
        <v>2673</v>
      </c>
      <c r="B78" s="11" t="s">
        <v>2674</v>
      </c>
      <c r="C78" s="11" t="s">
        <v>2519</v>
      </c>
      <c r="D78" s="453" t="s">
        <v>2520</v>
      </c>
      <c r="E78" s="454"/>
      <c r="F78" s="455"/>
      <c r="G78" t="str">
        <f t="shared" si="1"/>
        <v xml:space="preserve"> 012199 / PAL-ANNAJAH NATIONAL UNIVERS</v>
      </c>
    </row>
    <row r="79" spans="1:7">
      <c r="A79" s="11" t="s">
        <v>2675</v>
      </c>
      <c r="B79" s="11" t="s">
        <v>2676</v>
      </c>
      <c r="C79" s="11" t="s">
        <v>2519</v>
      </c>
      <c r="D79" s="453" t="s">
        <v>2520</v>
      </c>
      <c r="E79" s="454"/>
      <c r="F79" s="455"/>
      <c r="G79" t="str">
        <f t="shared" si="1"/>
        <v xml:space="preserve"> 012262 / PAL-RIWAQ Center</v>
      </c>
    </row>
    <row r="80" spans="1:7">
      <c r="A80" s="11" t="s">
        <v>2677</v>
      </c>
      <c r="B80" s="11" t="s">
        <v>2678</v>
      </c>
      <c r="C80" s="11" t="s">
        <v>2519</v>
      </c>
      <c r="D80" s="453" t="s">
        <v>2679</v>
      </c>
      <c r="E80" s="454"/>
      <c r="F80" s="455"/>
      <c r="G80" t="str">
        <f t="shared" si="1"/>
        <v xml:space="preserve"> 012267 / PAL-Affordable Housing Inst.</v>
      </c>
    </row>
    <row r="81" spans="1:7">
      <c r="A81" s="11" t="s">
        <v>2680</v>
      </c>
      <c r="B81" s="11" t="s">
        <v>2681</v>
      </c>
      <c r="C81" s="11" t="s">
        <v>2519</v>
      </c>
      <c r="D81" s="453" t="s">
        <v>2527</v>
      </c>
      <c r="E81" s="454"/>
      <c r="F81" s="455"/>
      <c r="G81" t="str">
        <f t="shared" si="1"/>
        <v xml:space="preserve"> 012351 / PAL-Negotiations Affairs Dep.</v>
      </c>
    </row>
    <row r="82" spans="1:7">
      <c r="A82" s="11" t="s">
        <v>2682</v>
      </c>
      <c r="B82" s="11" t="s">
        <v>2683</v>
      </c>
      <c r="C82" s="11" t="s">
        <v>2519</v>
      </c>
      <c r="D82" s="453" t="s">
        <v>2527</v>
      </c>
      <c r="E82" s="454"/>
      <c r="F82" s="455"/>
      <c r="G82" t="str">
        <f t="shared" si="1"/>
        <v xml:space="preserve"> 012352 / PAL-Ministry of Jer. Affairs</v>
      </c>
    </row>
    <row r="83" spans="1:7">
      <c r="A83" s="11" t="s">
        <v>2684</v>
      </c>
      <c r="B83" s="11" t="s">
        <v>2685</v>
      </c>
      <c r="C83" s="11" t="s">
        <v>2519</v>
      </c>
      <c r="D83" s="453" t="s">
        <v>2520</v>
      </c>
      <c r="E83" s="454"/>
      <c r="F83" s="455"/>
      <c r="G83" t="str">
        <f t="shared" si="1"/>
        <v xml:space="preserve"> 012395 / PAL-GGATEWAY FOR OUTS.INF.TECN</v>
      </c>
    </row>
    <row r="84" spans="1:7">
      <c r="A84" s="11" t="s">
        <v>2686</v>
      </c>
      <c r="B84" s="11" t="s">
        <v>2687</v>
      </c>
      <c r="C84" s="11" t="s">
        <v>2519</v>
      </c>
      <c r="D84" s="453" t="s">
        <v>2520</v>
      </c>
      <c r="E84" s="454"/>
      <c r="F84" s="455"/>
      <c r="G84" t="str">
        <f t="shared" si="1"/>
        <v xml:space="preserve"> 012413 / PAL-B'Tselem</v>
      </c>
    </row>
    <row r="85" spans="1:7">
      <c r="A85" s="11" t="s">
        <v>2688</v>
      </c>
      <c r="B85" s="11" t="s">
        <v>2689</v>
      </c>
      <c r="C85" s="11" t="s">
        <v>2519</v>
      </c>
      <c r="D85" s="453" t="s">
        <v>2520</v>
      </c>
      <c r="E85" s="454"/>
      <c r="F85" s="455"/>
      <c r="G85" t="str">
        <f t="shared" si="1"/>
        <v xml:space="preserve"> 012414 / PAL-Society of Saints Yves</v>
      </c>
    </row>
    <row r="86" spans="1:7">
      <c r="A86" s="11" t="s">
        <v>2690</v>
      </c>
      <c r="B86" s="11" t="s">
        <v>2691</v>
      </c>
      <c r="C86" s="11" t="s">
        <v>2519</v>
      </c>
      <c r="D86" s="453" t="s">
        <v>2520</v>
      </c>
      <c r="E86" s="454"/>
      <c r="F86" s="455"/>
      <c r="G86" t="str">
        <f t="shared" si="1"/>
        <v xml:space="preserve"> 012415 / PAL-Breaking The silence</v>
      </c>
    </row>
    <row r="87" spans="1:7">
      <c r="A87" s="11" t="s">
        <v>2692</v>
      </c>
      <c r="B87" s="11" t="s">
        <v>2693</v>
      </c>
      <c r="C87" s="11" t="s">
        <v>2519</v>
      </c>
      <c r="D87" s="453" t="s">
        <v>2520</v>
      </c>
      <c r="E87" s="454"/>
      <c r="F87" s="455"/>
      <c r="G87" t="str">
        <f t="shared" si="1"/>
        <v xml:space="preserve"> 012416 / PAL-Pal Working Women</v>
      </c>
    </row>
    <row r="88" spans="1:7">
      <c r="A88" s="11" t="s">
        <v>2694</v>
      </c>
      <c r="B88" s="11" t="s">
        <v>2695</v>
      </c>
      <c r="C88" s="11" t="s">
        <v>2519</v>
      </c>
      <c r="D88" s="453" t="s">
        <v>2520</v>
      </c>
      <c r="E88" s="454"/>
      <c r="F88" s="455"/>
      <c r="G88" t="str">
        <f t="shared" si="1"/>
        <v xml:space="preserve"> 012417 / PAL-Bimkom</v>
      </c>
    </row>
    <row r="89" spans="1:7">
      <c r="A89" s="11" t="s">
        <v>2696</v>
      </c>
      <c r="B89" s="11" t="s">
        <v>2697</v>
      </c>
      <c r="C89" s="11" t="s">
        <v>2519</v>
      </c>
      <c r="D89" s="453" t="s">
        <v>2520</v>
      </c>
      <c r="E89" s="454"/>
      <c r="F89" s="455"/>
      <c r="G89" t="str">
        <f t="shared" si="1"/>
        <v xml:space="preserve"> 012419 / PAL- Annahda Association</v>
      </c>
    </row>
    <row r="90" spans="1:7">
      <c r="A90" s="11" t="s">
        <v>2698</v>
      </c>
      <c r="B90" s="11" t="s">
        <v>2699</v>
      </c>
      <c r="C90" s="11" t="s">
        <v>2519</v>
      </c>
      <c r="D90" s="453" t="s">
        <v>2520</v>
      </c>
      <c r="E90" s="454"/>
      <c r="F90" s="455"/>
      <c r="G90" t="str">
        <f t="shared" si="1"/>
        <v xml:space="preserve"> 012420 / PAL-Makassed Hospital</v>
      </c>
    </row>
    <row r="91" spans="1:7">
      <c r="A91" s="11" t="s">
        <v>2700</v>
      </c>
      <c r="B91" s="11" t="s">
        <v>2701</v>
      </c>
      <c r="C91" s="11" t="s">
        <v>2519</v>
      </c>
      <c r="D91" s="453" t="s">
        <v>2520</v>
      </c>
      <c r="E91" s="454"/>
      <c r="F91" s="455"/>
      <c r="G91" t="str">
        <f t="shared" si="1"/>
        <v xml:space="preserve"> 012421 / PAL-Saint Joseph Hopital</v>
      </c>
    </row>
    <row r="92" spans="1:7">
      <c r="A92" s="11" t="s">
        <v>2702</v>
      </c>
      <c r="B92" s="11" t="s">
        <v>2703</v>
      </c>
      <c r="C92" s="11" t="s">
        <v>2519</v>
      </c>
      <c r="D92" s="453" t="s">
        <v>2520</v>
      </c>
      <c r="E92" s="454"/>
      <c r="F92" s="455"/>
      <c r="G92" t="str">
        <f t="shared" si="1"/>
        <v xml:space="preserve"> 012422 / PAL-Princess Basma Center</v>
      </c>
    </row>
    <row r="93" spans="1:7">
      <c r="A93" s="11" t="s">
        <v>2704</v>
      </c>
      <c r="B93" s="11" t="s">
        <v>2705</v>
      </c>
      <c r="C93" s="11" t="s">
        <v>2519</v>
      </c>
      <c r="D93" s="453" t="s">
        <v>2520</v>
      </c>
      <c r="E93" s="454"/>
      <c r="F93" s="455"/>
      <c r="G93" t="str">
        <f t="shared" si="1"/>
        <v xml:space="preserve"> 012423 / PAL-Star Mountain</v>
      </c>
    </row>
    <row r="94" spans="1:7">
      <c r="A94" s="11" t="s">
        <v>2706</v>
      </c>
      <c r="B94" s="11" t="s">
        <v>2707</v>
      </c>
      <c r="C94" s="11" t="s">
        <v>2519</v>
      </c>
      <c r="D94" s="453" t="s">
        <v>2520</v>
      </c>
      <c r="E94" s="454"/>
      <c r="F94" s="455"/>
      <c r="G94" t="str">
        <f t="shared" si="1"/>
        <v xml:space="preserve"> 012536 / PAL-Fisheries Syndicate</v>
      </c>
    </row>
    <row r="95" spans="1:7">
      <c r="A95" s="11" t="s">
        <v>2708</v>
      </c>
      <c r="B95" s="11" t="s">
        <v>2709</v>
      </c>
      <c r="C95" s="11" t="s">
        <v>2519</v>
      </c>
      <c r="D95" s="453" t="s">
        <v>2520</v>
      </c>
      <c r="E95" s="454"/>
      <c r="F95" s="455"/>
      <c r="G95" t="str">
        <f t="shared" si="1"/>
        <v xml:space="preserve"> 012537 / PAL-ABDEL SHAFI COM.HEALTH ASS</v>
      </c>
    </row>
    <row r="96" spans="1:7">
      <c r="A96" s="11" t="s">
        <v>2710</v>
      </c>
      <c r="B96" s="11" t="s">
        <v>2711</v>
      </c>
      <c r="C96" s="11" t="s">
        <v>2519</v>
      </c>
      <c r="D96" s="453" t="s">
        <v>2520</v>
      </c>
      <c r="E96" s="454"/>
      <c r="F96" s="455"/>
      <c r="G96" t="str">
        <f t="shared" si="1"/>
        <v xml:space="preserve"> 012542 / PAL- Emleson Women Society</v>
      </c>
    </row>
    <row r="97" spans="1:7">
      <c r="A97" s="11" t="s">
        <v>2712</v>
      </c>
      <c r="B97" s="11" t="s">
        <v>2713</v>
      </c>
      <c r="C97" s="11" t="s">
        <v>2519</v>
      </c>
      <c r="D97" s="453" t="s">
        <v>2520</v>
      </c>
      <c r="E97" s="454"/>
      <c r="F97" s="455"/>
      <c r="G97" t="str">
        <f t="shared" si="1"/>
        <v xml:space="preserve"> 012543 / PAL-Custody of the Holy Land</v>
      </c>
    </row>
    <row r="98" spans="1:7">
      <c r="A98" s="11" t="s">
        <v>2714</v>
      </c>
      <c r="B98" s="11" t="s">
        <v>2715</v>
      </c>
      <c r="C98" s="11" t="s">
        <v>2519</v>
      </c>
      <c r="D98" s="453" t="s">
        <v>2520</v>
      </c>
      <c r="E98" s="454"/>
      <c r="F98" s="455"/>
      <c r="G98" t="str">
        <f t="shared" si="1"/>
        <v xml:space="preserve"> 012571 / PAL-Ahli Arab Hospital-Gaza</v>
      </c>
    </row>
    <row r="99" spans="1:7">
      <c r="A99" s="11" t="s">
        <v>2716</v>
      </c>
      <c r="B99" s="11" t="s">
        <v>2717</v>
      </c>
      <c r="C99" s="11" t="s">
        <v>2519</v>
      </c>
      <c r="D99" s="453" t="s">
        <v>2520</v>
      </c>
      <c r="E99" s="454"/>
      <c r="F99" s="455"/>
      <c r="G99" t="str">
        <f t="shared" si="1"/>
        <v xml:space="preserve"> 012572 / PAL-Al Ataa Charitable Society</v>
      </c>
    </row>
    <row r="100" spans="1:7">
      <c r="A100" s="11" t="s">
        <v>2718</v>
      </c>
      <c r="B100" s="11" t="s">
        <v>2719</v>
      </c>
      <c r="C100" s="11" t="s">
        <v>2519</v>
      </c>
      <c r="D100" s="453" t="s">
        <v>2520</v>
      </c>
      <c r="E100" s="454"/>
      <c r="F100" s="455"/>
      <c r="G100" t="str">
        <f t="shared" si="1"/>
        <v xml:space="preserve"> 012573 / PAL-College Science&amp;Technology</v>
      </c>
    </row>
    <row r="101" spans="1:7">
      <c r="A101" s="11" t="s">
        <v>2720</v>
      </c>
      <c r="B101" s="11" t="s">
        <v>2721</v>
      </c>
      <c r="C101" s="11" t="s">
        <v>2519</v>
      </c>
      <c r="D101" s="453" t="s">
        <v>2520</v>
      </c>
      <c r="E101" s="454"/>
      <c r="F101" s="455"/>
      <c r="G101" t="str">
        <f t="shared" si="1"/>
        <v xml:space="preserve"> 012574 / PAL-El Karama Specialized Hosp</v>
      </c>
    </row>
    <row r="102" spans="1:7">
      <c r="A102" s="11" t="s">
        <v>2722</v>
      </c>
      <c r="B102" s="11" t="s">
        <v>2723</v>
      </c>
      <c r="C102" s="11" t="s">
        <v>2519</v>
      </c>
      <c r="D102" s="453" t="s">
        <v>2520</v>
      </c>
      <c r="E102" s="454"/>
      <c r="F102" s="455"/>
      <c r="G102" t="str">
        <f t="shared" si="1"/>
        <v xml:space="preserve"> 012575 / PAL-Union of Health Work Comit</v>
      </c>
    </row>
    <row r="103" spans="1:7">
      <c r="A103" s="11" t="s">
        <v>2724</v>
      </c>
      <c r="B103" s="11" t="s">
        <v>2725</v>
      </c>
      <c r="C103" s="11" t="s">
        <v>2519</v>
      </c>
      <c r="D103" s="453" t="s">
        <v>2520</v>
      </c>
      <c r="E103" s="454"/>
      <c r="F103" s="455"/>
      <c r="G103" t="str">
        <f t="shared" si="1"/>
        <v xml:space="preserve"> 012576 / PAL-Physical Handicapped Soci.</v>
      </c>
    </row>
    <row r="104" spans="1:7">
      <c r="A104" s="11" t="s">
        <v>2726</v>
      </c>
      <c r="B104" s="11" t="s">
        <v>2727</v>
      </c>
      <c r="C104" s="11" t="s">
        <v>2519</v>
      </c>
      <c r="D104" s="453" t="s">
        <v>2520</v>
      </c>
      <c r="E104" s="454"/>
      <c r="F104" s="455"/>
      <c r="G104" t="str">
        <f t="shared" si="1"/>
        <v xml:space="preserve"> 012577 / PAL-Maghazi Comm. Reha. Societ</v>
      </c>
    </row>
    <row r="105" spans="1:7">
      <c r="A105" s="11" t="s">
        <v>2728</v>
      </c>
      <c r="B105" s="11" t="s">
        <v>2729</v>
      </c>
      <c r="C105" s="11" t="s">
        <v>2519</v>
      </c>
      <c r="D105" s="453" t="s">
        <v>2520</v>
      </c>
      <c r="E105" s="454"/>
      <c r="F105" s="455"/>
      <c r="G105" t="str">
        <f t="shared" si="1"/>
        <v xml:space="preserve"> 012578 / PAL-Jabalia Rehabilitation Soc</v>
      </c>
    </row>
    <row r="106" spans="1:7">
      <c r="A106" s="11" t="s">
        <v>2730</v>
      </c>
      <c r="B106" s="11" t="s">
        <v>2731</v>
      </c>
      <c r="C106" s="11" t="s">
        <v>2519</v>
      </c>
      <c r="D106" s="453" t="s">
        <v>2520</v>
      </c>
      <c r="E106" s="454"/>
      <c r="F106" s="455"/>
      <c r="G106" t="str">
        <f t="shared" si="1"/>
        <v xml:space="preserve"> 012580 / PAL-Palestinian Avenir for Chi</v>
      </c>
    </row>
    <row r="107" spans="1:7">
      <c r="A107" s="11" t="s">
        <v>2732</v>
      </c>
      <c r="B107" s="11" t="s">
        <v>2733</v>
      </c>
      <c r="C107" s="11" t="s">
        <v>2519</v>
      </c>
      <c r="D107" s="453" t="s">
        <v>2520</v>
      </c>
      <c r="E107" s="454"/>
      <c r="F107" s="455"/>
      <c r="G107" t="str">
        <f t="shared" si="1"/>
        <v xml:space="preserve"> 012581 / PAL-Palestinian Phisical Thera</v>
      </c>
    </row>
    <row r="108" spans="1:7">
      <c r="A108" s="11" t="s">
        <v>2734</v>
      </c>
      <c r="B108" s="11" t="s">
        <v>2735</v>
      </c>
      <c r="C108" s="11" t="s">
        <v>2519</v>
      </c>
      <c r="D108" s="453" t="s">
        <v>2520</v>
      </c>
      <c r="E108" s="454"/>
      <c r="F108" s="455"/>
      <c r="G108" t="str">
        <f t="shared" si="1"/>
        <v xml:space="preserve"> 012582 / PAL-Atfaluna Soc. for Deaf Chi</v>
      </c>
    </row>
    <row r="109" spans="1:7">
      <c r="A109" s="11" t="s">
        <v>2736</v>
      </c>
      <c r="B109" s="11" t="s">
        <v>2737</v>
      </c>
      <c r="C109" s="11" t="s">
        <v>2519</v>
      </c>
      <c r="D109" s="453" t="s">
        <v>2520</v>
      </c>
      <c r="E109" s="454"/>
      <c r="F109" s="455"/>
      <c r="G109" t="str">
        <f t="shared" si="1"/>
        <v xml:space="preserve"> 012583 / PAL-Al-Basma Society</v>
      </c>
    </row>
    <row r="110" spans="1:7">
      <c r="A110" s="11" t="s">
        <v>2738</v>
      </c>
      <c r="B110" s="11" t="s">
        <v>2739</v>
      </c>
      <c r="C110" s="11" t="s">
        <v>2519</v>
      </c>
      <c r="D110" s="453" t="s">
        <v>2520</v>
      </c>
      <c r="E110" s="454"/>
      <c r="F110" s="455"/>
      <c r="G110" t="str">
        <f t="shared" si="1"/>
        <v xml:space="preserve"> 012584 / PAL-Palestinian Businessmen As</v>
      </c>
    </row>
    <row r="111" spans="1:7">
      <c r="A111" s="11" t="s">
        <v>2740</v>
      </c>
      <c r="B111" s="11" t="s">
        <v>2741</v>
      </c>
      <c r="C111" s="11" t="s">
        <v>2519</v>
      </c>
      <c r="D111" s="453" t="s">
        <v>2520</v>
      </c>
      <c r="E111" s="454"/>
      <c r="F111" s="455"/>
      <c r="G111" t="str">
        <f t="shared" si="1"/>
        <v xml:space="preserve"> 012813 / PAL-Ard Al Insan Palestinian</v>
      </c>
    </row>
    <row r="112" spans="1:7">
      <c r="A112" s="11" t="s">
        <v>2742</v>
      </c>
      <c r="B112" s="11" t="s">
        <v>2743</v>
      </c>
      <c r="C112" s="11" t="s">
        <v>2519</v>
      </c>
      <c r="D112" s="453" t="s">
        <v>2527</v>
      </c>
      <c r="E112" s="454"/>
      <c r="F112" s="455"/>
      <c r="G112" t="str">
        <f t="shared" si="1"/>
        <v xml:space="preserve"> 012988 / PAL-BETHLEHEM MUNICIPALITY</v>
      </c>
    </row>
    <row r="113" spans="1:7">
      <c r="A113" s="11" t="s">
        <v>2744</v>
      </c>
      <c r="B113" s="11" t="s">
        <v>2745</v>
      </c>
      <c r="C113" s="11" t="s">
        <v>2519</v>
      </c>
      <c r="D113" s="453" t="s">
        <v>2520</v>
      </c>
      <c r="E113" s="454"/>
      <c r="F113" s="455"/>
      <c r="G113" t="str">
        <f t="shared" si="1"/>
        <v xml:space="preserve"> 013019 / PAL-PALESTINE TRADE CENTER</v>
      </c>
    </row>
    <row r="114" spans="1:7">
      <c r="A114" s="11" t="s">
        <v>2746</v>
      </c>
      <c r="B114" s="11" t="s">
        <v>2747</v>
      </c>
      <c r="C114" s="11" t="s">
        <v>2519</v>
      </c>
      <c r="D114" s="453" t="s">
        <v>2527</v>
      </c>
      <c r="E114" s="454"/>
      <c r="F114" s="455"/>
      <c r="G114" t="str">
        <f t="shared" si="1"/>
        <v xml:space="preserve"> 013044 / PAL-MINISTRY OF LABOUR</v>
      </c>
    </row>
    <row r="115" spans="1:7">
      <c r="A115" s="11" t="s">
        <v>2748</v>
      </c>
      <c r="B115" s="11" t="s">
        <v>2749</v>
      </c>
      <c r="C115" s="11" t="s">
        <v>2519</v>
      </c>
      <c r="D115" s="453" t="s">
        <v>2520</v>
      </c>
      <c r="E115" s="454"/>
      <c r="F115" s="455"/>
      <c r="G115" t="str">
        <f t="shared" si="1"/>
        <v xml:space="preserve"> 013065 / PAL-SOCIETY OF WOMEN GRADUATES</v>
      </c>
    </row>
    <row r="116" spans="1:7">
      <c r="A116" s="11" t="s">
        <v>2750</v>
      </c>
      <c r="B116" s="11" t="s">
        <v>2751</v>
      </c>
      <c r="C116" s="11" t="s">
        <v>2519</v>
      </c>
      <c r="D116" s="453" t="s">
        <v>2679</v>
      </c>
      <c r="E116" s="454"/>
      <c r="F116" s="455"/>
      <c r="G116" t="str">
        <f t="shared" si="1"/>
        <v xml:space="preserve"> 013075 / PAL-E-GOVERN. ACADEMY FOUND</v>
      </c>
    </row>
    <row r="117" spans="1:7">
      <c r="A117" s="11" t="s">
        <v>2752</v>
      </c>
      <c r="B117" s="11" t="s">
        <v>2753</v>
      </c>
      <c r="C117" s="11" t="s">
        <v>2519</v>
      </c>
      <c r="D117" s="453" t="s">
        <v>2520</v>
      </c>
      <c r="E117" s="454"/>
      <c r="F117" s="455"/>
      <c r="G117" t="str">
        <f t="shared" si="1"/>
        <v xml:space="preserve"> 013101 / PAL-MEDICAL RELIEF SOCIETY</v>
      </c>
    </row>
    <row r="118" spans="1:7">
      <c r="A118" s="11" t="s">
        <v>2754</v>
      </c>
      <c r="B118" s="11" t="s">
        <v>2755</v>
      </c>
      <c r="C118" s="11" t="s">
        <v>2519</v>
      </c>
      <c r="D118" s="453" t="s">
        <v>2520</v>
      </c>
      <c r="E118" s="454"/>
      <c r="F118" s="455"/>
      <c r="G118" t="str">
        <f t="shared" si="1"/>
        <v xml:space="preserve"> 013119 / PAL-DEMOCR. &amp; WORK.RIGHT CEN.S</v>
      </c>
    </row>
    <row r="119" spans="1:7">
      <c r="A119" s="11" t="s">
        <v>2756</v>
      </c>
      <c r="B119" s="11" t="s">
        <v>2757</v>
      </c>
      <c r="C119" s="11" t="s">
        <v>2519</v>
      </c>
      <c r="D119" s="453" t="s">
        <v>2520</v>
      </c>
      <c r="E119" s="454"/>
      <c r="F119" s="455"/>
      <c r="G119" t="str">
        <f t="shared" si="1"/>
        <v xml:space="preserve"> 013148 / PAL-Economic and Social Dev.</v>
      </c>
    </row>
    <row r="120" spans="1:7">
      <c r="A120" s="11" t="s">
        <v>2758</v>
      </c>
      <c r="B120" s="11" t="s">
        <v>2759</v>
      </c>
      <c r="C120" s="11" t="s">
        <v>2519</v>
      </c>
      <c r="D120" s="453" t="s">
        <v>2520</v>
      </c>
      <c r="E120" s="454"/>
      <c r="F120" s="455"/>
      <c r="G120" t="str">
        <f t="shared" si="1"/>
        <v xml:space="preserve"> 013149 / PAL-Talitha Kumi School</v>
      </c>
    </row>
    <row r="121" spans="1:7">
      <c r="A121" s="11" t="s">
        <v>2760</v>
      </c>
      <c r="B121" s="11" t="s">
        <v>2761</v>
      </c>
      <c r="C121" s="11" t="s">
        <v>2519</v>
      </c>
      <c r="D121" s="453" t="s">
        <v>2520</v>
      </c>
      <c r="E121" s="454"/>
      <c r="F121" s="455"/>
      <c r="G121" t="str">
        <f t="shared" si="1"/>
        <v xml:space="preserve"> 013152 / PAL-PALEST.ECON.POLICY RES.IN</v>
      </c>
    </row>
    <row r="122" spans="1:7">
      <c r="A122" s="11" t="s">
        <v>2762</v>
      </c>
      <c r="B122" s="11" t="s">
        <v>2763</v>
      </c>
      <c r="C122" s="11" t="s">
        <v>2519</v>
      </c>
      <c r="D122" s="453" t="s">
        <v>2527</v>
      </c>
      <c r="E122" s="454"/>
      <c r="F122" s="455"/>
      <c r="G122" t="str">
        <f t="shared" si="1"/>
        <v xml:space="preserve"> 013192 / PAL-OFFICE OF THE CABINET SECR</v>
      </c>
    </row>
    <row r="123" spans="1:7">
      <c r="A123" s="11" t="s">
        <v>2764</v>
      </c>
      <c r="B123" s="11" t="s">
        <v>2765</v>
      </c>
      <c r="C123" s="11" t="s">
        <v>2519</v>
      </c>
      <c r="D123" s="453" t="s">
        <v>2520</v>
      </c>
      <c r="E123" s="454"/>
      <c r="F123" s="455"/>
      <c r="G123" t="str">
        <f t="shared" si="1"/>
        <v xml:space="preserve"> 013214 / PAL-Center Cultural Heritage</v>
      </c>
    </row>
    <row r="124" spans="1:7">
      <c r="A124" s="11" t="s">
        <v>2766</v>
      </c>
      <c r="B124" s="11" t="s">
        <v>2767</v>
      </c>
      <c r="C124" s="11" t="s">
        <v>2519</v>
      </c>
      <c r="D124" s="453" t="s">
        <v>2520</v>
      </c>
      <c r="E124" s="454"/>
      <c r="F124" s="455"/>
      <c r="G124" t="str">
        <f t="shared" si="1"/>
        <v xml:space="preserve"> 013225 / PAL-COLLEGE DES FRERES</v>
      </c>
    </row>
    <row r="125" spans="1:7">
      <c r="A125" s="11" t="s">
        <v>2768</v>
      </c>
      <c r="B125" s="11" t="s">
        <v>2769</v>
      </c>
      <c r="C125" s="11" t="s">
        <v>2519</v>
      </c>
      <c r="D125" s="453" t="s">
        <v>2520</v>
      </c>
      <c r="E125" s="454"/>
      <c r="F125" s="455"/>
      <c r="G125" t="str">
        <f t="shared" si="1"/>
        <v xml:space="preserve"> 013226 / PAL-BEIT HANINA L. CHARIT ASSO</v>
      </c>
    </row>
    <row r="126" spans="1:7">
      <c r="A126" s="11" t="s">
        <v>2770</v>
      </c>
      <c r="B126" s="11" t="s">
        <v>2771</v>
      </c>
      <c r="C126" s="11" t="s">
        <v>2519</v>
      </c>
      <c r="D126" s="453" t="s">
        <v>2520</v>
      </c>
      <c r="E126" s="454"/>
      <c r="F126" s="455"/>
      <c r="G126" t="str">
        <f t="shared" si="1"/>
        <v xml:space="preserve"> 013227 / PAL-ALSARAYA CEN. COMM. SERVIC</v>
      </c>
    </row>
    <row r="127" spans="1:7">
      <c r="A127" s="11" t="s">
        <v>2772</v>
      </c>
      <c r="B127" s="11" t="s">
        <v>2773</v>
      </c>
      <c r="C127" s="11" t="s">
        <v>2519</v>
      </c>
      <c r="D127" s="453" t="s">
        <v>2520</v>
      </c>
      <c r="E127" s="454"/>
      <c r="F127" s="455"/>
      <c r="G127" t="str">
        <f t="shared" si="1"/>
        <v xml:space="preserve"> 013228 / PAL-ALBUSTAN ASSOC. SILWAN</v>
      </c>
    </row>
    <row r="128" spans="1:7">
      <c r="A128" s="11" t="s">
        <v>2774</v>
      </c>
      <c r="B128" s="11" t="s">
        <v>2775</v>
      </c>
      <c r="C128" s="11" t="s">
        <v>2519</v>
      </c>
      <c r="D128" s="453" t="s">
        <v>2520</v>
      </c>
      <c r="E128" s="454"/>
      <c r="F128" s="455"/>
      <c r="G128" t="str">
        <f t="shared" si="1"/>
        <v xml:space="preserve"> 013229 / PAL-PALES ACAD TALENT FOOTBALL</v>
      </c>
    </row>
    <row r="129" spans="1:7">
      <c r="A129" s="11" t="s">
        <v>2776</v>
      </c>
      <c r="B129" s="11" t="s">
        <v>2777</v>
      </c>
      <c r="C129" s="11" t="s">
        <v>2519</v>
      </c>
      <c r="D129" s="453" t="s">
        <v>2520</v>
      </c>
      <c r="E129" s="454"/>
      <c r="F129" s="455"/>
      <c r="G129" t="str">
        <f t="shared" si="1"/>
        <v xml:space="preserve"> 013230 / PAL-ALTHOURI YOUTH CLUB SPORT</v>
      </c>
    </row>
    <row r="130" spans="1:7">
      <c r="A130" s="11" t="s">
        <v>2778</v>
      </c>
      <c r="B130" s="11" t="s">
        <v>2779</v>
      </c>
      <c r="C130" s="11" t="s">
        <v>2519</v>
      </c>
      <c r="D130" s="453" t="s">
        <v>2520</v>
      </c>
      <c r="E130" s="454"/>
      <c r="F130" s="455"/>
      <c r="G130" t="str">
        <f t="shared" si="1"/>
        <v xml:space="preserve"> 013231 / PAL-MOUNT OF OLIVES CLUB</v>
      </c>
    </row>
    <row r="131" spans="1:7">
      <c r="A131" s="11" t="s">
        <v>2780</v>
      </c>
      <c r="B131" s="11" t="s">
        <v>2781</v>
      </c>
      <c r="C131" s="11" t="s">
        <v>2519</v>
      </c>
      <c r="D131" s="453" t="s">
        <v>2520</v>
      </c>
      <c r="E131" s="454"/>
      <c r="F131" s="455"/>
      <c r="G131" t="str">
        <f t="shared" ref="G131:G194" si="2">A131&amp;" / "&amp;B131</f>
        <v xml:space="preserve"> 013232 / PAL-ABNA ALQUDS CLUB</v>
      </c>
    </row>
    <row r="132" spans="1:7">
      <c r="A132" s="11" t="s">
        <v>2782</v>
      </c>
      <c r="B132" s="11" t="s">
        <v>2783</v>
      </c>
      <c r="C132" s="11" t="s">
        <v>2519</v>
      </c>
      <c r="D132" s="453" t="s">
        <v>2520</v>
      </c>
      <c r="E132" s="454"/>
      <c r="F132" s="455"/>
      <c r="G132" t="str">
        <f t="shared" si="2"/>
        <v xml:space="preserve"> 013233 / PAL-ST. JOHN EYE HOSP. GROUP</v>
      </c>
    </row>
    <row r="133" spans="1:7">
      <c r="A133" s="11" t="s">
        <v>2784</v>
      </c>
      <c r="B133" s="11" t="s">
        <v>2785</v>
      </c>
      <c r="C133" s="11" t="s">
        <v>2519</v>
      </c>
      <c r="D133" s="453" t="s">
        <v>2520</v>
      </c>
      <c r="E133" s="454"/>
      <c r="F133" s="455"/>
      <c r="G133" t="str">
        <f t="shared" si="2"/>
        <v xml:space="preserve"> 013234 / PAL-AUTISTIC CHILD CARE ORG</v>
      </c>
    </row>
    <row r="134" spans="1:7">
      <c r="A134" s="11" t="s">
        <v>2786</v>
      </c>
      <c r="B134" s="11" t="s">
        <v>2787</v>
      </c>
      <c r="C134" s="11" t="s">
        <v>2519</v>
      </c>
      <c r="D134" s="453" t="s">
        <v>2520</v>
      </c>
      <c r="E134" s="454"/>
      <c r="F134" s="455"/>
      <c r="G134" t="str">
        <f t="shared" si="2"/>
        <v xml:space="preserve"> 013235 / PAL-Ministry of Health</v>
      </c>
    </row>
    <row r="135" spans="1:7">
      <c r="A135" s="11" t="s">
        <v>2788</v>
      </c>
      <c r="B135" s="11" t="s">
        <v>2789</v>
      </c>
      <c r="C135" s="11" t="s">
        <v>2519</v>
      </c>
      <c r="D135" s="453" t="s">
        <v>2520</v>
      </c>
      <c r="E135" s="454"/>
      <c r="F135" s="455"/>
      <c r="G135" t="str">
        <f t="shared" si="2"/>
        <v xml:space="preserve"> 013245 / PAL-SHUFAT CHARITABLE SOCIETY</v>
      </c>
    </row>
    <row r="136" spans="1:7">
      <c r="A136" s="11" t="s">
        <v>2790</v>
      </c>
      <c r="B136" s="11" t="s">
        <v>2791</v>
      </c>
      <c r="C136" s="11" t="s">
        <v>2519</v>
      </c>
      <c r="D136" s="453" t="s">
        <v>2520</v>
      </c>
      <c r="E136" s="454"/>
      <c r="F136" s="455"/>
      <c r="G136" t="str">
        <f t="shared" si="2"/>
        <v xml:space="preserve"> 013284 / PAL-JERUSALEM HIGH SCHOOL</v>
      </c>
    </row>
    <row r="137" spans="1:7">
      <c r="A137" s="11" t="s">
        <v>2792</v>
      </c>
      <c r="B137" s="11" t="s">
        <v>2793</v>
      </c>
      <c r="C137" s="11" t="s">
        <v>2519</v>
      </c>
      <c r="D137" s="453" t="s">
        <v>2520</v>
      </c>
      <c r="E137" s="454"/>
      <c r="F137" s="455"/>
      <c r="G137" t="str">
        <f t="shared" si="2"/>
        <v xml:space="preserve"> 013285 / PAL-NAT.SOC.FOR.VISUAL HANDIC</v>
      </c>
    </row>
    <row r="138" spans="1:7">
      <c r="A138" s="11" t="s">
        <v>2794</v>
      </c>
      <c r="B138" s="11" t="s">
        <v>2795</v>
      </c>
      <c r="C138" s="11" t="s">
        <v>2519</v>
      </c>
      <c r="D138" s="453" t="s">
        <v>2520</v>
      </c>
      <c r="E138" s="454"/>
      <c r="F138" s="455"/>
      <c r="G138" t="str">
        <f t="shared" si="2"/>
        <v xml:space="preserve"> 013286 / PAL-ARAB SOC. FOR PHYS.HANDIC</v>
      </c>
    </row>
    <row r="139" spans="1:7">
      <c r="A139" s="11" t="s">
        <v>2796</v>
      </c>
      <c r="B139" s="11" t="s">
        <v>2797</v>
      </c>
      <c r="C139" s="11" t="s">
        <v>2519</v>
      </c>
      <c r="D139" s="453" t="s">
        <v>2520</v>
      </c>
      <c r="E139" s="454"/>
      <c r="F139" s="455"/>
      <c r="G139" t="str">
        <f t="shared" si="2"/>
        <v xml:space="preserve"> 013287 / PAL-ARAB BLIND ASSOC</v>
      </c>
    </row>
    <row r="140" spans="1:7">
      <c r="A140" s="11" t="s">
        <v>2798</v>
      </c>
      <c r="B140" s="11" t="s">
        <v>2799</v>
      </c>
      <c r="C140" s="11" t="s">
        <v>2519</v>
      </c>
      <c r="D140" s="453" t="s">
        <v>2520</v>
      </c>
      <c r="E140" s="454"/>
      <c r="F140" s="455"/>
      <c r="G140" t="str">
        <f t="shared" si="2"/>
        <v xml:space="preserve"> 013288 / PAL-AL-QUDS ASSOCIATION</v>
      </c>
    </row>
    <row r="141" spans="1:7">
      <c r="A141" s="11" t="s">
        <v>2800</v>
      </c>
      <c r="B141" s="11" t="s">
        <v>2801</v>
      </c>
      <c r="C141" s="11" t="s">
        <v>2519</v>
      </c>
      <c r="D141" s="453" t="s">
        <v>2520</v>
      </c>
      <c r="E141" s="454"/>
      <c r="F141" s="455"/>
      <c r="G141" t="str">
        <f t="shared" si="2"/>
        <v xml:space="preserve"> 013289 / PAL-DAR AL TIFIL ARABI</v>
      </c>
    </row>
    <row r="142" spans="1:7">
      <c r="A142" s="11" t="s">
        <v>2802</v>
      </c>
      <c r="B142" s="11" t="s">
        <v>2803</v>
      </c>
      <c r="C142" s="11" t="s">
        <v>2519</v>
      </c>
      <c r="D142" s="453" t="s">
        <v>2520</v>
      </c>
      <c r="E142" s="454"/>
      <c r="F142" s="455"/>
      <c r="G142" t="str">
        <f t="shared" si="2"/>
        <v xml:space="preserve"> 013290 / PAL-SIRAJ AL QUDS SCHOOL</v>
      </c>
    </row>
    <row r="143" spans="1:7">
      <c r="A143" s="11" t="s">
        <v>2804</v>
      </c>
      <c r="B143" s="11" t="s">
        <v>2805</v>
      </c>
      <c r="C143" s="11" t="s">
        <v>2519</v>
      </c>
      <c r="D143" s="453" t="s">
        <v>2520</v>
      </c>
      <c r="E143" s="454"/>
      <c r="F143" s="455"/>
      <c r="G143" t="str">
        <f t="shared" si="2"/>
        <v xml:space="preserve"> 013291 / PAL-RAWDAT ALZUHUR</v>
      </c>
    </row>
    <row r="144" spans="1:7">
      <c r="A144" s="11" t="s">
        <v>2806</v>
      </c>
      <c r="B144" s="11" t="s">
        <v>2807</v>
      </c>
      <c r="C144" s="11" t="s">
        <v>2519</v>
      </c>
      <c r="D144" s="453" t="s">
        <v>2520</v>
      </c>
      <c r="E144" s="454"/>
      <c r="F144" s="455"/>
      <c r="G144" t="str">
        <f t="shared" si="2"/>
        <v xml:space="preserve"> 013295 / PAL-GAZA CULTUR. &amp; DEVEL.GROUP</v>
      </c>
    </row>
    <row r="145" spans="1:7">
      <c r="A145" s="11" t="s">
        <v>2808</v>
      </c>
      <c r="B145" s="11" t="s">
        <v>2809</v>
      </c>
      <c r="C145" s="11" t="s">
        <v>2519</v>
      </c>
      <c r="D145" s="453" t="s">
        <v>2520</v>
      </c>
      <c r="E145" s="454"/>
      <c r="F145" s="455"/>
      <c r="G145" t="str">
        <f t="shared" si="2"/>
        <v xml:space="preserve"> 013329 / PAL-SABREEN ASS.FOR ARTIST.DEV</v>
      </c>
    </row>
    <row r="146" spans="1:7">
      <c r="A146" s="11" t="s">
        <v>2810</v>
      </c>
      <c r="B146" s="11" t="s">
        <v>2811</v>
      </c>
      <c r="C146" s="11" t="s">
        <v>2519</v>
      </c>
      <c r="D146" s="453" t="s">
        <v>2520</v>
      </c>
      <c r="E146" s="454"/>
      <c r="F146" s="455"/>
      <c r="G146" t="str">
        <f t="shared" si="2"/>
        <v xml:space="preserve"> 013330 / PAL-ARAB COUNS.CENTER FOR EDUC</v>
      </c>
    </row>
    <row r="147" spans="1:7">
      <c r="A147" s="11" t="s">
        <v>2812</v>
      </c>
      <c r="B147" s="11" t="s">
        <v>2813</v>
      </c>
      <c r="C147" s="11" t="s">
        <v>2519</v>
      </c>
      <c r="D147" s="453" t="s">
        <v>2527</v>
      </c>
      <c r="E147" s="454"/>
      <c r="F147" s="455"/>
      <c r="G147" t="str">
        <f t="shared" si="2"/>
        <v xml:space="preserve"> 013343 / PAL-FLOW FOR ENTREPREN.CONSULT</v>
      </c>
    </row>
    <row r="148" spans="1:7">
      <c r="A148" s="11" t="s">
        <v>2814</v>
      </c>
      <c r="B148" s="11" t="s">
        <v>2815</v>
      </c>
      <c r="C148" s="11" t="s">
        <v>2519</v>
      </c>
      <c r="D148" s="453" t="s">
        <v>2527</v>
      </c>
      <c r="E148" s="454"/>
      <c r="F148" s="455"/>
      <c r="G148" t="str">
        <f t="shared" si="2"/>
        <v xml:space="preserve"> 013391 / PAL-HIGHER.COUNCIL.INNOV.EXCEL</v>
      </c>
    </row>
    <row r="149" spans="1:7">
      <c r="A149" s="11" t="s">
        <v>2816</v>
      </c>
      <c r="B149" s="11" t="s">
        <v>2817</v>
      </c>
      <c r="C149" s="11" t="s">
        <v>2519</v>
      </c>
      <c r="D149" s="453" t="s">
        <v>2527</v>
      </c>
      <c r="E149" s="454"/>
      <c r="F149" s="455"/>
      <c r="G149" t="str">
        <f t="shared" si="2"/>
        <v xml:space="preserve"> 013406 / PAL-Ministry Tel &amp; Info Techno</v>
      </c>
    </row>
    <row r="150" spans="1:7">
      <c r="A150" s="11" t="s">
        <v>2818</v>
      </c>
      <c r="B150" s="11" t="s">
        <v>2819</v>
      </c>
      <c r="C150" s="11" t="s">
        <v>2519</v>
      </c>
      <c r="D150" s="453" t="s">
        <v>2520</v>
      </c>
      <c r="E150" s="454"/>
      <c r="F150" s="455"/>
      <c r="G150" t="str">
        <f t="shared" si="2"/>
        <v xml:space="preserve"> 013509 / PAL-Cooperative Agriculturall</v>
      </c>
    </row>
    <row r="151" spans="1:7">
      <c r="A151" s="11" t="s">
        <v>2820</v>
      </c>
      <c r="B151" s="11" t="s">
        <v>2821</v>
      </c>
      <c r="C151" s="11" t="s">
        <v>2519</v>
      </c>
      <c r="D151" s="453" t="s">
        <v>2654</v>
      </c>
      <c r="E151" s="454"/>
      <c r="F151" s="455"/>
      <c r="G151" t="str">
        <f t="shared" si="2"/>
        <v xml:space="preserve"> 013543 / PAL-MAAN TV Network</v>
      </c>
    </row>
    <row r="152" spans="1:7">
      <c r="A152" s="11" t="s">
        <v>2822</v>
      </c>
      <c r="B152" s="11" t="s">
        <v>2823</v>
      </c>
      <c r="C152" s="11" t="s">
        <v>2519</v>
      </c>
      <c r="D152" s="453" t="s">
        <v>2520</v>
      </c>
      <c r="E152" s="454"/>
      <c r="F152" s="455"/>
      <c r="G152" t="str">
        <f t="shared" si="2"/>
        <v xml:space="preserve"> 013549 / PAL-FEDR.OF PALEST.CHAM.OF COM</v>
      </c>
    </row>
    <row r="153" spans="1:7">
      <c r="A153" s="11" t="s">
        <v>2824</v>
      </c>
      <c r="B153" s="11" t="s">
        <v>2825</v>
      </c>
      <c r="C153" s="11" t="s">
        <v>2519</v>
      </c>
      <c r="D153" s="453" t="s">
        <v>2520</v>
      </c>
      <c r="E153" s="454"/>
      <c r="F153" s="455"/>
      <c r="G153" t="str">
        <f t="shared" si="2"/>
        <v xml:space="preserve"> 013645 / PAL-ARAB WORLD DEM.&amp;ELEC. MON.</v>
      </c>
    </row>
    <row r="154" spans="1:7">
      <c r="A154" s="11" t="s">
        <v>2826</v>
      </c>
      <c r="B154" s="11" t="s">
        <v>2827</v>
      </c>
      <c r="C154" s="11" t="s">
        <v>2519</v>
      </c>
      <c r="D154" s="453" t="s">
        <v>2520</v>
      </c>
      <c r="E154" s="454"/>
      <c r="F154" s="455"/>
      <c r="G154" t="str">
        <f t="shared" si="2"/>
        <v xml:space="preserve"> 013690 / PAL-AL HAQ-LAW IN THE SER.OF M</v>
      </c>
    </row>
    <row r="155" spans="1:7">
      <c r="A155" s="11" t="s">
        <v>2828</v>
      </c>
      <c r="B155" s="11" t="s">
        <v>2829</v>
      </c>
      <c r="C155" s="11" t="s">
        <v>2519</v>
      </c>
      <c r="D155" s="453" t="s">
        <v>2520</v>
      </c>
      <c r="E155" s="454"/>
      <c r="F155" s="455"/>
      <c r="G155" t="str">
        <f t="shared" si="2"/>
        <v xml:space="preserve"> 013691 / PAL-BISAN CENT.FOR RES.&amp;DEV.</v>
      </c>
    </row>
    <row r="156" spans="1:7">
      <c r="A156" s="11" t="s">
        <v>2830</v>
      </c>
      <c r="B156" s="11" t="s">
        <v>2831</v>
      </c>
      <c r="C156" s="11" t="s">
        <v>2519</v>
      </c>
      <c r="D156" s="453" t="s">
        <v>2520</v>
      </c>
      <c r="E156" s="454"/>
      <c r="F156" s="455"/>
      <c r="G156" t="str">
        <f t="shared" si="2"/>
        <v xml:space="preserve"> 013692 / PAL-BEDOUNIS WITHOUT BOARDERS</v>
      </c>
    </row>
    <row r="157" spans="1:7">
      <c r="A157" s="11" t="s">
        <v>2832</v>
      </c>
      <c r="B157" s="11" t="s">
        <v>2833</v>
      </c>
      <c r="C157" s="11" t="s">
        <v>2519</v>
      </c>
      <c r="D157" s="453" t="s">
        <v>2520</v>
      </c>
      <c r="E157" s="454"/>
      <c r="F157" s="455"/>
      <c r="G157" t="str">
        <f t="shared" si="2"/>
        <v xml:space="preserve"> 013693 / PAL-COMMUNITY MEDIA CENTER</v>
      </c>
    </row>
    <row r="158" spans="1:7">
      <c r="A158" s="11" t="s">
        <v>2834</v>
      </c>
      <c r="B158" s="11" t="s">
        <v>2835</v>
      </c>
      <c r="C158" s="11" t="s">
        <v>2519</v>
      </c>
      <c r="D158" s="453" t="s">
        <v>2520</v>
      </c>
      <c r="E158" s="454"/>
      <c r="F158" s="455"/>
      <c r="G158" t="str">
        <f t="shared" si="2"/>
        <v xml:space="preserve"> 013694 / PAL-HUM.RIGHTS &amp; DEMOC.CENTER</v>
      </c>
    </row>
    <row r="159" spans="1:7">
      <c r="A159" s="11" t="s">
        <v>2836</v>
      </c>
      <c r="B159" s="11" t="s">
        <v>2837</v>
      </c>
      <c r="C159" s="11" t="s">
        <v>2519</v>
      </c>
      <c r="D159" s="453" t="s">
        <v>2520</v>
      </c>
      <c r="E159" s="454"/>
      <c r="F159" s="455"/>
      <c r="G159" t="str">
        <f t="shared" si="2"/>
        <v xml:space="preserve"> 013695 / PAL-CEN.FOR INDEP.OF THE JUDIC</v>
      </c>
    </row>
    <row r="160" spans="1:7">
      <c r="A160" s="11" t="s">
        <v>2838</v>
      </c>
      <c r="B160" s="11" t="s">
        <v>2839</v>
      </c>
      <c r="C160" s="11" t="s">
        <v>2519</v>
      </c>
      <c r="D160" s="453" t="s">
        <v>2520</v>
      </c>
      <c r="E160" s="454"/>
      <c r="F160" s="455"/>
      <c r="G160" t="str">
        <f t="shared" si="2"/>
        <v xml:space="preserve"> 013696 / PAL-PAL.INST.FOR COMM.&amp; DEVEL.</v>
      </c>
    </row>
    <row r="161" spans="1:7">
      <c r="A161" s="11" t="s">
        <v>2840</v>
      </c>
      <c r="B161" s="11" t="s">
        <v>2841</v>
      </c>
      <c r="C161" s="11" t="s">
        <v>2519</v>
      </c>
      <c r="D161" s="453" t="s">
        <v>2520</v>
      </c>
      <c r="E161" s="454"/>
      <c r="F161" s="455"/>
      <c r="G161" t="str">
        <f t="shared" si="2"/>
        <v xml:space="preserve"> 013697 / PAL-CHARITABLY FUTURE SOCIETY</v>
      </c>
    </row>
    <row r="162" spans="1:7">
      <c r="A162" s="11" t="s">
        <v>2842</v>
      </c>
      <c r="B162" s="11" t="s">
        <v>2843</v>
      </c>
      <c r="C162" s="11" t="s">
        <v>2519</v>
      </c>
      <c r="D162" s="453" t="s">
        <v>2520</v>
      </c>
      <c r="E162" s="454"/>
      <c r="F162" s="455"/>
      <c r="G162" t="str">
        <f t="shared" si="2"/>
        <v xml:space="preserve"> 013698 / PAL-ALBIREH CULTURE CLUB</v>
      </c>
    </row>
    <row r="163" spans="1:7">
      <c r="A163" s="11" t="s">
        <v>2844</v>
      </c>
      <c r="B163" s="11" t="s">
        <v>2845</v>
      </c>
      <c r="C163" s="11" t="s">
        <v>2519</v>
      </c>
      <c r="D163" s="453" t="s">
        <v>2520</v>
      </c>
      <c r="E163" s="454"/>
      <c r="F163" s="455"/>
      <c r="G163" t="str">
        <f t="shared" si="2"/>
        <v xml:space="preserve"> 013699 / PAL-Un.of Palest.Women Com.</v>
      </c>
    </row>
    <row r="164" spans="1:7">
      <c r="A164" s="11" t="s">
        <v>2846</v>
      </c>
      <c r="B164" s="11" t="s">
        <v>2847</v>
      </c>
      <c r="C164" s="11" t="s">
        <v>2519</v>
      </c>
      <c r="D164" s="453" t="s">
        <v>2527</v>
      </c>
      <c r="E164" s="454"/>
      <c r="F164" s="455"/>
      <c r="G164" t="str">
        <f t="shared" si="2"/>
        <v xml:space="preserve"> 013739 / PAL-PALEST.MONETARY AUTHORITY</v>
      </c>
    </row>
    <row r="165" spans="1:7">
      <c r="A165" s="11" t="s">
        <v>2848</v>
      </c>
      <c r="B165" s="11" t="s">
        <v>2849</v>
      </c>
      <c r="C165" s="11" t="s">
        <v>2519</v>
      </c>
      <c r="D165" s="453" t="s">
        <v>2520</v>
      </c>
      <c r="E165" s="454"/>
      <c r="F165" s="455"/>
      <c r="G165" t="str">
        <f t="shared" si="2"/>
        <v xml:space="preserve"> 013777 / PAL-JRS.CENT.FOR SOC&amp;ECO.RIGHT</v>
      </c>
    </row>
    <row r="166" spans="1:7">
      <c r="A166" s="11" t="s">
        <v>2850</v>
      </c>
      <c r="B166" s="11" t="s">
        <v>2851</v>
      </c>
      <c r="C166" s="11" t="s">
        <v>2519</v>
      </c>
      <c r="D166" s="453" t="s">
        <v>2520</v>
      </c>
      <c r="E166" s="454"/>
      <c r="F166" s="455"/>
      <c r="G166" t="str">
        <f t="shared" si="2"/>
        <v xml:space="preserve"> 013910 / PAL-PalestineGreenBuildCouncil</v>
      </c>
    </row>
    <row r="167" spans="1:7">
      <c r="A167" s="11" t="s">
        <v>2852</v>
      </c>
      <c r="B167" s="11" t="s">
        <v>2853</v>
      </c>
      <c r="C167" s="11" t="s">
        <v>2519</v>
      </c>
      <c r="D167" s="453" t="s">
        <v>2520</v>
      </c>
      <c r="E167" s="454"/>
      <c r="F167" s="455"/>
      <c r="G167" t="str">
        <f t="shared" si="2"/>
        <v xml:space="preserve"> 014013 / PAL-Contractors Union Gaza</v>
      </c>
    </row>
    <row r="168" spans="1:7">
      <c r="A168" s="11" t="s">
        <v>2854</v>
      </c>
      <c r="B168" s="11" t="s">
        <v>2855</v>
      </c>
      <c r="C168" s="11" t="s">
        <v>2519</v>
      </c>
      <c r="D168" s="453" t="s">
        <v>2520</v>
      </c>
      <c r="E168" s="454"/>
      <c r="F168" s="455"/>
      <c r="G168" t="str">
        <f t="shared" si="2"/>
        <v xml:space="preserve"> 014021 / PAL-PALESTINIAN ASSO.EMP.DEV</v>
      </c>
    </row>
    <row r="169" spans="1:7">
      <c r="A169" s="11" t="s">
        <v>2856</v>
      </c>
      <c r="B169" s="11" t="s">
        <v>2857</v>
      </c>
      <c r="C169" s="11" t="s">
        <v>2519</v>
      </c>
      <c r="D169" s="453" t="s">
        <v>2520</v>
      </c>
      <c r="E169" s="454"/>
      <c r="F169" s="455"/>
      <c r="G169" t="str">
        <f t="shared" si="2"/>
        <v xml:space="preserve"> 014023 / PAL-THE WORKERS ADVICE CENTER</v>
      </c>
    </row>
    <row r="170" spans="1:7">
      <c r="A170" s="11" t="s">
        <v>2858</v>
      </c>
      <c r="B170" s="11" t="s">
        <v>2859</v>
      </c>
      <c r="C170" s="11" t="s">
        <v>2519</v>
      </c>
      <c r="D170" s="453" t="s">
        <v>2520</v>
      </c>
      <c r="E170" s="454"/>
      <c r="F170" s="455"/>
      <c r="G170" t="str">
        <f t="shared" si="2"/>
        <v xml:space="preserve"> 014024 / PAL-THE CIVIL COMM.F.T.JUDI</v>
      </c>
    </row>
    <row r="171" spans="1:7">
      <c r="A171" s="11" t="s">
        <v>2860</v>
      </c>
      <c r="B171" s="11" t="s">
        <v>2861</v>
      </c>
      <c r="C171" s="11" t="s">
        <v>2519</v>
      </c>
      <c r="D171" s="453" t="s">
        <v>2520</v>
      </c>
      <c r="E171" s="454"/>
      <c r="F171" s="455"/>
      <c r="G171" t="str">
        <f t="shared" si="2"/>
        <v xml:space="preserve"> 014074 / PAL-YABOUS CULTURAL CENTER</v>
      </c>
    </row>
    <row r="172" spans="1:7">
      <c r="A172" s="11" t="s">
        <v>2862</v>
      </c>
      <c r="B172" s="11" t="s">
        <v>2863</v>
      </c>
      <c r="C172" s="11" t="s">
        <v>2519</v>
      </c>
      <c r="D172" s="453" t="s">
        <v>2520</v>
      </c>
      <c r="E172" s="454"/>
      <c r="F172" s="455"/>
      <c r="G172" t="str">
        <f t="shared" si="2"/>
        <v xml:space="preserve"> 014075 / PAL-NATIONAL COSERVATORY MUSIC</v>
      </c>
    </row>
    <row r="173" spans="1:7">
      <c r="A173" s="11" t="s">
        <v>2864</v>
      </c>
      <c r="B173" s="11" t="s">
        <v>2865</v>
      </c>
      <c r="C173" s="11" t="s">
        <v>2519</v>
      </c>
      <c r="D173" s="453" t="s">
        <v>2520</v>
      </c>
      <c r="E173" s="454"/>
      <c r="F173" s="455"/>
      <c r="G173" t="str">
        <f t="shared" si="2"/>
        <v xml:space="preserve"> 014076 / PAL-PALESTIN. NATIONAL THEATRE</v>
      </c>
    </row>
    <row r="174" spans="1:7">
      <c r="A174" s="11" t="s">
        <v>2866</v>
      </c>
      <c r="B174" s="11" t="s">
        <v>2867</v>
      </c>
      <c r="C174" s="11" t="s">
        <v>2519</v>
      </c>
      <c r="D174" s="453" t="s">
        <v>2520</v>
      </c>
      <c r="E174" s="454"/>
      <c r="F174" s="455"/>
      <c r="G174" t="str">
        <f t="shared" si="2"/>
        <v xml:space="preserve"> 014088 / PAL-PALEST.FOOD INDUSTR.UNION</v>
      </c>
    </row>
    <row r="175" spans="1:7">
      <c r="A175" s="11" t="s">
        <v>2868</v>
      </c>
      <c r="B175" s="11" t="s">
        <v>2869</v>
      </c>
      <c r="C175" s="11" t="s">
        <v>2519</v>
      </c>
      <c r="D175" s="453" t="s">
        <v>2520</v>
      </c>
      <c r="E175" s="454"/>
      <c r="F175" s="455"/>
      <c r="G175" t="str">
        <f t="shared" si="2"/>
        <v xml:space="preserve"> 014097 / PAL-PAL.CENT.FOR POLICY&amp;SURV.R</v>
      </c>
    </row>
    <row r="176" spans="1:7">
      <c r="A176" s="11" t="s">
        <v>2870</v>
      </c>
      <c r="B176" s="11" t="s">
        <v>2871</v>
      </c>
      <c r="C176" s="11" t="s">
        <v>2519</v>
      </c>
      <c r="D176" s="453" t="s">
        <v>2520</v>
      </c>
      <c r="E176" s="454"/>
      <c r="F176" s="455"/>
      <c r="G176" t="str">
        <f t="shared" si="2"/>
        <v xml:space="preserve"> 014106 / PAL-INFOR.TECH &amp; INNOV AT QUDS</v>
      </c>
    </row>
    <row r="177" spans="1:7">
      <c r="A177" s="11" t="s">
        <v>2872</v>
      </c>
      <c r="B177" s="11" t="s">
        <v>2873</v>
      </c>
      <c r="C177" s="11" t="s">
        <v>2519</v>
      </c>
      <c r="D177" s="453" t="s">
        <v>2520</v>
      </c>
      <c r="E177" s="454"/>
      <c r="F177" s="455"/>
      <c r="G177" t="str">
        <f t="shared" si="2"/>
        <v xml:space="preserve"> 014107 / PAL-INTER. PEACE &amp; COOP. CENTE</v>
      </c>
    </row>
    <row r="178" spans="1:7">
      <c r="A178" s="11" t="s">
        <v>2874</v>
      </c>
      <c r="B178" s="11" t="s">
        <v>2875</v>
      </c>
      <c r="C178" s="11" t="s">
        <v>2519</v>
      </c>
      <c r="D178" s="453" t="s">
        <v>2520</v>
      </c>
      <c r="E178" s="454"/>
      <c r="F178" s="455"/>
      <c r="G178" t="str">
        <f t="shared" si="2"/>
        <v xml:space="preserve"> 014148 / PAL-JRS ARAB CHAM COMM. &amp; INUS</v>
      </c>
    </row>
    <row r="179" spans="1:7">
      <c r="A179" s="11" t="s">
        <v>2876</v>
      </c>
      <c r="B179" s="11" t="s">
        <v>2877</v>
      </c>
      <c r="C179" s="11" t="s">
        <v>2519</v>
      </c>
      <c r="D179" s="453" t="s">
        <v>2520</v>
      </c>
      <c r="E179" s="454"/>
      <c r="F179" s="455"/>
      <c r="G179" t="str">
        <f t="shared" si="2"/>
        <v xml:space="preserve"> 014149 / PAL-UNION JRS HOUSING ASSEMBLY</v>
      </c>
    </row>
    <row r="180" spans="1:7">
      <c r="A180" s="11" t="s">
        <v>2878</v>
      </c>
      <c r="B180" s="11" t="s">
        <v>2879</v>
      </c>
      <c r="C180" s="11" t="s">
        <v>2519</v>
      </c>
      <c r="D180" s="453" t="s">
        <v>2520</v>
      </c>
      <c r="E180" s="454"/>
      <c r="F180" s="455"/>
      <c r="G180" t="str">
        <f t="shared" si="2"/>
        <v xml:space="preserve"> 014194 / PAL-Cent Elections Commission</v>
      </c>
    </row>
    <row r="181" spans="1:7">
      <c r="A181" s="11" t="s">
        <v>2880</v>
      </c>
      <c r="B181" s="11" t="s">
        <v>2881</v>
      </c>
      <c r="C181" s="11" t="s">
        <v>2519</v>
      </c>
      <c r="D181" s="453" t="s">
        <v>2520</v>
      </c>
      <c r="E181" s="454"/>
      <c r="F181" s="455"/>
      <c r="G181" t="str">
        <f t="shared" si="2"/>
        <v xml:space="preserve"> 014195 / PAL-Sharia Lawyers association</v>
      </c>
    </row>
    <row r="182" spans="1:7">
      <c r="A182" s="11" t="s">
        <v>2882</v>
      </c>
      <c r="B182" s="11" t="s">
        <v>2883</v>
      </c>
      <c r="C182" s="11" t="s">
        <v>2519</v>
      </c>
      <c r="D182" s="453" t="s">
        <v>2520</v>
      </c>
      <c r="E182" s="454"/>
      <c r="F182" s="455"/>
      <c r="G182" t="str">
        <f t="shared" si="2"/>
        <v xml:space="preserve"> 014304 / PAL-BETHLEHEM FAIR TRADE ARTIS</v>
      </c>
    </row>
    <row r="183" spans="1:7">
      <c r="A183" s="11" t="s">
        <v>2884</v>
      </c>
      <c r="B183" s="11" t="s">
        <v>2885</v>
      </c>
      <c r="C183" s="11" t="s">
        <v>2519</v>
      </c>
      <c r="D183" s="453" t="s">
        <v>2520</v>
      </c>
      <c r="E183" s="454"/>
      <c r="F183" s="455"/>
      <c r="G183" t="str">
        <f t="shared" si="2"/>
        <v xml:space="preserve"> 014315 / PAL-HEBRON CHAMB.OF COMM.&amp;IND.</v>
      </c>
    </row>
    <row r="184" spans="1:7">
      <c r="A184" s="11" t="s">
        <v>2886</v>
      </c>
      <c r="B184" s="11" t="s">
        <v>2887</v>
      </c>
      <c r="C184" s="11" t="s">
        <v>2519</v>
      </c>
      <c r="D184" s="453" t="s">
        <v>2520</v>
      </c>
      <c r="E184" s="454"/>
      <c r="F184" s="455"/>
      <c r="G184" t="str">
        <f t="shared" si="2"/>
        <v xml:space="preserve"> 014340 / PAL-Isra Specialized Hospital</v>
      </c>
    </row>
    <row r="185" spans="1:7">
      <c r="A185" s="11" t="s">
        <v>2888</v>
      </c>
      <c r="B185" s="11" t="s">
        <v>2889</v>
      </c>
      <c r="C185" s="11" t="s">
        <v>2519</v>
      </c>
      <c r="D185" s="453" t="s">
        <v>2520</v>
      </c>
      <c r="E185" s="454"/>
      <c r="F185" s="455"/>
      <c r="G185" t="str">
        <f t="shared" si="2"/>
        <v xml:space="preserve"> 014342 / PAL-UNION OF COOPERATIVE ASSOC</v>
      </c>
    </row>
    <row r="186" spans="1:7">
      <c r="A186" s="11" t="s">
        <v>2890</v>
      </c>
      <c r="B186" s="11" t="s">
        <v>2891</v>
      </c>
      <c r="C186" s="11" t="s">
        <v>2519</v>
      </c>
      <c r="D186" s="453" t="s">
        <v>2520</v>
      </c>
      <c r="E186" s="454"/>
      <c r="F186" s="455"/>
      <c r="G186" t="str">
        <f t="shared" si="2"/>
        <v xml:space="preserve"> 014382 / PAL-SHUFAT VILLAGE COUNCIL</v>
      </c>
    </row>
    <row r="187" spans="1:7">
      <c r="A187" s="11" t="s">
        <v>2892</v>
      </c>
      <c r="B187" s="11" t="s">
        <v>2893</v>
      </c>
      <c r="C187" s="11" t="s">
        <v>2519</v>
      </c>
      <c r="D187" s="453" t="s">
        <v>2520</v>
      </c>
      <c r="E187" s="454"/>
      <c r="F187" s="455"/>
      <c r="G187" t="str">
        <f t="shared" si="2"/>
        <v xml:space="preserve"> 014406 / PAL-Union of Health Care Commi</v>
      </c>
    </row>
    <row r="188" spans="1:7">
      <c r="A188" s="11" t="s">
        <v>2894</v>
      </c>
      <c r="B188" s="11" t="s">
        <v>2895</v>
      </c>
      <c r="C188" s="11" t="s">
        <v>2519</v>
      </c>
      <c r="D188" s="453" t="s">
        <v>2527</v>
      </c>
      <c r="E188" s="454"/>
      <c r="F188" s="455"/>
      <c r="G188" t="str">
        <f t="shared" si="2"/>
        <v xml:space="preserve"> 014423 / PAL-MINISTRY OF JUSTICE</v>
      </c>
    </row>
    <row r="189" spans="1:7">
      <c r="A189" s="11" t="s">
        <v>2896</v>
      </c>
      <c r="B189" s="11" t="s">
        <v>2897</v>
      </c>
      <c r="C189" s="11" t="s">
        <v>2519</v>
      </c>
      <c r="D189" s="453" t="s">
        <v>2520</v>
      </c>
      <c r="E189" s="454"/>
      <c r="F189" s="455"/>
      <c r="G189" t="str">
        <f t="shared" si="2"/>
        <v xml:space="preserve"> 014425 / PAL-small enterprise center</v>
      </c>
    </row>
    <row r="190" spans="1:7">
      <c r="A190" s="11" t="s">
        <v>2898</v>
      </c>
      <c r="B190" s="11" t="s">
        <v>2899</v>
      </c>
      <c r="C190" s="11" t="s">
        <v>2519</v>
      </c>
      <c r="D190" s="453" t="s">
        <v>2679</v>
      </c>
      <c r="E190" s="454"/>
      <c r="F190" s="455"/>
      <c r="G190" t="str">
        <f t="shared" si="2"/>
        <v xml:space="preserve"> 014568 / PAL-AGENCY TECH. COOP. &amp; DEVEL</v>
      </c>
    </row>
    <row r="191" spans="1:7">
      <c r="A191" s="11" t="s">
        <v>2900</v>
      </c>
      <c r="B191" s="11" t="s">
        <v>2901</v>
      </c>
      <c r="C191" s="11" t="s">
        <v>2519</v>
      </c>
      <c r="D191" s="453" t="s">
        <v>2527</v>
      </c>
      <c r="E191" s="454"/>
      <c r="F191" s="455"/>
      <c r="G191" t="str">
        <f t="shared" si="2"/>
        <v xml:space="preserve"> 014639 / PAL-Min. of Finance</v>
      </c>
    </row>
    <row r="192" spans="1:7">
      <c r="A192" s="11" t="s">
        <v>2902</v>
      </c>
      <c r="B192" s="11" t="s">
        <v>2903</v>
      </c>
      <c r="C192" s="11" t="s">
        <v>2519</v>
      </c>
      <c r="D192" s="453" t="s">
        <v>2520</v>
      </c>
      <c r="E192" s="454"/>
      <c r="F192" s="455"/>
      <c r="G192" t="str">
        <f t="shared" si="2"/>
        <v xml:space="preserve"> 014872 / PAL-Pal. Federation of Garment</v>
      </c>
    </row>
    <row r="193" spans="1:7">
      <c r="A193" s="11" t="s">
        <v>2904</v>
      </c>
      <c r="B193" s="11" t="s">
        <v>2905</v>
      </c>
      <c r="C193" s="11" t="s">
        <v>2519</v>
      </c>
      <c r="D193" s="453" t="s">
        <v>2520</v>
      </c>
      <c r="E193" s="454"/>
      <c r="F193" s="455"/>
      <c r="G193" t="str">
        <f t="shared" si="2"/>
        <v xml:space="preserve"> 014873 / PAL-Women Center-Shufat Camp</v>
      </c>
    </row>
    <row r="194" spans="1:7">
      <c r="A194" s="11" t="s">
        <v>2906</v>
      </c>
      <c r="B194" s="11" t="s">
        <v>2907</v>
      </c>
      <c r="C194" s="11" t="s">
        <v>2519</v>
      </c>
      <c r="D194" s="453" t="s">
        <v>2520</v>
      </c>
      <c r="E194" s="454"/>
      <c r="F194" s="455"/>
      <c r="G194" t="str">
        <f t="shared" si="2"/>
        <v xml:space="preserve"> 014890 / PAL-PALESTINIAN VISION ORGANIZ</v>
      </c>
    </row>
    <row r="195" spans="1:7">
      <c r="A195" s="11" t="s">
        <v>2908</v>
      </c>
      <c r="B195" s="11" t="s">
        <v>2909</v>
      </c>
      <c r="C195" s="11" t="s">
        <v>2519</v>
      </c>
      <c r="D195" s="453" t="s">
        <v>2520</v>
      </c>
      <c r="E195" s="454"/>
      <c r="F195" s="455"/>
      <c r="G195" t="str">
        <f t="shared" ref="G195:G258" si="3">A195&amp;" / "&amp;B195</f>
        <v xml:space="preserve"> 014945 / PAL-Zeina Association-Coopera</v>
      </c>
    </row>
    <row r="196" spans="1:7">
      <c r="A196" s="11" t="s">
        <v>2910</v>
      </c>
      <c r="B196" s="11" t="s">
        <v>2911</v>
      </c>
      <c r="C196" s="11" t="s">
        <v>2519</v>
      </c>
      <c r="D196" s="453" t="s">
        <v>2520</v>
      </c>
      <c r="E196" s="454"/>
      <c r="F196" s="455"/>
      <c r="G196" t="str">
        <f t="shared" si="3"/>
        <v xml:space="preserve"> 014946 / PAL-Early Childhood Education</v>
      </c>
    </row>
    <row r="197" spans="1:7">
      <c r="A197" s="11" t="s">
        <v>2912</v>
      </c>
      <c r="B197" s="11" t="s">
        <v>2913</v>
      </c>
      <c r="C197" s="11" t="s">
        <v>2519</v>
      </c>
      <c r="D197" s="453" t="s">
        <v>2527</v>
      </c>
      <c r="E197" s="454"/>
      <c r="F197" s="455"/>
      <c r="G197" t="str">
        <f t="shared" si="3"/>
        <v xml:space="preserve"> 014972 / PAL-PALESTINE MAINTNANCE FUND</v>
      </c>
    </row>
    <row r="198" spans="1:7">
      <c r="A198" s="11" t="s">
        <v>2914</v>
      </c>
      <c r="B198" s="11" t="s">
        <v>2915</v>
      </c>
      <c r="C198" s="11" t="s">
        <v>2519</v>
      </c>
      <c r="D198" s="453" t="s">
        <v>2520</v>
      </c>
      <c r="E198" s="454"/>
      <c r="F198" s="455"/>
      <c r="G198" t="str">
        <f t="shared" si="3"/>
        <v xml:space="preserve"> 014982 / PAL-North Gaza Chamber-Commerc</v>
      </c>
    </row>
    <row r="199" spans="1:7">
      <c r="A199" s="11" t="s">
        <v>2916</v>
      </c>
      <c r="B199" s="11" t="s">
        <v>2917</v>
      </c>
      <c r="C199" s="11" t="s">
        <v>2519</v>
      </c>
      <c r="D199" s="453" t="s">
        <v>2527</v>
      </c>
      <c r="E199" s="454"/>
      <c r="F199" s="455"/>
      <c r="G199" t="str">
        <f t="shared" si="3"/>
        <v xml:space="preserve"> 015016 / PAL-SUPEREME JUDGE DEPARTMENT</v>
      </c>
    </row>
    <row r="200" spans="1:7">
      <c r="A200" s="11" t="s">
        <v>2918</v>
      </c>
      <c r="B200" s="11" t="s">
        <v>2919</v>
      </c>
      <c r="C200" s="11" t="s">
        <v>2519</v>
      </c>
      <c r="D200" s="453" t="s">
        <v>2527</v>
      </c>
      <c r="E200" s="454"/>
      <c r="F200" s="455"/>
      <c r="G200" t="str">
        <f t="shared" si="3"/>
        <v xml:space="preserve"> 015020 / PAL-PAL.PUBLIC FINANCE INST.</v>
      </c>
    </row>
    <row r="201" spans="1:7">
      <c r="A201" s="11" t="s">
        <v>2920</v>
      </c>
      <c r="B201" s="11" t="s">
        <v>2921</v>
      </c>
      <c r="C201" s="11" t="s">
        <v>2519</v>
      </c>
      <c r="D201" s="453" t="s">
        <v>2520</v>
      </c>
      <c r="E201" s="454"/>
      <c r="F201" s="455"/>
      <c r="G201" t="str">
        <f t="shared" si="3"/>
        <v xml:space="preserve"> 015039 / PAL-HEBRON MUNCIPALITY</v>
      </c>
    </row>
    <row r="202" spans="1:7">
      <c r="A202" s="11" t="s">
        <v>2922</v>
      </c>
      <c r="B202" s="11" t="s">
        <v>2923</v>
      </c>
      <c r="C202" s="11" t="s">
        <v>2519</v>
      </c>
      <c r="D202" s="453" t="s">
        <v>2520</v>
      </c>
      <c r="E202" s="454"/>
      <c r="F202" s="455"/>
      <c r="G202" t="str">
        <f t="shared" si="3"/>
        <v xml:space="preserve"> 015040 / PAL-PALESTINIAN WATER AUTHORIT</v>
      </c>
    </row>
    <row r="203" spans="1:7">
      <c r="A203" s="11" t="s">
        <v>2924</v>
      </c>
      <c r="B203" s="11" t="s">
        <v>2925</v>
      </c>
      <c r="C203" s="11" t="s">
        <v>2519</v>
      </c>
      <c r="D203" s="453" t="s">
        <v>2527</v>
      </c>
      <c r="E203" s="454"/>
      <c r="F203" s="455"/>
      <c r="G203" t="str">
        <f t="shared" si="3"/>
        <v xml:space="preserve"> 015071 / PAL-MINIS. PUBLIC WORKS &amp; HOU</v>
      </c>
    </row>
    <row r="204" spans="1:7">
      <c r="A204" s="11" t="s">
        <v>2926</v>
      </c>
      <c r="B204" s="11" t="s">
        <v>2927</v>
      </c>
      <c r="C204" s="11" t="s">
        <v>2519</v>
      </c>
      <c r="D204" s="453" t="s">
        <v>2527</v>
      </c>
      <c r="E204" s="454"/>
      <c r="F204" s="455"/>
      <c r="G204" t="str">
        <f t="shared" si="3"/>
        <v xml:space="preserve"> 015080 / PAL-High Judicial council</v>
      </c>
    </row>
    <row r="205" spans="1:7">
      <c r="A205" s="11" t="s">
        <v>2928</v>
      </c>
      <c r="B205" s="11" t="s">
        <v>2929</v>
      </c>
      <c r="C205" s="11" t="s">
        <v>2519</v>
      </c>
      <c r="D205" s="453" t="s">
        <v>2520</v>
      </c>
      <c r="E205" s="454"/>
      <c r="F205" s="455"/>
      <c r="G205" t="str">
        <f t="shared" si="3"/>
        <v xml:space="preserve"> 015093 / PAL-Bureij Society Community</v>
      </c>
    </row>
    <row r="206" spans="1:7">
      <c r="A206" s="11" t="s">
        <v>2930</v>
      </c>
      <c r="B206" s="11" t="s">
        <v>2931</v>
      </c>
      <c r="C206" s="11" t="s">
        <v>2519</v>
      </c>
      <c r="D206" s="453" t="s">
        <v>2520</v>
      </c>
      <c r="E206" s="454"/>
      <c r="F206" s="455"/>
      <c r="G206" t="str">
        <f t="shared" si="3"/>
        <v xml:space="preserve"> 015094 / PAL-Alrowad Palestinian Youth</v>
      </c>
    </row>
    <row r="207" spans="1:7">
      <c r="A207" s="11" t="s">
        <v>2932</v>
      </c>
      <c r="B207" s="11" t="s">
        <v>2933</v>
      </c>
      <c r="C207" s="11" t="s">
        <v>2519</v>
      </c>
      <c r="D207" s="453" t="s">
        <v>2520</v>
      </c>
      <c r="E207" s="454"/>
      <c r="F207" s="455"/>
      <c r="G207" t="str">
        <f t="shared" si="3"/>
        <v xml:space="preserve"> 015095 / PAL-Life and hope Association</v>
      </c>
    </row>
    <row r="208" spans="1:7">
      <c r="A208" s="11" t="s">
        <v>2934</v>
      </c>
      <c r="B208" s="11" t="s">
        <v>2935</v>
      </c>
      <c r="C208" s="11" t="s">
        <v>2519</v>
      </c>
      <c r="D208" s="453" t="s">
        <v>2520</v>
      </c>
      <c r="E208" s="454"/>
      <c r="F208" s="455"/>
      <c r="G208" t="str">
        <f t="shared" si="3"/>
        <v xml:space="preserve"> 015103 / PAL-Kotof El Khair Association</v>
      </c>
    </row>
    <row r="209" spans="1:7">
      <c r="A209" s="11" t="s">
        <v>2936</v>
      </c>
      <c r="B209" s="11" t="s">
        <v>2937</v>
      </c>
      <c r="C209" s="11" t="s">
        <v>2519</v>
      </c>
      <c r="D209" s="453" t="s">
        <v>2520</v>
      </c>
      <c r="E209" s="454"/>
      <c r="F209" s="455"/>
      <c r="G209" t="str">
        <f t="shared" si="3"/>
        <v xml:space="preserve"> 015120 / PAL-INVSTPROMTINDSESTAGNCY</v>
      </c>
    </row>
    <row r="210" spans="1:7">
      <c r="A210" s="11" t="s">
        <v>2938</v>
      </c>
      <c r="B210" s="11" t="s">
        <v>2939</v>
      </c>
      <c r="C210" s="11" t="s">
        <v>2519</v>
      </c>
      <c r="D210" s="453" t="s">
        <v>2520</v>
      </c>
      <c r="E210" s="454"/>
      <c r="F210" s="455"/>
      <c r="G210" t="str">
        <f t="shared" si="3"/>
        <v xml:space="preserve"> 015201 / PAL-FARES ARAB DEVE &amp; CHARITY</v>
      </c>
    </row>
    <row r="211" spans="1:7">
      <c r="A211" s="11" t="s">
        <v>2940</v>
      </c>
      <c r="B211" s="11" t="s">
        <v>2941</v>
      </c>
      <c r="C211" s="11" t="s">
        <v>2519</v>
      </c>
      <c r="D211" s="453" t="s">
        <v>2520</v>
      </c>
      <c r="E211" s="454"/>
      <c r="F211" s="455"/>
      <c r="G211" t="str">
        <f t="shared" si="3"/>
        <v xml:space="preserve"> 015202 / PAL-FUTURE DEVELOPMENT COMMISI</v>
      </c>
    </row>
    <row r="212" spans="1:7">
      <c r="A212" s="11" t="s">
        <v>2942</v>
      </c>
      <c r="B212" s="11" t="s">
        <v>2943</v>
      </c>
      <c r="C212" s="11" t="s">
        <v>2519</v>
      </c>
      <c r="D212" s="453" t="s">
        <v>2520</v>
      </c>
      <c r="E212" s="454"/>
      <c r="F212" s="455"/>
      <c r="G212" t="str">
        <f t="shared" si="3"/>
        <v xml:space="preserve"> 015203 / PAL-PALESTINIAN ALUMINUM INDUS</v>
      </c>
    </row>
    <row r="213" spans="1:7">
      <c r="A213" s="11" t="s">
        <v>2944</v>
      </c>
      <c r="B213" s="11" t="s">
        <v>2945</v>
      </c>
      <c r="C213" s="11" t="s">
        <v>2519</v>
      </c>
      <c r="D213" s="453" t="s">
        <v>2520</v>
      </c>
      <c r="E213" s="454"/>
      <c r="F213" s="455"/>
      <c r="G213" t="str">
        <f t="shared" si="3"/>
        <v xml:space="preserve"> 015204 / PAL-PALESTINAN WOOD &amp; FURNITUR</v>
      </c>
    </row>
    <row r="214" spans="1:7">
      <c r="A214" s="11" t="s">
        <v>2946</v>
      </c>
      <c r="B214" s="11" t="s">
        <v>2947</v>
      </c>
      <c r="C214" s="11" t="s">
        <v>2519</v>
      </c>
      <c r="D214" s="453" t="s">
        <v>2520</v>
      </c>
      <c r="E214" s="454"/>
      <c r="F214" s="455"/>
      <c r="G214" t="str">
        <f t="shared" si="3"/>
        <v xml:space="preserve"> 015228 / PAL-MINISTRY TOURISM &amp; ANTIQUI</v>
      </c>
    </row>
    <row r="215" spans="1:7">
      <c r="A215" s="11" t="s">
        <v>2948</v>
      </c>
      <c r="B215" s="11" t="s">
        <v>2949</v>
      </c>
      <c r="C215" s="11" t="s">
        <v>2519</v>
      </c>
      <c r="D215" s="453" t="s">
        <v>2520</v>
      </c>
      <c r="E215" s="454"/>
      <c r="F215" s="455"/>
      <c r="G215" t="str">
        <f t="shared" si="3"/>
        <v xml:space="preserve"> 015294 / PAL-Greek orthodox Patriarchat</v>
      </c>
    </row>
    <row r="216" spans="1:7">
      <c r="A216" s="11" t="s">
        <v>2950</v>
      </c>
      <c r="B216" s="11" t="s">
        <v>2951</v>
      </c>
      <c r="C216" s="11" t="s">
        <v>2519</v>
      </c>
      <c r="D216" s="453" t="s">
        <v>2527</v>
      </c>
      <c r="E216" s="454"/>
      <c r="F216" s="455"/>
      <c r="G216" t="str">
        <f t="shared" si="3"/>
        <v xml:space="preserve"> 015337 / PAL-ST.AUDIT ADM.CONTROL BUREU</v>
      </c>
    </row>
    <row r="217" spans="1:7">
      <c r="A217" s="11" t="s">
        <v>2952</v>
      </c>
      <c r="B217" s="11" t="s">
        <v>2953</v>
      </c>
      <c r="C217" s="11" t="s">
        <v>2519</v>
      </c>
      <c r="D217" s="453" t="s">
        <v>2527</v>
      </c>
      <c r="E217" s="454"/>
      <c r="F217" s="455"/>
      <c r="G217" t="str">
        <f t="shared" si="3"/>
        <v xml:space="preserve"> 016030 / PAL-GENER.DIRECT.OF PROPER.TAX</v>
      </c>
    </row>
    <row r="218" spans="1:7">
      <c r="A218" s="11" t="s">
        <v>2954</v>
      </c>
      <c r="B218" s="11" t="s">
        <v>2955</v>
      </c>
      <c r="C218" s="11" t="s">
        <v>2519</v>
      </c>
      <c r="D218" s="453" t="s">
        <v>2527</v>
      </c>
      <c r="E218" s="454"/>
      <c r="F218" s="455"/>
      <c r="G218" t="str">
        <f t="shared" si="3"/>
        <v xml:space="preserve"> 016031 / PAL-NATIONAL TRAINING COMM.</v>
      </c>
    </row>
    <row r="219" spans="1:7">
      <c r="A219" s="11" t="s">
        <v>2956</v>
      </c>
      <c r="B219" s="11" t="s">
        <v>2957</v>
      </c>
      <c r="C219" s="11" t="s">
        <v>2519</v>
      </c>
      <c r="D219" s="453" t="s">
        <v>2527</v>
      </c>
      <c r="E219" s="454"/>
      <c r="F219" s="455"/>
      <c r="G219" t="str">
        <f t="shared" si="3"/>
        <v xml:space="preserve"> 016067 / PAL-THE PALEST.LAND AUTHORITY</v>
      </c>
    </row>
    <row r="220" spans="1:7">
      <c r="A220" s="11" t="s">
        <v>2958</v>
      </c>
      <c r="B220" s="11" t="s">
        <v>2959</v>
      </c>
      <c r="C220" s="11" t="s">
        <v>2519</v>
      </c>
      <c r="D220" s="453" t="s">
        <v>2520</v>
      </c>
      <c r="E220" s="454"/>
      <c r="F220" s="455"/>
      <c r="G220" t="str">
        <f t="shared" si="3"/>
        <v xml:space="preserve"> 016166 / PAL-ArabDevelopmentSociety</v>
      </c>
    </row>
    <row r="221" spans="1:7">
      <c r="A221" s="11" t="s">
        <v>2960</v>
      </c>
      <c r="B221" s="11" t="s">
        <v>2961</v>
      </c>
      <c r="C221" s="11" t="s">
        <v>2519</v>
      </c>
      <c r="D221" s="453" t="s">
        <v>2520</v>
      </c>
      <c r="E221" s="454"/>
      <c r="F221" s="455"/>
      <c r="G221" t="str">
        <f t="shared" si="3"/>
        <v xml:space="preserve"> 016196 / PAL-PALEST.TECH.UNIV.-KADOORIE</v>
      </c>
    </row>
    <row r="222" spans="1:7">
      <c r="A222" s="11" t="s">
        <v>2962</v>
      </c>
      <c r="B222" s="11" t="s">
        <v>2963</v>
      </c>
      <c r="C222" s="11" t="s">
        <v>2519</v>
      </c>
      <c r="D222" s="453" t="s">
        <v>2527</v>
      </c>
      <c r="E222" s="454"/>
      <c r="F222" s="455"/>
      <c r="G222" t="str">
        <f t="shared" si="3"/>
        <v xml:space="preserve"> 016209 / PAL-SAMOU'MUNICIPALITY</v>
      </c>
    </row>
    <row r="223" spans="1:7">
      <c r="A223" s="11" t="s">
        <v>2964</v>
      </c>
      <c r="B223" s="11" t="s">
        <v>2965</v>
      </c>
      <c r="C223" s="11" t="s">
        <v>2519</v>
      </c>
      <c r="D223" s="453" t="s">
        <v>2527</v>
      </c>
      <c r="E223" s="454"/>
      <c r="F223" s="455"/>
      <c r="G223" t="str">
        <f t="shared" si="3"/>
        <v xml:space="preserve"> 016210 / PAL-JABA'MUNICIPALITY</v>
      </c>
    </row>
    <row r="224" spans="1:7">
      <c r="A224" s="11" t="s">
        <v>2966</v>
      </c>
      <c r="B224" s="11" t="s">
        <v>2967</v>
      </c>
      <c r="C224" s="11" t="s">
        <v>2519</v>
      </c>
      <c r="D224" s="453" t="s">
        <v>2520</v>
      </c>
      <c r="E224" s="454"/>
      <c r="F224" s="455"/>
      <c r="G224" t="str">
        <f t="shared" si="3"/>
        <v xml:space="preserve"> 016213 / PAL-ARAB AMERICAN UNIVERSITY</v>
      </c>
    </row>
    <row r="225" spans="1:7">
      <c r="A225" s="11" t="s">
        <v>2968</v>
      </c>
      <c r="B225" s="11" t="s">
        <v>2969</v>
      </c>
      <c r="C225" s="11" t="s">
        <v>2519</v>
      </c>
      <c r="D225" s="453" t="s">
        <v>2527</v>
      </c>
      <c r="E225" s="454"/>
      <c r="F225" s="455"/>
      <c r="G225" t="str">
        <f t="shared" si="3"/>
        <v xml:space="preserve"> 016288 / PAL-PALESTINIAN JUDICIAL INSTI</v>
      </c>
    </row>
    <row r="226" spans="1:7">
      <c r="A226" s="11" t="s">
        <v>2970</v>
      </c>
      <c r="B226" s="11" t="s">
        <v>2971</v>
      </c>
      <c r="C226" s="11" t="s">
        <v>2519</v>
      </c>
      <c r="D226" s="453" t="s">
        <v>2527</v>
      </c>
      <c r="E226" s="454"/>
      <c r="F226" s="455"/>
      <c r="G226" t="str">
        <f t="shared" si="3"/>
        <v xml:space="preserve"> 016333 / PAL-BRUQIN MUNICIPALITY</v>
      </c>
    </row>
    <row r="227" spans="1:7">
      <c r="A227" s="11" t="s">
        <v>2972</v>
      </c>
      <c r="B227" s="11" t="s">
        <v>2973</v>
      </c>
      <c r="C227" s="11" t="s">
        <v>2519</v>
      </c>
      <c r="D227" s="453" t="s">
        <v>2974</v>
      </c>
      <c r="E227" s="454"/>
      <c r="F227" s="455"/>
      <c r="G227" t="str">
        <f t="shared" si="3"/>
        <v xml:space="preserve"> 016334 / PAL-EIN AL-BAYDA VILLAGE</v>
      </c>
    </row>
    <row r="228" spans="1:7">
      <c r="A228" s="11" t="s">
        <v>2975</v>
      </c>
      <c r="B228" s="11" t="s">
        <v>2976</v>
      </c>
      <c r="C228" s="11" t="s">
        <v>2519</v>
      </c>
      <c r="D228" s="453" t="s">
        <v>2654</v>
      </c>
      <c r="E228" s="454"/>
      <c r="F228" s="455"/>
      <c r="G228" t="str">
        <f t="shared" si="3"/>
        <v xml:space="preserve"> 016335 / PAL-Azhar Palestine for Child</v>
      </c>
    </row>
    <row r="229" spans="1:7">
      <c r="A229" s="11" t="s">
        <v>2977</v>
      </c>
      <c r="B229" s="11" t="s">
        <v>2978</v>
      </c>
      <c r="C229" s="11" t="s">
        <v>2519</v>
      </c>
      <c r="D229" s="453" t="s">
        <v>2654</v>
      </c>
      <c r="E229" s="454"/>
      <c r="F229" s="455"/>
      <c r="G229" t="str">
        <f t="shared" si="3"/>
        <v xml:space="preserve"> 016336 / PAL-Altawasol Forum Society</v>
      </c>
    </row>
    <row r="230" spans="1:7">
      <c r="A230" s="11" t="s">
        <v>2979</v>
      </c>
      <c r="B230" s="11" t="s">
        <v>2980</v>
      </c>
      <c r="C230" s="11" t="s">
        <v>2519</v>
      </c>
      <c r="D230" s="453" t="s">
        <v>2654</v>
      </c>
      <c r="E230" s="454"/>
      <c r="F230" s="455"/>
      <c r="G230" t="str">
        <f t="shared" si="3"/>
        <v xml:space="preserve"> 016337 / PAL-Forsan Al-Ghad Youth</v>
      </c>
    </row>
    <row r="231" spans="1:7">
      <c r="A231" s="11" t="s">
        <v>2981</v>
      </c>
      <c r="B231" s="11" t="s">
        <v>2982</v>
      </c>
      <c r="C231" s="11" t="s">
        <v>2519</v>
      </c>
      <c r="D231" s="453" t="s">
        <v>2654</v>
      </c>
      <c r="E231" s="454"/>
      <c r="F231" s="455"/>
      <c r="G231" t="str">
        <f t="shared" si="3"/>
        <v xml:space="preserve"> 016338 / PAL-Asso. for Reh.of Disabled</v>
      </c>
    </row>
    <row r="232" spans="1:7">
      <c r="A232" s="11" t="s">
        <v>2983</v>
      </c>
      <c r="B232" s="11" t="s">
        <v>2984</v>
      </c>
      <c r="C232" s="11" t="s">
        <v>2519</v>
      </c>
      <c r="D232" s="453" t="s">
        <v>2654</v>
      </c>
      <c r="E232" s="454"/>
      <c r="F232" s="455"/>
      <c r="G232" t="str">
        <f t="shared" si="3"/>
        <v xml:space="preserve"> 016339 / PAL-Spark for Innovation</v>
      </c>
    </row>
    <row r="233" spans="1:7">
      <c r="A233" s="11" t="s">
        <v>2985</v>
      </c>
      <c r="B233" s="11" t="s">
        <v>2986</v>
      </c>
      <c r="C233" s="11" t="s">
        <v>2519</v>
      </c>
      <c r="D233" s="453" t="s">
        <v>2654</v>
      </c>
      <c r="E233" s="454"/>
      <c r="F233" s="455"/>
      <c r="G233" t="str">
        <f t="shared" si="3"/>
        <v xml:space="preserve"> 016340 / PAL-Zawida Youth Sports Club</v>
      </c>
    </row>
    <row r="234" spans="1:7">
      <c r="A234" s="11" t="s">
        <v>2987</v>
      </c>
      <c r="B234" s="11" t="s">
        <v>2988</v>
      </c>
      <c r="C234" s="11" t="s">
        <v>2519</v>
      </c>
      <c r="D234" s="453" t="s">
        <v>2654</v>
      </c>
      <c r="E234" s="454"/>
      <c r="F234" s="455"/>
      <c r="G234" t="str">
        <f t="shared" si="3"/>
        <v xml:space="preserve"> 016341 / PAL-Al Nasser Al Arabi Club</v>
      </c>
    </row>
    <row r="235" spans="1:7">
      <c r="A235" s="11" t="s">
        <v>2989</v>
      </c>
      <c r="B235" s="11" t="s">
        <v>2990</v>
      </c>
      <c r="C235" s="11" t="s">
        <v>2519</v>
      </c>
      <c r="D235" s="453" t="s">
        <v>2654</v>
      </c>
      <c r="E235" s="454"/>
      <c r="F235" s="455"/>
      <c r="G235" t="str">
        <f t="shared" si="3"/>
        <v xml:space="preserve"> 016342 / PAL-Deir Al-Balah Youth Club</v>
      </c>
    </row>
    <row r="236" spans="1:7">
      <c r="A236" s="11" t="s">
        <v>2991</v>
      </c>
      <c r="B236" s="11" t="s">
        <v>2992</v>
      </c>
      <c r="C236" s="11" t="s">
        <v>2519</v>
      </c>
      <c r="D236" s="453" t="s">
        <v>2654</v>
      </c>
      <c r="E236" s="454"/>
      <c r="F236" s="455"/>
      <c r="G236" t="str">
        <f t="shared" si="3"/>
        <v xml:space="preserve"> 016343 / PAL-Briall.Tomor.- Homes Sons</v>
      </c>
    </row>
    <row r="237" spans="1:7">
      <c r="A237" s="11" t="s">
        <v>2993</v>
      </c>
      <c r="B237" s="11" t="s">
        <v>2994</v>
      </c>
      <c r="C237" s="11" t="s">
        <v>2519</v>
      </c>
      <c r="D237" s="453" t="s">
        <v>2654</v>
      </c>
      <c r="E237" s="454"/>
      <c r="F237" s="455"/>
      <c r="G237" t="str">
        <f t="shared" si="3"/>
        <v xml:space="preserve"> 016344 / PAL-Khan Younis Union Club</v>
      </c>
    </row>
    <row r="238" spans="1:7">
      <c r="A238" s="11" t="s">
        <v>2995</v>
      </c>
      <c r="B238" s="11" t="s">
        <v>2996</v>
      </c>
      <c r="C238" s="11" t="s">
        <v>2519</v>
      </c>
      <c r="D238" s="453" t="s">
        <v>2527</v>
      </c>
      <c r="E238" s="454"/>
      <c r="F238" s="455"/>
      <c r="G238" t="str">
        <f t="shared" si="3"/>
        <v xml:space="preserve"> 016555 / PAL-DEIR ALGHUSOON MUNCIPALITY</v>
      </c>
    </row>
    <row r="239" spans="1:7">
      <c r="A239" s="11" t="s">
        <v>2997</v>
      </c>
      <c r="B239" s="11" t="s">
        <v>2998</v>
      </c>
      <c r="C239" s="11" t="s">
        <v>2519</v>
      </c>
      <c r="D239" s="453" t="s">
        <v>2527</v>
      </c>
      <c r="E239" s="454"/>
      <c r="F239" s="455"/>
      <c r="G239" t="str">
        <f t="shared" si="3"/>
        <v xml:space="preserve"> 016556 / PAL-ATTIL MUNCIPALITY</v>
      </c>
    </row>
    <row r="240" spans="1:7">
      <c r="A240" s="11" t="s">
        <v>2999</v>
      </c>
      <c r="B240" s="11" t="s">
        <v>3000</v>
      </c>
      <c r="C240" s="11" t="s">
        <v>2519</v>
      </c>
      <c r="D240" s="453" t="s">
        <v>2527</v>
      </c>
      <c r="E240" s="454"/>
      <c r="F240" s="455"/>
      <c r="G240" t="str">
        <f t="shared" si="3"/>
        <v xml:space="preserve"> 016557 / PAL-PALESTIN. NAT. SCH OF ADMI</v>
      </c>
    </row>
    <row r="241" spans="1:7">
      <c r="A241" s="11" t="s">
        <v>3001</v>
      </c>
      <c r="B241" s="11" t="s">
        <v>3002</v>
      </c>
      <c r="C241" s="11" t="s">
        <v>2519</v>
      </c>
      <c r="D241" s="453" t="s">
        <v>2679</v>
      </c>
      <c r="E241" s="454"/>
      <c r="F241" s="455"/>
      <c r="G241" t="str">
        <f t="shared" si="3"/>
        <v xml:space="preserve"> 016587 / PAL-DAR ALKALIMA UNIVERSITY</v>
      </c>
    </row>
    <row r="242" spans="1:7">
      <c r="A242" s="11" t="s">
        <v>3003</v>
      </c>
      <c r="B242" s="11" t="s">
        <v>3004</v>
      </c>
      <c r="C242" s="11" t="s">
        <v>2519</v>
      </c>
      <c r="D242" s="453" t="s">
        <v>2527</v>
      </c>
      <c r="E242" s="454"/>
      <c r="F242" s="455"/>
      <c r="G242" t="str">
        <f t="shared" si="3"/>
        <v xml:space="preserve"> 016591 / PAL-RAMALLAH MUNICIPALITY</v>
      </c>
    </row>
    <row r="243" spans="1:7">
      <c r="A243" s="11" t="s">
        <v>3005</v>
      </c>
      <c r="B243" s="11" t="s">
        <v>3006</v>
      </c>
      <c r="C243" s="11" t="s">
        <v>2519</v>
      </c>
      <c r="D243" s="453" t="s">
        <v>2527</v>
      </c>
      <c r="E243" s="454"/>
      <c r="F243" s="455"/>
      <c r="G243" t="str">
        <f t="shared" si="3"/>
        <v xml:space="preserve"> 016592 / PAL-MINISTRY-AWQAF+ISLAMICAFFA</v>
      </c>
    </row>
    <row r="244" spans="1:7">
      <c r="A244" s="11" t="s">
        <v>3007</v>
      </c>
      <c r="B244" s="11" t="s">
        <v>3008</v>
      </c>
      <c r="C244" s="11" t="s">
        <v>2519</v>
      </c>
      <c r="D244" s="453" t="s">
        <v>2520</v>
      </c>
      <c r="E244" s="454"/>
      <c r="F244" s="455"/>
      <c r="G244" t="str">
        <f t="shared" si="3"/>
        <v xml:space="preserve"> 016799 / PAL-ARAVA Institute for Enviro</v>
      </c>
    </row>
    <row r="245" spans="1:7">
      <c r="A245" s="11" t="s">
        <v>3009</v>
      </c>
      <c r="B245" s="11" t="s">
        <v>3010</v>
      </c>
      <c r="C245" s="11" t="s">
        <v>2519</v>
      </c>
      <c r="D245" s="453" t="s">
        <v>2520</v>
      </c>
      <c r="E245" s="454"/>
      <c r="F245" s="455"/>
      <c r="G245" t="str">
        <f t="shared" si="3"/>
        <v xml:space="preserve"> 016919 / PAL-PAL.NON-GOV.ORG.NETW.-GAZA</v>
      </c>
    </row>
    <row r="246" spans="1:7">
      <c r="A246" s="11" t="s">
        <v>3011</v>
      </c>
      <c r="B246" s="11" t="s">
        <v>3012</v>
      </c>
      <c r="C246" s="11" t="s">
        <v>2519</v>
      </c>
      <c r="D246" s="453" t="s">
        <v>2527</v>
      </c>
      <c r="E246" s="454"/>
      <c r="F246" s="455"/>
      <c r="G246" t="str">
        <f t="shared" si="3"/>
        <v xml:space="preserve"> 017010 / PAL-THE JOINT SERVICE COUNCIL</v>
      </c>
    </row>
    <row r="247" spans="1:7">
      <c r="A247" s="11" t="s">
        <v>3013</v>
      </c>
      <c r="B247" s="11" t="s">
        <v>3014</v>
      </c>
      <c r="C247" s="11" t="s">
        <v>2519</v>
      </c>
      <c r="D247" s="453" t="s">
        <v>2520</v>
      </c>
      <c r="E247" s="454"/>
      <c r="F247" s="455"/>
      <c r="G247" t="str">
        <f t="shared" si="3"/>
        <v xml:space="preserve"> 017019 / PAL-WADI AL-JOUZE CHAR. ASSOC.</v>
      </c>
    </row>
    <row r="248" spans="1:7">
      <c r="A248" s="11" t="s">
        <v>3015</v>
      </c>
      <c r="B248" s="11" t="s">
        <v>3016</v>
      </c>
      <c r="C248" s="11" t="s">
        <v>2519</v>
      </c>
      <c r="D248" s="453" t="s">
        <v>2527</v>
      </c>
      <c r="E248" s="454"/>
      <c r="F248" s="455"/>
      <c r="G248" t="str">
        <f t="shared" si="3"/>
        <v xml:space="preserve"> 017075 / PAL-UNIVERSITÀ IUAV DI VENEZIA</v>
      </c>
    </row>
    <row r="249" spans="1:7">
      <c r="A249" s="11" t="s">
        <v>3017</v>
      </c>
      <c r="B249" s="11" t="s">
        <v>3018</v>
      </c>
      <c r="C249" s="11" t="s">
        <v>2519</v>
      </c>
      <c r="D249" s="453" t="s">
        <v>2527</v>
      </c>
      <c r="E249" s="454"/>
      <c r="F249" s="455"/>
      <c r="G249" t="str">
        <f t="shared" si="3"/>
        <v xml:space="preserve"> 017108 / PAL-Holyland Handicrafts Co</v>
      </c>
    </row>
    <row r="250" spans="1:7">
      <c r="A250" s="11" t="s">
        <v>3019</v>
      </c>
      <c r="B250" s="11" t="s">
        <v>3020</v>
      </c>
      <c r="C250" s="11" t="s">
        <v>2519</v>
      </c>
      <c r="D250" s="453" t="s">
        <v>2527</v>
      </c>
      <c r="E250" s="454"/>
      <c r="F250" s="455"/>
      <c r="G250" t="str">
        <f t="shared" si="3"/>
        <v xml:space="preserve"> 017124 / PAL-Ministry of Agriculture</v>
      </c>
    </row>
    <row r="251" spans="1:7">
      <c r="A251" s="11" t="s">
        <v>3021</v>
      </c>
      <c r="B251" s="11" t="s">
        <v>3022</v>
      </c>
      <c r="C251" s="11" t="s">
        <v>2519</v>
      </c>
      <c r="D251" s="453" t="s">
        <v>2520</v>
      </c>
      <c r="E251" s="454"/>
      <c r="F251" s="455"/>
      <c r="G251" t="str">
        <f t="shared" si="3"/>
        <v xml:space="preserve"> 017143 / PAL-Federation of Paper-PFPPI</v>
      </c>
    </row>
    <row r="252" spans="1:7">
      <c r="A252" s="11" t="s">
        <v>3023</v>
      </c>
      <c r="B252" s="11" t="s">
        <v>3024</v>
      </c>
      <c r="C252" s="11" t="s">
        <v>2519</v>
      </c>
      <c r="D252" s="453" t="s">
        <v>2527</v>
      </c>
      <c r="E252" s="454"/>
      <c r="F252" s="455"/>
      <c r="G252" t="str">
        <f t="shared" si="3"/>
        <v xml:space="preserve"> 017161 / PAL-GENER.ADM.FOR BORD.&amp;CROSS</v>
      </c>
    </row>
    <row r="253" spans="1:7">
      <c r="A253" s="11" t="s">
        <v>3025</v>
      </c>
      <c r="B253" s="11" t="s">
        <v>3026</v>
      </c>
      <c r="C253" s="11" t="s">
        <v>2519</v>
      </c>
      <c r="D253" s="453" t="s">
        <v>2520</v>
      </c>
      <c r="E253" s="454"/>
      <c r="F253" s="455"/>
      <c r="G253" t="str">
        <f t="shared" si="3"/>
        <v xml:space="preserve"> 017167 / PAL-Masafer Yatta Cl Char Ass</v>
      </c>
    </row>
    <row r="254" spans="1:7">
      <c r="A254" s="11" t="s">
        <v>3027</v>
      </c>
      <c r="B254" s="11" t="s">
        <v>3028</v>
      </c>
      <c r="C254" s="11" t="s">
        <v>2519</v>
      </c>
      <c r="D254" s="453" t="s">
        <v>2679</v>
      </c>
      <c r="E254" s="454"/>
      <c r="F254" s="455"/>
      <c r="G254" t="str">
        <f t="shared" si="3"/>
        <v xml:space="preserve"> 017168 / PAL-Beth Arab Soc. for Rehab.</v>
      </c>
    </row>
    <row r="255" spans="1:7">
      <c r="A255" s="11" t="s">
        <v>3029</v>
      </c>
      <c r="B255" s="11" t="s">
        <v>3030</v>
      </c>
      <c r="C255" s="11" t="s">
        <v>2519</v>
      </c>
      <c r="D255" s="453" t="s">
        <v>2679</v>
      </c>
      <c r="E255" s="454"/>
      <c r="F255" s="455"/>
      <c r="G255" t="str">
        <f t="shared" si="3"/>
        <v xml:space="preserve"> 017169 / PAL-Jer Aut. Child Care Org</v>
      </c>
    </row>
    <row r="256" spans="1:7">
      <c r="A256" s="11" t="s">
        <v>3031</v>
      </c>
      <c r="B256" s="11" t="s">
        <v>3032</v>
      </c>
      <c r="C256" s="11" t="s">
        <v>2519</v>
      </c>
      <c r="D256" s="453" t="s">
        <v>2520</v>
      </c>
      <c r="E256" s="454"/>
      <c r="F256" s="455"/>
      <c r="G256" t="str">
        <f t="shared" si="3"/>
        <v xml:space="preserve"> 017170 / PAL-Saint Dimitri School</v>
      </c>
    </row>
    <row r="257" spans="1:7">
      <c r="A257" s="11" t="s">
        <v>3033</v>
      </c>
      <c r="B257" s="11" t="s">
        <v>3034</v>
      </c>
      <c r="C257" s="11" t="s">
        <v>2519</v>
      </c>
      <c r="D257" s="453" t="s">
        <v>2527</v>
      </c>
      <c r="E257" s="454"/>
      <c r="F257" s="455"/>
      <c r="G257" t="str">
        <f t="shared" si="3"/>
        <v xml:space="preserve"> 017171 / PAL-The Refugees Affairs Dept</v>
      </c>
    </row>
    <row r="258" spans="1:7">
      <c r="A258" s="11" t="s">
        <v>3035</v>
      </c>
      <c r="B258" s="11" t="s">
        <v>3036</v>
      </c>
      <c r="C258" s="11" t="s">
        <v>2519</v>
      </c>
      <c r="D258" s="453" t="s">
        <v>2679</v>
      </c>
      <c r="E258" s="454"/>
      <c r="F258" s="455"/>
      <c r="G258" t="str">
        <f t="shared" si="3"/>
        <v xml:space="preserve"> 017172 / PAL-Pal Cen for Comm Dev Stra.</v>
      </c>
    </row>
    <row r="259" spans="1:7">
      <c r="A259" s="11" t="s">
        <v>3037</v>
      </c>
      <c r="B259" s="11" t="s">
        <v>3038</v>
      </c>
      <c r="C259" s="11" t="s">
        <v>2519</v>
      </c>
      <c r="D259" s="453" t="s">
        <v>2520</v>
      </c>
      <c r="E259" s="454"/>
      <c r="F259" s="455"/>
      <c r="G259" t="str">
        <f t="shared" ref="G259:G282" si="4">A259&amp;" / "&amp;B259</f>
        <v xml:space="preserve"> 017176 / PAL-MAAN WORKERS ASSOCIATION R.A.</v>
      </c>
    </row>
    <row r="260" spans="1:7">
      <c r="A260" s="11" t="s">
        <v>3039</v>
      </c>
      <c r="B260" s="11" t="s">
        <v>3040</v>
      </c>
      <c r="C260" s="11" t="s">
        <v>2519</v>
      </c>
      <c r="D260" s="453" t="s">
        <v>2527</v>
      </c>
      <c r="E260" s="454"/>
      <c r="F260" s="455"/>
      <c r="G260" t="str">
        <f t="shared" si="4"/>
        <v xml:space="preserve"> 017203 / PAL-MINISTRY OF INTERIOR</v>
      </c>
    </row>
    <row r="261" spans="1:7">
      <c r="A261" s="11" t="s">
        <v>3041</v>
      </c>
      <c r="B261" s="11" t="s">
        <v>3042</v>
      </c>
      <c r="C261" s="11" t="s">
        <v>2519</v>
      </c>
      <c r="D261" s="453" t="s">
        <v>2520</v>
      </c>
      <c r="E261" s="454"/>
      <c r="F261" s="455"/>
      <c r="G261" t="str">
        <f t="shared" si="4"/>
        <v xml:space="preserve"> 017210 / PAL-Local Communities Org</v>
      </c>
    </row>
    <row r="262" spans="1:7">
      <c r="A262" s="9" t="s">
        <v>3043</v>
      </c>
      <c r="B262" s="9" t="s">
        <v>3044</v>
      </c>
      <c r="C262" s="9" t="s">
        <v>2519</v>
      </c>
      <c r="D262" s="450" t="s">
        <v>2679</v>
      </c>
      <c r="E262" s="451"/>
      <c r="F262" s="452"/>
      <c r="G262" t="str">
        <f t="shared" si="4"/>
        <v xml:space="preserve"> 015006 / PAL_INTERNATIOAL LEGAL FOUND.</v>
      </c>
    </row>
    <row r="263" spans="1:7">
      <c r="A263" s="9" t="s">
        <v>3045</v>
      </c>
      <c r="B263" s="9" t="s">
        <v>3046</v>
      </c>
      <c r="C263" s="9" t="s">
        <v>2519</v>
      </c>
      <c r="D263" s="450" t="s">
        <v>2527</v>
      </c>
      <c r="E263" s="451"/>
      <c r="F263" s="452"/>
      <c r="G263" t="str">
        <f t="shared" si="4"/>
        <v xml:space="preserve"> 017420 / PAL_The Refugee Affairs Department of the PLO (DORA)</v>
      </c>
    </row>
    <row r="264" spans="1:7">
      <c r="A264" s="9" t="s">
        <v>3047</v>
      </c>
      <c r="B264" s="9" t="s">
        <v>3048</v>
      </c>
      <c r="C264" s="9" t="s">
        <v>2519</v>
      </c>
      <c r="D264" s="450" t="s">
        <v>2527</v>
      </c>
      <c r="E264" s="451"/>
      <c r="F264" s="452"/>
      <c r="G264" t="str">
        <f t="shared" si="4"/>
        <v xml:space="preserve"> 017434 / PAL_The Ministry of Telecommunications and Digital Economy</v>
      </c>
    </row>
    <row r="265" spans="1:7">
      <c r="A265" s="9" t="s">
        <v>3049</v>
      </c>
      <c r="B265" s="9" t="s">
        <v>3050</v>
      </c>
      <c r="C265" s="9" t="s">
        <v>2519</v>
      </c>
      <c r="D265" s="450" t="s">
        <v>2520</v>
      </c>
      <c r="E265" s="451"/>
      <c r="F265" s="452"/>
      <c r="G265" t="str">
        <f t="shared" si="4"/>
        <v xml:space="preserve"> 017497 / PAL_Rural Women’s Development Society (RWDS)</v>
      </c>
    </row>
    <row r="266" spans="1:7">
      <c r="A266" s="9" t="s">
        <v>3051</v>
      </c>
      <c r="B266" s="9" t="s">
        <v>3052</v>
      </c>
      <c r="C266" s="9" t="s">
        <v>2519</v>
      </c>
      <c r="D266" s="450" t="s">
        <v>2520</v>
      </c>
      <c r="E266" s="451"/>
      <c r="F266" s="452"/>
      <c r="G266" t="str">
        <f t="shared" si="4"/>
        <v xml:space="preserve"> 017498 / PAL_Tubas Chamber of Commerce, Industry, and Agriculture (TCCIA)</v>
      </c>
    </row>
    <row r="267" spans="1:7">
      <c r="A267" s="9" t="s">
        <v>3053</v>
      </c>
      <c r="B267" s="9" t="s">
        <v>3054</v>
      </c>
      <c r="C267" s="9" t="s">
        <v>2519</v>
      </c>
      <c r="D267" s="450" t="s">
        <v>2520</v>
      </c>
      <c r="E267" s="451"/>
      <c r="F267" s="452"/>
      <c r="G267" t="str">
        <f t="shared" si="4"/>
        <v xml:space="preserve"> 017499 / PAL_Palestinian Youth Union (PYU)</v>
      </c>
    </row>
    <row r="268" spans="1:7">
      <c r="A268" s="9" t="s">
        <v>3055</v>
      </c>
      <c r="B268" s="9" t="s">
        <v>3056</v>
      </c>
      <c r="C268" s="9" t="s">
        <v>2519</v>
      </c>
      <c r="D268" s="450" t="s">
        <v>2527</v>
      </c>
      <c r="E268" s="451"/>
      <c r="F268" s="452"/>
      <c r="G268" t="str">
        <f t="shared" si="4"/>
        <v xml:space="preserve"> 017507 / PAL_The Official Gazette Bureau</v>
      </c>
    </row>
    <row r="269" spans="1:7">
      <c r="A269" s="9" t="s">
        <v>3057</v>
      </c>
      <c r="B269" s="9" t="s">
        <v>3058</v>
      </c>
      <c r="C269" s="9" t="s">
        <v>2519</v>
      </c>
      <c r="D269" s="450" t="s">
        <v>2527</v>
      </c>
      <c r="E269" s="451"/>
      <c r="F269" s="452"/>
      <c r="G269" t="str">
        <f t="shared" si="4"/>
        <v xml:space="preserve"> 017520 / PAL_The Governorate of Tulkarm</v>
      </c>
    </row>
    <row r="270" spans="1:7">
      <c r="A270" s="9" t="s">
        <v>3059</v>
      </c>
      <c r="B270" s="9" t="s">
        <v>3060</v>
      </c>
      <c r="C270" s="9" t="s">
        <v>2519</v>
      </c>
      <c r="D270" s="450" t="s">
        <v>2520</v>
      </c>
      <c r="E270" s="451"/>
      <c r="F270" s="452"/>
      <c r="G270" t="str">
        <f t="shared" si="4"/>
        <v xml:space="preserve"> 017660 / PAL_Public Committee Against Torture in Israel (PCATI)</v>
      </c>
    </row>
    <row r="271" spans="1:7">
      <c r="A271" s="9" t="s">
        <v>3061</v>
      </c>
      <c r="B271" s="9" t="s">
        <v>3062</v>
      </c>
      <c r="C271" s="9" t="s">
        <v>2519</v>
      </c>
      <c r="D271" s="450" t="s">
        <v>2520</v>
      </c>
      <c r="E271" s="451"/>
      <c r="F271" s="452"/>
      <c r="G271" t="str">
        <f t="shared" si="4"/>
        <v xml:space="preserve"> 017661 / PAL_Women's Studies Centre (WSC)</v>
      </c>
    </row>
    <row r="272" spans="1:7">
      <c r="A272" s="9" t="s">
        <v>3063</v>
      </c>
      <c r="B272" s="9" t="s">
        <v>3064</v>
      </c>
      <c r="C272" s="9" t="s">
        <v>2519</v>
      </c>
      <c r="D272" s="450" t="s">
        <v>2527</v>
      </c>
      <c r="E272" s="451"/>
      <c r="F272" s="452"/>
      <c r="G272" t="str">
        <f t="shared" si="4"/>
        <v xml:space="preserve"> 017663 / PAL_Palestinian Industrial Estates and Free Zones Authority (PIEFZA)</v>
      </c>
    </row>
    <row r="273" spans="1:7">
      <c r="A273" s="9" t="s">
        <v>3065</v>
      </c>
      <c r="B273" s="9" t="s">
        <v>3066</v>
      </c>
      <c r="C273" s="9" t="s">
        <v>2519</v>
      </c>
      <c r="D273" s="450" t="s">
        <v>2520</v>
      </c>
      <c r="E273" s="451"/>
      <c r="F273" s="452"/>
      <c r="G273" t="str">
        <f t="shared" si="4"/>
        <v xml:space="preserve"> 017727 / PAL_Nafs for Empowerment for Psychological and Social Counselling</v>
      </c>
    </row>
    <row r="274" spans="1:7">
      <c r="A274" s="9" t="s">
        <v>3067</v>
      </c>
      <c r="B274" s="9" t="s">
        <v>3068</v>
      </c>
      <c r="C274" s="9" t="s">
        <v>2519</v>
      </c>
      <c r="D274" s="450" t="s">
        <v>2520</v>
      </c>
      <c r="E274" s="451"/>
      <c r="F274" s="452"/>
      <c r="G274" t="str">
        <f t="shared" si="4"/>
        <v xml:space="preserve"> 017728 / PAL_Psychosocial Counseling Center for Women (PSCCW)</v>
      </c>
    </row>
    <row r="275" spans="1:7">
      <c r="A275" s="9" t="s">
        <v>3069</v>
      </c>
      <c r="B275" s="9" t="s">
        <v>3070</v>
      </c>
      <c r="C275" s="9" t="s">
        <v>2519</v>
      </c>
      <c r="D275" s="450" t="s">
        <v>2527</v>
      </c>
      <c r="E275" s="451"/>
      <c r="F275" s="452"/>
      <c r="G275" t="str">
        <f t="shared" si="4"/>
        <v xml:space="preserve"> 017975 / PAL_Environmental Quality Authority (EQA)</v>
      </c>
    </row>
    <row r="276" spans="1:7">
      <c r="A276" s="9" t="s">
        <v>3071</v>
      </c>
      <c r="B276" s="9" t="s">
        <v>3072</v>
      </c>
      <c r="C276" s="9" t="s">
        <v>2519</v>
      </c>
      <c r="D276" s="450" t="s">
        <v>2527</v>
      </c>
      <c r="E276" s="451"/>
      <c r="F276" s="452"/>
      <c r="G276" t="str">
        <f t="shared" si="4"/>
        <v xml:space="preserve"> 017986 / PAL_Ministry of Education and Higher Education (MoEHE)</v>
      </c>
    </row>
    <row r="277" spans="1:7">
      <c r="A277" s="9" t="s">
        <v>3073</v>
      </c>
      <c r="B277" s="9" t="s">
        <v>3074</v>
      </c>
      <c r="C277" s="9" t="s">
        <v>2519</v>
      </c>
      <c r="D277" s="450" t="s">
        <v>2520</v>
      </c>
      <c r="E277" s="451"/>
      <c r="F277" s="452"/>
      <c r="G277" t="str">
        <f t="shared" si="4"/>
        <v xml:space="preserve"> 018009 / PAL_Qarawa Bani Hassan Sports Club</v>
      </c>
    </row>
    <row r="278" spans="1:7">
      <c r="A278" s="9" t="s">
        <v>3075</v>
      </c>
      <c r="B278" s="9" t="s">
        <v>3076</v>
      </c>
      <c r="C278" s="9" t="s">
        <v>2519</v>
      </c>
      <c r="D278" s="450" t="s">
        <v>2527</v>
      </c>
      <c r="E278" s="451"/>
      <c r="F278" s="452"/>
      <c r="G278" t="str">
        <f t="shared" si="4"/>
        <v xml:space="preserve"> 018062 / PAL_THE COOPERATIVE WORK AGENCY</v>
      </c>
    </row>
    <row r="279" spans="1:7">
      <c r="A279" s="9" t="s">
        <v>3077</v>
      </c>
      <c r="B279" s="9" t="s">
        <v>3078</v>
      </c>
      <c r="C279" s="9" t="s">
        <v>2519</v>
      </c>
      <c r="D279" s="450" t="s">
        <v>2527</v>
      </c>
      <c r="E279" s="451"/>
      <c r="F279" s="452"/>
      <c r="G279" t="str">
        <f t="shared" si="4"/>
        <v xml:space="preserve"> 018095 / PAL_Ministry of National Economy (MoNE)</v>
      </c>
    </row>
    <row r="280" spans="1:7">
      <c r="A280" s="9" t="s">
        <v>3079</v>
      </c>
      <c r="B280" s="9" t="s">
        <v>3080</v>
      </c>
      <c r="C280" s="9" t="s">
        <v>2519</v>
      </c>
      <c r="D280" s="450" t="s">
        <v>2527</v>
      </c>
      <c r="E280" s="451"/>
      <c r="F280" s="452"/>
      <c r="G280" t="str">
        <f t="shared" si="4"/>
        <v xml:space="preserve"> 018113 / PAL_Cooperative Work Agency (CWA)</v>
      </c>
    </row>
    <row r="281" spans="1:7">
      <c r="A281" s="9" t="s">
        <v>3081</v>
      </c>
      <c r="B281" s="9" t="s">
        <v>3082</v>
      </c>
      <c r="C281" s="9" t="s">
        <v>2519</v>
      </c>
      <c r="D281" s="450" t="s">
        <v>2527</v>
      </c>
      <c r="E281" s="451"/>
      <c r="F281" s="452"/>
      <c r="G281" t="str">
        <f t="shared" si="4"/>
        <v xml:space="preserve"> 018143 / PAL_Ministry of Local Government (MoLG)</v>
      </c>
    </row>
    <row r="282" spans="1:7">
      <c r="A282" s="9" t="s">
        <v>3083</v>
      </c>
      <c r="B282" s="9" t="s">
        <v>3084</v>
      </c>
      <c r="C282" s="9" t="s">
        <v>2519</v>
      </c>
      <c r="D282" s="450" t="s">
        <v>3085</v>
      </c>
      <c r="E282" s="451"/>
      <c r="F282" s="452"/>
      <c r="G282" t="str">
        <f t="shared" si="4"/>
        <v xml:space="preserve"> 001981 / UNDP</v>
      </c>
    </row>
    <row r="283" spans="1:7">
      <c r="G283" s="50" t="s">
        <v>3086</v>
      </c>
    </row>
  </sheetData>
  <autoFilter ref="A1:F261" xr:uid="{AD6ADAAF-94FE-4855-A4C9-D15632A19B14}">
    <filterColumn colId="3" showButton="0"/>
    <filterColumn colId="4" showButton="0"/>
  </autoFilter>
  <mergeCells count="282">
    <mergeCell ref="D6:F6"/>
    <mergeCell ref="D7:F7"/>
    <mergeCell ref="D8:F8"/>
    <mergeCell ref="D9:F9"/>
    <mergeCell ref="D10:F10"/>
    <mergeCell ref="D11:F11"/>
    <mergeCell ref="D1:F1"/>
    <mergeCell ref="D2:F2"/>
    <mergeCell ref="D3:F3"/>
    <mergeCell ref="D4:F4"/>
    <mergeCell ref="D5:F5"/>
    <mergeCell ref="D18:F18"/>
    <mergeCell ref="D19:F19"/>
    <mergeCell ref="D20:F20"/>
    <mergeCell ref="D21:F21"/>
    <mergeCell ref="D22:F22"/>
    <mergeCell ref="D23:F23"/>
    <mergeCell ref="D12:F12"/>
    <mergeCell ref="D13:F13"/>
    <mergeCell ref="D14:F14"/>
    <mergeCell ref="D15:F15"/>
    <mergeCell ref="D16:F16"/>
    <mergeCell ref="D17:F17"/>
    <mergeCell ref="D30:F30"/>
    <mergeCell ref="D31:F31"/>
    <mergeCell ref="D32:F32"/>
    <mergeCell ref="D33:F33"/>
    <mergeCell ref="D34:F34"/>
    <mergeCell ref="D35:F35"/>
    <mergeCell ref="D24:F24"/>
    <mergeCell ref="D25:F25"/>
    <mergeCell ref="D26:F26"/>
    <mergeCell ref="D27:F27"/>
    <mergeCell ref="D28:F28"/>
    <mergeCell ref="D29:F29"/>
    <mergeCell ref="D42:F42"/>
    <mergeCell ref="D43:F43"/>
    <mergeCell ref="D44:F44"/>
    <mergeCell ref="D45:F45"/>
    <mergeCell ref="D46:F46"/>
    <mergeCell ref="D47:F47"/>
    <mergeCell ref="D36:F36"/>
    <mergeCell ref="D37:F37"/>
    <mergeCell ref="D38:F38"/>
    <mergeCell ref="D39:F39"/>
    <mergeCell ref="D40:F40"/>
    <mergeCell ref="D41:F41"/>
    <mergeCell ref="D54:F54"/>
    <mergeCell ref="D55:F55"/>
    <mergeCell ref="D56:F56"/>
    <mergeCell ref="D57:F57"/>
    <mergeCell ref="D58:F58"/>
    <mergeCell ref="D59:F59"/>
    <mergeCell ref="D48:F48"/>
    <mergeCell ref="D49:F49"/>
    <mergeCell ref="D50:F50"/>
    <mergeCell ref="D51:F51"/>
    <mergeCell ref="D52:F52"/>
    <mergeCell ref="D53:F53"/>
    <mergeCell ref="D66:F66"/>
    <mergeCell ref="D67:F67"/>
    <mergeCell ref="D68:F68"/>
    <mergeCell ref="D69:F69"/>
    <mergeCell ref="D70:F70"/>
    <mergeCell ref="D71:F71"/>
    <mergeCell ref="D60:F60"/>
    <mergeCell ref="D61:F61"/>
    <mergeCell ref="D62:F62"/>
    <mergeCell ref="D63:F63"/>
    <mergeCell ref="D64:F64"/>
    <mergeCell ref="D65:F65"/>
    <mergeCell ref="D78:F78"/>
    <mergeCell ref="D79:F79"/>
    <mergeCell ref="D80:F80"/>
    <mergeCell ref="D81:F81"/>
    <mergeCell ref="D82:F82"/>
    <mergeCell ref="D83:F83"/>
    <mergeCell ref="D72:F72"/>
    <mergeCell ref="D73:F73"/>
    <mergeCell ref="D74:F74"/>
    <mergeCell ref="D75:F75"/>
    <mergeCell ref="D76:F76"/>
    <mergeCell ref="D77:F77"/>
    <mergeCell ref="D90:F90"/>
    <mergeCell ref="D91:F91"/>
    <mergeCell ref="D92:F92"/>
    <mergeCell ref="D93:F93"/>
    <mergeCell ref="D94:F94"/>
    <mergeCell ref="D95:F95"/>
    <mergeCell ref="D84:F84"/>
    <mergeCell ref="D85:F85"/>
    <mergeCell ref="D86:F86"/>
    <mergeCell ref="D87:F87"/>
    <mergeCell ref="D88:F88"/>
    <mergeCell ref="D89:F89"/>
    <mergeCell ref="D102:F102"/>
    <mergeCell ref="D103:F103"/>
    <mergeCell ref="D104:F104"/>
    <mergeCell ref="D105:F105"/>
    <mergeCell ref="D106:F106"/>
    <mergeCell ref="D107:F107"/>
    <mergeCell ref="D96:F96"/>
    <mergeCell ref="D97:F97"/>
    <mergeCell ref="D98:F98"/>
    <mergeCell ref="D99:F99"/>
    <mergeCell ref="D100:F100"/>
    <mergeCell ref="D101:F101"/>
    <mergeCell ref="D114:F114"/>
    <mergeCell ref="D115:F115"/>
    <mergeCell ref="D116:F116"/>
    <mergeCell ref="D117:F117"/>
    <mergeCell ref="D118:F118"/>
    <mergeCell ref="D119:F119"/>
    <mergeCell ref="D108:F108"/>
    <mergeCell ref="D109:F109"/>
    <mergeCell ref="D110:F110"/>
    <mergeCell ref="D111:F111"/>
    <mergeCell ref="D112:F112"/>
    <mergeCell ref="D113:F113"/>
    <mergeCell ref="D126:F126"/>
    <mergeCell ref="D127:F127"/>
    <mergeCell ref="D128:F128"/>
    <mergeCell ref="D129:F129"/>
    <mergeCell ref="D130:F130"/>
    <mergeCell ref="D131:F131"/>
    <mergeCell ref="D120:F120"/>
    <mergeCell ref="D121:F121"/>
    <mergeCell ref="D122:F122"/>
    <mergeCell ref="D123:F123"/>
    <mergeCell ref="D124:F124"/>
    <mergeCell ref="D125:F125"/>
    <mergeCell ref="D138:F138"/>
    <mergeCell ref="D139:F139"/>
    <mergeCell ref="D140:F140"/>
    <mergeCell ref="D141:F141"/>
    <mergeCell ref="D142:F142"/>
    <mergeCell ref="D143:F143"/>
    <mergeCell ref="D132:F132"/>
    <mergeCell ref="D133:F133"/>
    <mergeCell ref="D134:F134"/>
    <mergeCell ref="D135:F135"/>
    <mergeCell ref="D136:F136"/>
    <mergeCell ref="D137:F137"/>
    <mergeCell ref="D150:F150"/>
    <mergeCell ref="D151:F151"/>
    <mergeCell ref="D152:F152"/>
    <mergeCell ref="D153:F153"/>
    <mergeCell ref="D154:F154"/>
    <mergeCell ref="D155:F155"/>
    <mergeCell ref="D144:F144"/>
    <mergeCell ref="D145:F145"/>
    <mergeCell ref="D146:F146"/>
    <mergeCell ref="D147:F147"/>
    <mergeCell ref="D148:F148"/>
    <mergeCell ref="D149:F149"/>
    <mergeCell ref="D162:F162"/>
    <mergeCell ref="D163:F163"/>
    <mergeCell ref="D164:F164"/>
    <mergeCell ref="D165:F165"/>
    <mergeCell ref="D166:F166"/>
    <mergeCell ref="D167:F167"/>
    <mergeCell ref="D156:F156"/>
    <mergeCell ref="D157:F157"/>
    <mergeCell ref="D158:F158"/>
    <mergeCell ref="D159:F159"/>
    <mergeCell ref="D160:F160"/>
    <mergeCell ref="D161:F161"/>
    <mergeCell ref="D174:F174"/>
    <mergeCell ref="D175:F175"/>
    <mergeCell ref="D176:F176"/>
    <mergeCell ref="D177:F177"/>
    <mergeCell ref="D178:F178"/>
    <mergeCell ref="D179:F179"/>
    <mergeCell ref="D168:F168"/>
    <mergeCell ref="D169:F169"/>
    <mergeCell ref="D170:F170"/>
    <mergeCell ref="D171:F171"/>
    <mergeCell ref="D172:F172"/>
    <mergeCell ref="D173:F173"/>
    <mergeCell ref="D186:F186"/>
    <mergeCell ref="D187:F187"/>
    <mergeCell ref="D188:F188"/>
    <mergeCell ref="D189:F189"/>
    <mergeCell ref="D190:F190"/>
    <mergeCell ref="D191:F191"/>
    <mergeCell ref="D180:F180"/>
    <mergeCell ref="D181:F181"/>
    <mergeCell ref="D182:F182"/>
    <mergeCell ref="D183:F183"/>
    <mergeCell ref="D184:F184"/>
    <mergeCell ref="D185:F185"/>
    <mergeCell ref="D198:F198"/>
    <mergeCell ref="D199:F199"/>
    <mergeCell ref="D200:F200"/>
    <mergeCell ref="D201:F201"/>
    <mergeCell ref="D202:F202"/>
    <mergeCell ref="D203:F203"/>
    <mergeCell ref="D192:F192"/>
    <mergeCell ref="D193:F193"/>
    <mergeCell ref="D194:F194"/>
    <mergeCell ref="D195:F195"/>
    <mergeCell ref="D196:F196"/>
    <mergeCell ref="D197:F197"/>
    <mergeCell ref="D210:F210"/>
    <mergeCell ref="D211:F211"/>
    <mergeCell ref="D212:F212"/>
    <mergeCell ref="D213:F213"/>
    <mergeCell ref="D214:F214"/>
    <mergeCell ref="D215:F215"/>
    <mergeCell ref="D204:F204"/>
    <mergeCell ref="D205:F205"/>
    <mergeCell ref="D206:F206"/>
    <mergeCell ref="D207:F207"/>
    <mergeCell ref="D208:F208"/>
    <mergeCell ref="D209:F209"/>
    <mergeCell ref="D222:F222"/>
    <mergeCell ref="D223:F223"/>
    <mergeCell ref="D224:F224"/>
    <mergeCell ref="D225:F225"/>
    <mergeCell ref="D226:F226"/>
    <mergeCell ref="D227:F227"/>
    <mergeCell ref="D216:F216"/>
    <mergeCell ref="D217:F217"/>
    <mergeCell ref="D218:F218"/>
    <mergeCell ref="D219:F219"/>
    <mergeCell ref="D220:F220"/>
    <mergeCell ref="D221:F221"/>
    <mergeCell ref="D234:F234"/>
    <mergeCell ref="D235:F235"/>
    <mergeCell ref="D236:F236"/>
    <mergeCell ref="D237:F237"/>
    <mergeCell ref="D238:F238"/>
    <mergeCell ref="D239:F239"/>
    <mergeCell ref="D228:F228"/>
    <mergeCell ref="D229:F229"/>
    <mergeCell ref="D230:F230"/>
    <mergeCell ref="D231:F231"/>
    <mergeCell ref="D232:F232"/>
    <mergeCell ref="D233:F233"/>
    <mergeCell ref="D246:F246"/>
    <mergeCell ref="D247:F247"/>
    <mergeCell ref="D248:F248"/>
    <mergeCell ref="D249:F249"/>
    <mergeCell ref="D250:F250"/>
    <mergeCell ref="D251:F251"/>
    <mergeCell ref="D240:F240"/>
    <mergeCell ref="D241:F241"/>
    <mergeCell ref="D242:F242"/>
    <mergeCell ref="D243:F243"/>
    <mergeCell ref="D244:F244"/>
    <mergeCell ref="D245:F245"/>
    <mergeCell ref="D258:F258"/>
    <mergeCell ref="D259:F259"/>
    <mergeCell ref="D260:F260"/>
    <mergeCell ref="D261:F261"/>
    <mergeCell ref="D252:F252"/>
    <mergeCell ref="D253:F253"/>
    <mergeCell ref="D254:F254"/>
    <mergeCell ref="D255:F255"/>
    <mergeCell ref="D256:F256"/>
    <mergeCell ref="D257:F257"/>
    <mergeCell ref="D262:F262"/>
    <mergeCell ref="D263:F263"/>
    <mergeCell ref="D282:F282"/>
    <mergeCell ref="D276:F276"/>
    <mergeCell ref="D277:F277"/>
    <mergeCell ref="D278:F278"/>
    <mergeCell ref="D279:F279"/>
    <mergeCell ref="D280:F280"/>
    <mergeCell ref="D281:F281"/>
    <mergeCell ref="D270:F270"/>
    <mergeCell ref="D271:F271"/>
    <mergeCell ref="D272:F272"/>
    <mergeCell ref="D273:F273"/>
    <mergeCell ref="D274:F274"/>
    <mergeCell ref="D275:F275"/>
    <mergeCell ref="D264:F264"/>
    <mergeCell ref="D265:F265"/>
    <mergeCell ref="D266:F266"/>
    <mergeCell ref="D267:F267"/>
    <mergeCell ref="D268:F268"/>
    <mergeCell ref="D269:F26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02102-43EE-44B0-A01F-149B7A99B6F7}">
  <dimension ref="B1:R99"/>
  <sheetViews>
    <sheetView topLeftCell="A51" zoomScale="140" zoomScaleNormal="140" workbookViewId="0">
      <selection activeCell="B52" sqref="B52:B67"/>
    </sheetView>
  </sheetViews>
  <sheetFormatPr defaultColWidth="9.140625" defaultRowHeight="14.25" customHeight="1"/>
  <cols>
    <col min="1" max="1" width="9.140625" style="52"/>
    <col min="2" max="2" width="41.42578125" style="52" customWidth="1"/>
    <col min="3" max="3" width="46.7109375" style="52" customWidth="1"/>
    <col min="4" max="7" width="4.42578125" style="52" customWidth="1"/>
    <col min="8" max="8" width="7.42578125" style="52" customWidth="1"/>
    <col min="9" max="10" width="32.42578125" style="52" customWidth="1"/>
    <col min="11" max="11" width="17.140625" style="52" customWidth="1"/>
    <col min="12" max="12" width="12.42578125" style="332" customWidth="1"/>
    <col min="13" max="13" width="13.7109375" style="332" customWidth="1"/>
    <col min="14" max="14" width="14.42578125" style="332" customWidth="1"/>
    <col min="15" max="15" width="11.140625" style="52" bestFit="1" customWidth="1"/>
    <col min="16" max="16" width="11.42578125" style="52" bestFit="1" customWidth="1"/>
    <col min="17" max="17" width="11.140625" style="52" bestFit="1" customWidth="1"/>
    <col min="18" max="16384" width="9.140625" style="52"/>
  </cols>
  <sheetData>
    <row r="1" spans="2:15" ht="14.25" customHeight="1">
      <c r="O1" s="406"/>
    </row>
    <row r="2" spans="2:15" ht="21">
      <c r="B2" s="362" t="s">
        <v>3087</v>
      </c>
      <c r="C2" s="51"/>
      <c r="D2" s="51"/>
      <c r="E2" s="51"/>
      <c r="F2" s="51"/>
      <c r="G2" s="51"/>
      <c r="H2" s="51"/>
      <c r="I2" s="51"/>
      <c r="J2" s="51"/>
      <c r="K2" s="51"/>
      <c r="L2" s="51"/>
      <c r="M2" s="51"/>
      <c r="O2" s="406"/>
    </row>
    <row r="3" spans="2:15" ht="21">
      <c r="B3" s="362" t="s">
        <v>3088</v>
      </c>
      <c r="C3" s="51"/>
      <c r="D3" s="51"/>
      <c r="E3" s="51"/>
      <c r="F3" s="51"/>
      <c r="G3" s="51"/>
      <c r="H3" s="51"/>
      <c r="I3" s="51"/>
      <c r="J3" s="51"/>
      <c r="K3" s="51"/>
      <c r="L3" s="51"/>
      <c r="M3" s="51"/>
      <c r="O3" s="406"/>
    </row>
    <row r="4" spans="2:15" ht="21">
      <c r="B4" s="53" t="s">
        <v>3089</v>
      </c>
      <c r="C4" s="51"/>
      <c r="D4" s="51"/>
      <c r="E4" s="51"/>
      <c r="F4" s="51"/>
      <c r="G4" s="51"/>
      <c r="H4" s="51"/>
      <c r="I4" s="51"/>
      <c r="J4" s="51"/>
      <c r="K4" s="51"/>
      <c r="O4" s="406"/>
    </row>
    <row r="5" spans="2:15" ht="21">
      <c r="B5" s="53" t="s">
        <v>3090</v>
      </c>
      <c r="C5" s="51"/>
      <c r="D5" s="51"/>
      <c r="E5" s="51"/>
      <c r="F5" s="51"/>
      <c r="G5" s="51"/>
      <c r="H5" s="51"/>
      <c r="I5" s="51"/>
      <c r="J5" s="51"/>
      <c r="K5" s="51"/>
      <c r="O5" s="406"/>
    </row>
    <row r="6" spans="2:15" ht="21">
      <c r="B6" s="53" t="s">
        <v>3091</v>
      </c>
      <c r="C6" s="51"/>
      <c r="D6" s="51"/>
      <c r="E6" s="51"/>
      <c r="F6" s="51"/>
      <c r="G6" s="51"/>
      <c r="H6" s="51"/>
      <c r="I6" s="51"/>
      <c r="J6" s="51"/>
      <c r="K6" s="51"/>
      <c r="O6" s="406"/>
    </row>
    <row r="7" spans="2:15" ht="14.1">
      <c r="B7" s="462"/>
      <c r="C7" s="463" t="s">
        <v>3092</v>
      </c>
      <c r="D7" s="464" t="s">
        <v>3093</v>
      </c>
      <c r="E7" s="464"/>
      <c r="F7" s="464"/>
      <c r="G7" s="464"/>
      <c r="H7" s="465" t="s">
        <v>3094</v>
      </c>
      <c r="I7" s="464"/>
      <c r="J7" s="464"/>
      <c r="K7" s="464"/>
      <c r="L7" s="464"/>
      <c r="M7" s="464"/>
      <c r="N7" s="464"/>
      <c r="O7" s="406"/>
    </row>
    <row r="8" spans="2:15" ht="14.1">
      <c r="B8" s="462"/>
      <c r="C8" s="463"/>
      <c r="D8" s="466" t="s">
        <v>3095</v>
      </c>
      <c r="E8" s="466" t="s">
        <v>3096</v>
      </c>
      <c r="F8" s="466" t="s">
        <v>3097</v>
      </c>
      <c r="G8" s="466" t="s">
        <v>3098</v>
      </c>
      <c r="H8" s="465"/>
      <c r="I8" s="464" t="s">
        <v>3099</v>
      </c>
      <c r="J8" s="464" t="s">
        <v>3100</v>
      </c>
      <c r="K8" s="467" t="s">
        <v>3101</v>
      </c>
      <c r="L8" s="464">
        <v>2026</v>
      </c>
      <c r="M8" s="464">
        <v>2027</v>
      </c>
      <c r="N8" s="461" t="s">
        <v>3102</v>
      </c>
      <c r="O8" s="406"/>
    </row>
    <row r="9" spans="2:15" ht="14.1">
      <c r="B9" s="462"/>
      <c r="C9" s="463"/>
      <c r="D9" s="466"/>
      <c r="E9" s="466"/>
      <c r="F9" s="466"/>
      <c r="G9" s="466"/>
      <c r="H9" s="465"/>
      <c r="I9" s="464"/>
      <c r="J9" s="464"/>
      <c r="K9" s="468"/>
      <c r="L9" s="464"/>
      <c r="M9" s="464"/>
      <c r="N9" s="461"/>
      <c r="O9" s="406"/>
    </row>
    <row r="10" spans="2:15" ht="14.1">
      <c r="B10" s="462"/>
      <c r="C10" s="463"/>
      <c r="D10" s="466"/>
      <c r="E10" s="466"/>
      <c r="F10" s="466"/>
      <c r="G10" s="466"/>
      <c r="H10" s="465"/>
      <c r="I10" s="464"/>
      <c r="J10" s="464"/>
      <c r="K10" s="469"/>
      <c r="L10" s="464"/>
      <c r="M10" s="464"/>
      <c r="N10" s="461"/>
      <c r="O10" s="406"/>
    </row>
    <row r="11" spans="2:15" ht="14.1">
      <c r="B11" s="470" t="s">
        <v>3103</v>
      </c>
      <c r="C11" s="471"/>
      <c r="D11" s="471"/>
      <c r="E11" s="471"/>
      <c r="F11" s="471"/>
      <c r="G11" s="471"/>
      <c r="H11" s="471"/>
      <c r="I11" s="471"/>
      <c r="J11" s="471"/>
      <c r="K11" s="471"/>
      <c r="L11" s="471"/>
      <c r="M11" s="471"/>
      <c r="N11" s="472"/>
      <c r="O11" s="406"/>
    </row>
    <row r="12" spans="2:15" s="54" customFormat="1" ht="14.25" customHeight="1">
      <c r="B12" s="473" t="s">
        <v>3104</v>
      </c>
      <c r="C12" s="474"/>
      <c r="D12" s="474"/>
      <c r="E12" s="474"/>
      <c r="F12" s="474"/>
      <c r="G12" s="474"/>
      <c r="H12" s="473"/>
      <c r="I12" s="473"/>
      <c r="J12" s="474"/>
      <c r="K12" s="473"/>
      <c r="L12" s="473"/>
      <c r="M12" s="473"/>
      <c r="N12" s="473"/>
      <c r="O12" s="407"/>
    </row>
    <row r="13" spans="2:15" s="55" customFormat="1" ht="23.1" customHeight="1">
      <c r="B13" s="459" t="s">
        <v>3105</v>
      </c>
      <c r="C13" s="475" t="s">
        <v>3106</v>
      </c>
      <c r="D13" s="460"/>
      <c r="E13" s="460"/>
      <c r="F13" s="460"/>
      <c r="G13" s="460"/>
      <c r="H13" s="230" t="s">
        <v>3084</v>
      </c>
      <c r="I13" s="233" t="s">
        <v>1819</v>
      </c>
      <c r="J13" s="243">
        <v>72600</v>
      </c>
      <c r="K13" s="300">
        <v>47003</v>
      </c>
      <c r="L13" s="409">
        <v>1000000</v>
      </c>
      <c r="M13" s="409">
        <v>300000</v>
      </c>
      <c r="N13" s="409">
        <f>L13+M13</f>
        <v>1300000</v>
      </c>
      <c r="O13" s="366"/>
    </row>
    <row r="14" spans="2:15" s="55" customFormat="1" ht="23.1" customHeight="1">
      <c r="B14" s="459"/>
      <c r="C14" s="475"/>
      <c r="D14" s="460"/>
      <c r="E14" s="460"/>
      <c r="F14" s="460"/>
      <c r="G14" s="460"/>
      <c r="H14" s="230" t="s">
        <v>3084</v>
      </c>
      <c r="I14" s="233" t="s">
        <v>1635</v>
      </c>
      <c r="J14" s="243">
        <v>72100</v>
      </c>
      <c r="K14" s="300">
        <v>47003</v>
      </c>
      <c r="L14" s="409">
        <v>1000000</v>
      </c>
      <c r="M14" s="409">
        <v>0</v>
      </c>
      <c r="N14" s="409">
        <f>L14+M14</f>
        <v>1000000</v>
      </c>
      <c r="O14" s="366"/>
    </row>
    <row r="15" spans="2:15" s="55" customFormat="1" ht="12.95">
      <c r="B15" s="459"/>
      <c r="C15" s="476"/>
      <c r="D15" s="460"/>
      <c r="E15" s="460"/>
      <c r="F15" s="460"/>
      <c r="G15" s="460"/>
      <c r="H15" s="230" t="s">
        <v>3084</v>
      </c>
      <c r="I15" s="233" t="s">
        <v>1610</v>
      </c>
      <c r="J15" s="243">
        <v>71600</v>
      </c>
      <c r="K15" s="300">
        <v>47003</v>
      </c>
      <c r="L15" s="409">
        <v>20000</v>
      </c>
      <c r="M15" s="409">
        <v>20000</v>
      </c>
      <c r="N15" s="409">
        <f t="shared" ref="N15:N28" si="0">L15+M15</f>
        <v>40000</v>
      </c>
      <c r="O15" s="366"/>
    </row>
    <row r="16" spans="2:15" s="55" customFormat="1" ht="26.1">
      <c r="B16" s="459"/>
      <c r="C16" s="476"/>
      <c r="D16" s="460"/>
      <c r="E16" s="460"/>
      <c r="F16" s="460"/>
      <c r="G16" s="460"/>
      <c r="H16" s="404" t="s">
        <v>3084</v>
      </c>
      <c r="I16" s="405" t="s">
        <v>3107</v>
      </c>
      <c r="J16" s="243">
        <v>71400</v>
      </c>
      <c r="K16" s="300">
        <v>47003</v>
      </c>
      <c r="L16" s="409">
        <v>51909.593999999997</v>
      </c>
      <c r="M16" s="409">
        <v>51909.593999999997</v>
      </c>
      <c r="N16" s="409">
        <f t="shared" si="0"/>
        <v>103819.18799999999</v>
      </c>
      <c r="O16" s="408"/>
    </row>
    <row r="17" spans="2:18" s="55" customFormat="1" ht="26.1">
      <c r="B17" s="459"/>
      <c r="C17" s="476"/>
      <c r="D17" s="460"/>
      <c r="E17" s="460"/>
      <c r="F17" s="460"/>
      <c r="G17" s="460"/>
      <c r="H17" s="404" t="s">
        <v>3084</v>
      </c>
      <c r="I17" s="405" t="s">
        <v>3108</v>
      </c>
      <c r="J17" s="243">
        <v>71400</v>
      </c>
      <c r="K17" s="300">
        <v>47003</v>
      </c>
      <c r="L17" s="409">
        <v>28007.095802</v>
      </c>
      <c r="M17" s="409">
        <v>28007.095802</v>
      </c>
      <c r="N17" s="409">
        <f t="shared" si="0"/>
        <v>56014.191604</v>
      </c>
      <c r="O17" s="408"/>
    </row>
    <row r="18" spans="2:18" s="55" customFormat="1" ht="26.25" customHeight="1">
      <c r="B18" s="459"/>
      <c r="C18" s="476"/>
      <c r="D18" s="460"/>
      <c r="E18" s="460"/>
      <c r="F18" s="460"/>
      <c r="G18" s="460"/>
      <c r="H18" s="404" t="s">
        <v>3084</v>
      </c>
      <c r="I18" s="405" t="s">
        <v>1562</v>
      </c>
      <c r="J18" s="243">
        <v>71500</v>
      </c>
      <c r="K18" s="300">
        <v>47003</v>
      </c>
      <c r="L18" s="411">
        <v>28854.174999999996</v>
      </c>
      <c r="M18" s="411">
        <v>28854.174999999996</v>
      </c>
      <c r="N18" s="409">
        <f t="shared" si="0"/>
        <v>57708.349999999991</v>
      </c>
      <c r="O18" s="408"/>
      <c r="P18" s="422"/>
    </row>
    <row r="19" spans="2:18" s="55" customFormat="1" ht="26.25" customHeight="1">
      <c r="B19" s="459"/>
      <c r="C19" s="476"/>
      <c r="D19" s="460"/>
      <c r="E19" s="460"/>
      <c r="F19" s="460"/>
      <c r="G19" s="460"/>
      <c r="H19" s="404" t="s">
        <v>3084</v>
      </c>
      <c r="I19" s="405" t="s">
        <v>1541</v>
      </c>
      <c r="J19" s="243">
        <v>71300</v>
      </c>
      <c r="K19" s="300">
        <v>47003</v>
      </c>
      <c r="L19" s="411">
        <v>38472.230000000003</v>
      </c>
      <c r="M19" s="411">
        <v>38472.230000000003</v>
      </c>
      <c r="N19" s="409">
        <f>L19+M19</f>
        <v>76944.460000000006</v>
      </c>
      <c r="O19" s="408"/>
      <c r="P19" s="422"/>
    </row>
    <row r="20" spans="2:18" s="55" customFormat="1" ht="12.95">
      <c r="B20" s="459"/>
      <c r="C20" s="476"/>
      <c r="D20" s="460"/>
      <c r="E20" s="460"/>
      <c r="F20" s="460"/>
      <c r="G20" s="460"/>
      <c r="H20" s="230" t="s">
        <v>3084</v>
      </c>
      <c r="I20" s="233" t="s">
        <v>3109</v>
      </c>
      <c r="J20" s="243">
        <v>73400</v>
      </c>
      <c r="K20" s="300">
        <v>47003</v>
      </c>
      <c r="L20" s="409">
        <v>30000</v>
      </c>
      <c r="M20" s="409">
        <v>30000</v>
      </c>
      <c r="N20" s="409">
        <f t="shared" si="0"/>
        <v>60000</v>
      </c>
      <c r="O20" s="366"/>
      <c r="P20" s="365"/>
      <c r="R20" s="365"/>
    </row>
    <row r="21" spans="2:18" s="55" customFormat="1" ht="12.95">
      <c r="B21" s="459"/>
      <c r="C21" s="476"/>
      <c r="D21" s="460"/>
      <c r="E21" s="460"/>
      <c r="F21" s="460"/>
      <c r="G21" s="460"/>
      <c r="H21" s="230" t="s">
        <v>3084</v>
      </c>
      <c r="I21" s="233" t="s">
        <v>2006</v>
      </c>
      <c r="J21" s="243">
        <v>74100</v>
      </c>
      <c r="K21" s="300">
        <v>47003</v>
      </c>
      <c r="L21" s="409">
        <v>9500</v>
      </c>
      <c r="M21" s="409">
        <v>11500</v>
      </c>
      <c r="N21" s="409">
        <f t="shared" si="0"/>
        <v>21000</v>
      </c>
      <c r="O21" s="366"/>
      <c r="P21" s="365"/>
      <c r="R21" s="365"/>
    </row>
    <row r="22" spans="2:18" s="55" customFormat="1" ht="41.1" customHeight="1">
      <c r="B22" s="459"/>
      <c r="C22" s="476"/>
      <c r="D22" s="460"/>
      <c r="E22" s="460"/>
      <c r="F22" s="460"/>
      <c r="G22" s="460"/>
      <c r="H22" s="230" t="s">
        <v>3084</v>
      </c>
      <c r="I22" s="233" t="s">
        <v>3110</v>
      </c>
      <c r="J22" s="243">
        <v>75100</v>
      </c>
      <c r="K22" s="300">
        <v>47003</v>
      </c>
      <c r="L22" s="409">
        <f>SUM(L13:L20)*0.08</f>
        <v>175779.44758415996</v>
      </c>
      <c r="M22" s="409">
        <f>SUM(M13:M20)*0.08</f>
        <v>39779.44758416</v>
      </c>
      <c r="N22" s="409">
        <f t="shared" si="0"/>
        <v>215558.89516831996</v>
      </c>
      <c r="O22" s="366"/>
    </row>
    <row r="23" spans="2:18" s="55" customFormat="1" ht="12">
      <c r="B23" s="358"/>
      <c r="C23" s="477" t="s">
        <v>3111</v>
      </c>
      <c r="D23" s="478"/>
      <c r="E23" s="478"/>
      <c r="F23" s="478"/>
      <c r="G23" s="478"/>
      <c r="H23" s="478"/>
      <c r="I23" s="478"/>
      <c r="J23" s="478"/>
      <c r="K23" s="479"/>
      <c r="L23" s="410">
        <f>SUM(L13:L22)</f>
        <v>2382522.5423861598</v>
      </c>
      <c r="M23" s="410">
        <f>SUM(M13:M22)</f>
        <v>548522.54238616</v>
      </c>
      <c r="N23" s="410">
        <f>SUM(N13:N22)</f>
        <v>2931045.08477232</v>
      </c>
      <c r="O23" s="366"/>
    </row>
    <row r="24" spans="2:18" s="55" customFormat="1" ht="12.75" customHeight="1">
      <c r="B24" s="459" t="s">
        <v>3112</v>
      </c>
      <c r="C24" s="480" t="s">
        <v>3113</v>
      </c>
      <c r="D24" s="460"/>
      <c r="E24" s="460"/>
      <c r="F24" s="460"/>
      <c r="G24" s="460"/>
      <c r="H24" s="230" t="s">
        <v>3084</v>
      </c>
      <c r="I24" s="233" t="s">
        <v>1819</v>
      </c>
      <c r="J24" s="243">
        <v>72600</v>
      </c>
      <c r="K24" s="301">
        <v>47003</v>
      </c>
      <c r="L24" s="409">
        <v>100000</v>
      </c>
      <c r="M24" s="409">
        <v>60000</v>
      </c>
      <c r="N24" s="409">
        <f t="shared" si="0"/>
        <v>160000</v>
      </c>
      <c r="O24" s="366"/>
    </row>
    <row r="25" spans="2:18" s="55" customFormat="1" ht="12.75" customHeight="1">
      <c r="B25" s="459"/>
      <c r="C25" s="481"/>
      <c r="D25" s="460"/>
      <c r="E25" s="460"/>
      <c r="F25" s="460"/>
      <c r="G25" s="460"/>
      <c r="H25" s="230" t="s">
        <v>3084</v>
      </c>
      <c r="I25" s="231" t="s">
        <v>1610</v>
      </c>
      <c r="J25" s="243">
        <v>71600</v>
      </c>
      <c r="K25" s="301">
        <v>47003</v>
      </c>
      <c r="L25" s="409">
        <v>10000</v>
      </c>
      <c r="M25" s="409">
        <v>9543</v>
      </c>
      <c r="N25" s="409">
        <f t="shared" si="0"/>
        <v>19543</v>
      </c>
      <c r="O25" s="366"/>
    </row>
    <row r="26" spans="2:18" s="55" customFormat="1" ht="26.25" customHeight="1">
      <c r="B26" s="459"/>
      <c r="C26" s="481"/>
      <c r="D26" s="460"/>
      <c r="E26" s="460"/>
      <c r="F26" s="460"/>
      <c r="G26" s="460"/>
      <c r="H26" s="404" t="s">
        <v>3084</v>
      </c>
      <c r="I26" s="405" t="s">
        <v>3108</v>
      </c>
      <c r="J26" s="243">
        <v>71400</v>
      </c>
      <c r="K26" s="300">
        <v>47003</v>
      </c>
      <c r="L26" s="409">
        <v>14003.547901</v>
      </c>
      <c r="M26" s="409">
        <v>14003.547901</v>
      </c>
      <c r="N26" s="409">
        <f t="shared" ref="N26" si="1">L26+M26</f>
        <v>28007.095802</v>
      </c>
      <c r="O26" s="408"/>
      <c r="P26" s="375"/>
    </row>
    <row r="27" spans="2:18" s="55" customFormat="1" ht="12.95">
      <c r="B27" s="459"/>
      <c r="C27" s="481"/>
      <c r="D27" s="460"/>
      <c r="E27" s="460"/>
      <c r="F27" s="460"/>
      <c r="G27" s="460"/>
      <c r="H27" s="230" t="s">
        <v>3084</v>
      </c>
      <c r="I27" s="233" t="s">
        <v>3109</v>
      </c>
      <c r="J27" s="243">
        <v>73400</v>
      </c>
      <c r="K27" s="301">
        <v>47003</v>
      </c>
      <c r="L27" s="409">
        <v>30000</v>
      </c>
      <c r="M27" s="409">
        <v>30000</v>
      </c>
      <c r="N27" s="409">
        <f t="shared" si="0"/>
        <v>60000</v>
      </c>
      <c r="O27" s="366"/>
    </row>
    <row r="28" spans="2:18" s="55" customFormat="1" ht="35.25" customHeight="1">
      <c r="B28" s="459"/>
      <c r="C28" s="481"/>
      <c r="D28" s="460"/>
      <c r="E28" s="460"/>
      <c r="F28" s="460"/>
      <c r="G28" s="460"/>
      <c r="H28" s="230" t="s">
        <v>3084</v>
      </c>
      <c r="I28" s="234" t="s">
        <v>3110</v>
      </c>
      <c r="J28" s="302">
        <v>75100</v>
      </c>
      <c r="K28" s="301">
        <v>47003</v>
      </c>
      <c r="L28" s="409">
        <f>SUM(L24:L27)*0.08</f>
        <v>12320.283832080002</v>
      </c>
      <c r="M28" s="409">
        <f>SUM(M24:M27)*0.08</f>
        <v>9083.7238320800006</v>
      </c>
      <c r="N28" s="409">
        <f t="shared" si="0"/>
        <v>21404.007664160003</v>
      </c>
      <c r="O28" s="366"/>
      <c r="P28" s="368"/>
    </row>
    <row r="29" spans="2:18" s="55" customFormat="1" ht="12">
      <c r="B29" s="358"/>
      <c r="C29" s="486" t="s">
        <v>3114</v>
      </c>
      <c r="D29" s="486"/>
      <c r="E29" s="486"/>
      <c r="F29" s="486"/>
      <c r="G29" s="486"/>
      <c r="H29" s="482"/>
      <c r="I29" s="482"/>
      <c r="J29" s="486"/>
      <c r="K29" s="486"/>
      <c r="L29" s="412">
        <f>SUM(L24:L28)</f>
        <v>166323.83173308001</v>
      </c>
      <c r="M29" s="413">
        <f>SUM(M24:M28)</f>
        <v>122630.27173307999</v>
      </c>
      <c r="N29" s="413">
        <f>SUM(N24:N28)</f>
        <v>288954.10346616001</v>
      </c>
      <c r="O29" s="366"/>
    </row>
    <row r="30" spans="2:18" s="55" customFormat="1" ht="12">
      <c r="B30" s="359"/>
      <c r="C30" s="482" t="s">
        <v>3115</v>
      </c>
      <c r="D30" s="482"/>
      <c r="E30" s="482"/>
      <c r="F30" s="482"/>
      <c r="G30" s="482"/>
      <c r="H30" s="482"/>
      <c r="I30" s="482"/>
      <c r="J30" s="482"/>
      <c r="K30" s="482"/>
      <c r="L30" s="412">
        <f>L29+L23</f>
        <v>2548846.3741192399</v>
      </c>
      <c r="M30" s="413">
        <f>M29+M23</f>
        <v>671152.81411924004</v>
      </c>
      <c r="N30" s="413">
        <f>N29+N23</f>
        <v>3219999.1882384801</v>
      </c>
      <c r="O30" s="366"/>
      <c r="P30" s="368"/>
    </row>
    <row r="31" spans="2:18" s="55" customFormat="1" ht="12">
      <c r="B31" s="483" t="s">
        <v>3116</v>
      </c>
      <c r="C31" s="484"/>
      <c r="D31" s="484"/>
      <c r="E31" s="484"/>
      <c r="F31" s="484"/>
      <c r="G31" s="484"/>
      <c r="H31" s="484"/>
      <c r="I31" s="484"/>
      <c r="J31" s="484"/>
      <c r="K31" s="485"/>
      <c r="L31" s="414"/>
      <c r="M31" s="415"/>
      <c r="N31" s="415">
        <v>4</v>
      </c>
      <c r="O31" s="366"/>
      <c r="P31" s="368"/>
    </row>
    <row r="32" spans="2:18" s="54" customFormat="1" ht="14.25" customHeight="1">
      <c r="B32" s="473" t="s">
        <v>3117</v>
      </c>
      <c r="C32" s="474"/>
      <c r="D32" s="474"/>
      <c r="E32" s="474"/>
      <c r="F32" s="474"/>
      <c r="G32" s="474"/>
      <c r="H32" s="473"/>
      <c r="I32" s="473"/>
      <c r="J32" s="473"/>
      <c r="K32" s="473"/>
      <c r="L32" s="473"/>
      <c r="M32" s="473"/>
      <c r="N32" s="473"/>
      <c r="O32" s="407"/>
    </row>
    <row r="33" spans="2:18" s="55" customFormat="1" ht="29.1" customHeight="1">
      <c r="B33" s="490" t="s">
        <v>3118</v>
      </c>
      <c r="C33" s="487" t="s">
        <v>3119</v>
      </c>
      <c r="D33" s="460"/>
      <c r="E33" s="460"/>
      <c r="F33" s="460"/>
      <c r="G33" s="460"/>
      <c r="H33" s="230" t="s">
        <v>3084</v>
      </c>
      <c r="I33" s="405" t="s">
        <v>1819</v>
      </c>
      <c r="J33" s="243">
        <v>72600</v>
      </c>
      <c r="K33" s="301">
        <v>47003</v>
      </c>
      <c r="L33" s="333">
        <v>100000</v>
      </c>
      <c r="M33" s="333">
        <v>28000</v>
      </c>
      <c r="N33" s="333">
        <f>L33+M33</f>
        <v>128000</v>
      </c>
      <c r="O33" s="366"/>
    </row>
    <row r="34" spans="2:18" s="55" customFormat="1" ht="29.1" customHeight="1">
      <c r="B34" s="491"/>
      <c r="C34" s="487"/>
      <c r="D34" s="460"/>
      <c r="E34" s="460"/>
      <c r="F34" s="460"/>
      <c r="G34" s="460"/>
      <c r="H34" s="230" t="s">
        <v>3084</v>
      </c>
      <c r="I34" s="233" t="s">
        <v>1635</v>
      </c>
      <c r="J34" s="243">
        <v>72100</v>
      </c>
      <c r="K34" s="300">
        <v>47003</v>
      </c>
      <c r="L34" s="409">
        <v>72000</v>
      </c>
      <c r="M34" s="409">
        <v>0</v>
      </c>
      <c r="N34" s="409">
        <f>L34+M34</f>
        <v>72000</v>
      </c>
      <c r="O34" s="366"/>
    </row>
    <row r="35" spans="2:18" s="55" customFormat="1" ht="16.350000000000001" customHeight="1">
      <c r="B35" s="491"/>
      <c r="C35" s="488"/>
      <c r="D35" s="460"/>
      <c r="E35" s="460"/>
      <c r="F35" s="460"/>
      <c r="G35" s="460"/>
      <c r="H35" s="230" t="s">
        <v>3084</v>
      </c>
      <c r="I35" s="405" t="s">
        <v>1610</v>
      </c>
      <c r="J35" s="243">
        <v>71600</v>
      </c>
      <c r="K35" s="301">
        <v>47003</v>
      </c>
      <c r="L35" s="333">
        <v>5000</v>
      </c>
      <c r="M35" s="333">
        <v>5000</v>
      </c>
      <c r="N35" s="333">
        <f t="shared" ref="N35:N37" si="2">L35+M35</f>
        <v>10000</v>
      </c>
      <c r="O35" s="366"/>
    </row>
    <row r="36" spans="2:18" s="55" customFormat="1" ht="19.350000000000001" customHeight="1">
      <c r="B36" s="491"/>
      <c r="C36" s="488"/>
      <c r="D36" s="460"/>
      <c r="E36" s="460"/>
      <c r="F36" s="460"/>
      <c r="G36" s="460"/>
      <c r="H36" s="230" t="s">
        <v>3084</v>
      </c>
      <c r="I36" s="405" t="s">
        <v>1562</v>
      </c>
      <c r="J36" s="243">
        <v>71500</v>
      </c>
      <c r="K36" s="301">
        <v>47003</v>
      </c>
      <c r="L36" s="333">
        <v>38472.230000000003</v>
      </c>
      <c r="M36" s="333">
        <v>38472.230000000003</v>
      </c>
      <c r="N36" s="333">
        <f t="shared" si="2"/>
        <v>76944.460000000006</v>
      </c>
      <c r="O36" s="408"/>
      <c r="P36" s="375"/>
    </row>
    <row r="37" spans="2:18" s="55" customFormat="1" ht="16.350000000000001" customHeight="1">
      <c r="B37" s="491"/>
      <c r="C37" s="488"/>
      <c r="D37" s="460"/>
      <c r="E37" s="460"/>
      <c r="F37" s="460"/>
      <c r="G37" s="460"/>
      <c r="H37" s="230" t="s">
        <v>3084</v>
      </c>
      <c r="I37" s="405" t="s">
        <v>3109</v>
      </c>
      <c r="J37" s="243">
        <v>73400</v>
      </c>
      <c r="K37" s="301">
        <v>47003</v>
      </c>
      <c r="L37" s="333">
        <v>15000</v>
      </c>
      <c r="M37" s="333">
        <v>15000</v>
      </c>
      <c r="N37" s="333">
        <f t="shared" si="2"/>
        <v>30000</v>
      </c>
      <c r="O37" s="366"/>
    </row>
    <row r="38" spans="2:18" s="55" customFormat="1" ht="39" customHeight="1">
      <c r="B38" s="491"/>
      <c r="C38" s="488"/>
      <c r="D38" s="460"/>
      <c r="E38" s="460"/>
      <c r="F38" s="460"/>
      <c r="G38" s="460"/>
      <c r="H38" s="230" t="s">
        <v>3084</v>
      </c>
      <c r="I38" s="405" t="s">
        <v>3110</v>
      </c>
      <c r="J38" s="298">
        <v>75100</v>
      </c>
      <c r="K38" s="301">
        <v>47003</v>
      </c>
      <c r="L38" s="333">
        <f>SUM(L33:L37)*0.08</f>
        <v>18437.778400000003</v>
      </c>
      <c r="M38" s="333">
        <f>SUM(M33:M37)*0.08</f>
        <v>6917.7784000000011</v>
      </c>
      <c r="N38" s="333">
        <f t="shared" ref="N38" si="3">L38+M38</f>
        <v>25355.556800000006</v>
      </c>
      <c r="O38" s="366"/>
    </row>
    <row r="39" spans="2:18" s="55" customFormat="1" ht="12">
      <c r="B39" s="360"/>
      <c r="C39" s="477" t="s">
        <v>3120</v>
      </c>
      <c r="D39" s="478"/>
      <c r="E39" s="478"/>
      <c r="F39" s="478"/>
      <c r="G39" s="478"/>
      <c r="H39" s="478"/>
      <c r="I39" s="478"/>
      <c r="J39" s="478"/>
      <c r="K39" s="479"/>
      <c r="L39" s="334">
        <f>SUM(L33:L38)</f>
        <v>248910.00840000002</v>
      </c>
      <c r="M39" s="334">
        <f>SUM(M33:M38)</f>
        <v>93390.008400000006</v>
      </c>
      <c r="N39" s="334">
        <f>SUM(N33:N38)</f>
        <v>342300.01680000004</v>
      </c>
      <c r="O39" s="366"/>
      <c r="P39" s="366"/>
      <c r="Q39" s="366"/>
      <c r="R39" s="367"/>
    </row>
    <row r="40" spans="2:18" s="55" customFormat="1" ht="12.75" customHeight="1">
      <c r="B40" s="491" t="s">
        <v>3121</v>
      </c>
      <c r="C40" s="489" t="s">
        <v>3122</v>
      </c>
      <c r="D40" s="460"/>
      <c r="E40" s="460"/>
      <c r="F40" s="460"/>
      <c r="G40" s="460"/>
      <c r="H40" s="230" t="s">
        <v>3084</v>
      </c>
      <c r="I40" s="231" t="s">
        <v>1819</v>
      </c>
      <c r="J40" s="299">
        <v>72600</v>
      </c>
      <c r="K40" s="301">
        <v>47003</v>
      </c>
      <c r="L40" s="333">
        <v>450000</v>
      </c>
      <c r="M40" s="333">
        <v>150000</v>
      </c>
      <c r="N40" s="333">
        <f>L40+M40</f>
        <v>600000</v>
      </c>
      <c r="O40" s="366"/>
    </row>
    <row r="41" spans="2:18" s="55" customFormat="1" ht="12.75" customHeight="1">
      <c r="B41" s="491"/>
      <c r="C41" s="489"/>
      <c r="D41" s="460"/>
      <c r="E41" s="460"/>
      <c r="F41" s="460"/>
      <c r="G41" s="460"/>
      <c r="H41" s="230" t="s">
        <v>3084</v>
      </c>
      <c r="I41" s="233" t="s">
        <v>1635</v>
      </c>
      <c r="J41" s="243">
        <v>72100</v>
      </c>
      <c r="K41" s="300">
        <v>47003</v>
      </c>
      <c r="L41" s="409">
        <v>200000</v>
      </c>
      <c r="M41" s="409">
        <v>0</v>
      </c>
      <c r="N41" s="409">
        <f>L41+M41</f>
        <v>200000</v>
      </c>
      <c r="O41" s="366"/>
    </row>
    <row r="42" spans="2:18" s="55" customFormat="1" ht="22.5" customHeight="1">
      <c r="B42" s="491"/>
      <c r="C42" s="489"/>
      <c r="D42" s="460"/>
      <c r="E42" s="460"/>
      <c r="F42" s="460"/>
      <c r="G42" s="460"/>
      <c r="H42" s="230" t="s">
        <v>3084</v>
      </c>
      <c r="I42" s="418" t="s">
        <v>1610</v>
      </c>
      <c r="J42" s="235">
        <v>71600</v>
      </c>
      <c r="K42" s="301">
        <v>47003</v>
      </c>
      <c r="L42" s="333">
        <v>15000</v>
      </c>
      <c r="M42" s="333">
        <v>15674</v>
      </c>
      <c r="N42" s="333">
        <f t="shared" ref="N42:N46" si="4">L42+M42</f>
        <v>30674</v>
      </c>
      <c r="O42" s="366"/>
      <c r="P42" s="333"/>
    </row>
    <row r="43" spans="2:18" s="55" customFormat="1" ht="19.350000000000001" customHeight="1">
      <c r="B43" s="491"/>
      <c r="C43" s="489"/>
      <c r="D43" s="460"/>
      <c r="E43" s="460"/>
      <c r="F43" s="460"/>
      <c r="G43" s="460"/>
      <c r="H43" s="230" t="s">
        <v>3084</v>
      </c>
      <c r="I43" s="405" t="s">
        <v>1562</v>
      </c>
      <c r="J43" s="243">
        <v>71500</v>
      </c>
      <c r="K43" s="301">
        <v>47003</v>
      </c>
      <c r="L43" s="333">
        <v>23012</v>
      </c>
      <c r="M43" s="333">
        <v>23012</v>
      </c>
      <c r="N43" s="333">
        <f t="shared" si="4"/>
        <v>46024</v>
      </c>
      <c r="O43" s="408"/>
      <c r="P43" s="375"/>
    </row>
    <row r="44" spans="2:18" s="55" customFormat="1" ht="19.350000000000001" customHeight="1">
      <c r="B44" s="491"/>
      <c r="C44" s="489"/>
      <c r="D44" s="460"/>
      <c r="E44" s="460"/>
      <c r="F44" s="460"/>
      <c r="G44" s="460"/>
      <c r="H44" s="230" t="s">
        <v>3084</v>
      </c>
      <c r="I44" s="405" t="s">
        <v>3123</v>
      </c>
      <c r="J44" s="243">
        <v>67400</v>
      </c>
      <c r="K44" s="301">
        <v>47003</v>
      </c>
      <c r="L44" s="333">
        <v>17558.556281000001</v>
      </c>
      <c r="M44" s="333">
        <v>17558.556281000001</v>
      </c>
      <c r="N44" s="333">
        <v>35117.112562000002</v>
      </c>
      <c r="O44" s="408"/>
      <c r="P44" s="420"/>
    </row>
    <row r="45" spans="2:18" s="55" customFormat="1" ht="21" customHeight="1">
      <c r="B45" s="491"/>
      <c r="C45" s="489"/>
      <c r="D45" s="460"/>
      <c r="E45" s="460"/>
      <c r="F45" s="460"/>
      <c r="G45" s="460"/>
      <c r="H45" s="230" t="s">
        <v>3084</v>
      </c>
      <c r="I45" s="405" t="s">
        <v>2006</v>
      </c>
      <c r="J45" s="243">
        <v>74100</v>
      </c>
      <c r="K45" s="300">
        <v>47003</v>
      </c>
      <c r="L45" s="409">
        <f>9500/2</f>
        <v>4750</v>
      </c>
      <c r="M45" s="409">
        <f>11500/2</f>
        <v>5750</v>
      </c>
      <c r="N45" s="409">
        <f t="shared" ref="N45" si="5">L45+M45</f>
        <v>10500</v>
      </c>
      <c r="O45" s="366"/>
      <c r="R45" s="361"/>
    </row>
    <row r="46" spans="2:18" s="55" customFormat="1" ht="12.95">
      <c r="B46" s="491"/>
      <c r="C46" s="489"/>
      <c r="D46" s="460"/>
      <c r="E46" s="460"/>
      <c r="F46" s="460"/>
      <c r="G46" s="460"/>
      <c r="H46" s="230" t="s">
        <v>3084</v>
      </c>
      <c r="I46" s="233" t="s">
        <v>3109</v>
      </c>
      <c r="J46" s="243">
        <v>73400</v>
      </c>
      <c r="K46" s="301">
        <v>47003</v>
      </c>
      <c r="L46" s="333">
        <v>10000</v>
      </c>
      <c r="M46" s="333">
        <v>10000</v>
      </c>
      <c r="N46" s="333">
        <f t="shared" si="4"/>
        <v>20000</v>
      </c>
      <c r="O46" s="366"/>
    </row>
    <row r="47" spans="2:18" s="55" customFormat="1" ht="12.95">
      <c r="B47" s="491"/>
      <c r="C47" s="489"/>
      <c r="D47" s="460"/>
      <c r="E47" s="460"/>
      <c r="F47" s="460"/>
      <c r="G47" s="460"/>
      <c r="H47" s="230" t="s">
        <v>3084</v>
      </c>
      <c r="I47" s="234" t="s">
        <v>3110</v>
      </c>
      <c r="J47" s="236">
        <v>75100</v>
      </c>
      <c r="K47" s="301">
        <v>47003</v>
      </c>
      <c r="L47" s="333">
        <f>SUM(L40:L46)*0.08</f>
        <v>57625.644502480005</v>
      </c>
      <c r="M47" s="333">
        <f>SUM(M40:M46)*0.08</f>
        <v>17759.56450248</v>
      </c>
      <c r="N47" s="333">
        <f t="shared" ref="N47" si="6">L47+M47</f>
        <v>75385.209004960008</v>
      </c>
      <c r="O47" s="366"/>
    </row>
    <row r="48" spans="2:18" s="55" customFormat="1" ht="12">
      <c r="B48" s="491"/>
      <c r="C48" s="486" t="s">
        <v>3124</v>
      </c>
      <c r="D48" s="486"/>
      <c r="E48" s="486"/>
      <c r="F48" s="486"/>
      <c r="G48" s="486"/>
      <c r="H48" s="482"/>
      <c r="I48" s="482"/>
      <c r="J48" s="482"/>
      <c r="K48" s="482"/>
      <c r="L48" s="334">
        <f>SUM(L40:L47)</f>
        <v>777946.20078348008</v>
      </c>
      <c r="M48" s="336">
        <f>SUM(M40:M47)</f>
        <v>239754.12078348</v>
      </c>
      <c r="N48" s="336">
        <f>SUM(N40:N47)</f>
        <v>1017700.3215669601</v>
      </c>
      <c r="O48" s="366"/>
    </row>
    <row r="49" spans="2:16" s="55" customFormat="1" ht="12">
      <c r="B49" s="492"/>
      <c r="C49" s="482" t="s">
        <v>3125</v>
      </c>
      <c r="D49" s="482"/>
      <c r="E49" s="482"/>
      <c r="F49" s="482"/>
      <c r="G49" s="482"/>
      <c r="H49" s="482"/>
      <c r="I49" s="482"/>
      <c r="J49" s="482"/>
      <c r="K49" s="482"/>
      <c r="L49" s="335">
        <f>L48+L39</f>
        <v>1026856.2091834801</v>
      </c>
      <c r="M49" s="336">
        <f>M48+M39</f>
        <v>333144.12918347999</v>
      </c>
      <c r="N49" s="336">
        <f>N48+N39</f>
        <v>1360000.3383669602</v>
      </c>
      <c r="O49" s="366"/>
    </row>
    <row r="50" spans="2:16" s="55" customFormat="1" ht="12">
      <c r="B50" s="483" t="s">
        <v>3126</v>
      </c>
      <c r="C50" s="484"/>
      <c r="D50" s="484"/>
      <c r="E50" s="484"/>
      <c r="F50" s="484"/>
      <c r="G50" s="484"/>
      <c r="H50" s="484"/>
      <c r="I50" s="484"/>
      <c r="J50" s="484"/>
      <c r="K50" s="485"/>
      <c r="L50" s="337"/>
      <c r="M50" s="338"/>
      <c r="N50" s="338">
        <f>N49</f>
        <v>1360000.3383669602</v>
      </c>
      <c r="O50" s="366"/>
      <c r="P50" s="368"/>
    </row>
    <row r="51" spans="2:16" s="54" customFormat="1" ht="14.25" customHeight="1">
      <c r="B51" s="473" t="s">
        <v>3127</v>
      </c>
      <c r="C51" s="474"/>
      <c r="D51" s="474"/>
      <c r="E51" s="474"/>
      <c r="F51" s="474"/>
      <c r="G51" s="474"/>
      <c r="H51" s="473"/>
      <c r="I51" s="473"/>
      <c r="J51" s="473"/>
      <c r="K51" s="474"/>
      <c r="L51" s="473"/>
      <c r="M51" s="473"/>
      <c r="N51" s="473"/>
      <c r="O51" s="407"/>
    </row>
    <row r="52" spans="2:16" s="55" customFormat="1" ht="33.75" customHeight="1">
      <c r="B52" s="493" t="s">
        <v>3128</v>
      </c>
      <c r="C52" s="488" t="s">
        <v>3129</v>
      </c>
      <c r="D52" s="460"/>
      <c r="E52" s="460"/>
      <c r="F52" s="460"/>
      <c r="G52" s="460"/>
      <c r="H52" s="230" t="s">
        <v>3084</v>
      </c>
      <c r="I52" s="231" t="s">
        <v>1532</v>
      </c>
      <c r="J52" s="232">
        <v>71200</v>
      </c>
      <c r="K52" s="346">
        <v>47003</v>
      </c>
      <c r="L52" s="417">
        <v>25000</v>
      </c>
      <c r="M52" s="416">
        <v>25000</v>
      </c>
      <c r="N52" s="416">
        <f>SUM(L52:M52)</f>
        <v>50000</v>
      </c>
      <c r="O52" s="366"/>
    </row>
    <row r="53" spans="2:16" s="55" customFormat="1" ht="33.75" customHeight="1">
      <c r="B53" s="494"/>
      <c r="C53" s="488"/>
      <c r="D53" s="460"/>
      <c r="E53" s="460"/>
      <c r="F53" s="460"/>
      <c r="G53" s="460"/>
      <c r="H53" s="230" t="s">
        <v>3084</v>
      </c>
      <c r="I53" s="233" t="s">
        <v>1819</v>
      </c>
      <c r="J53" s="235">
        <v>72600</v>
      </c>
      <c r="K53" s="347">
        <v>47003</v>
      </c>
      <c r="L53" s="417">
        <v>160000</v>
      </c>
      <c r="M53" s="416">
        <v>79500</v>
      </c>
      <c r="N53" s="416">
        <f>SUM(L53:M53)</f>
        <v>239500</v>
      </c>
      <c r="O53" s="366"/>
    </row>
    <row r="54" spans="2:16" s="55" customFormat="1" ht="33.75" customHeight="1">
      <c r="B54" s="494"/>
      <c r="C54" s="488"/>
      <c r="D54" s="460"/>
      <c r="E54" s="460"/>
      <c r="F54" s="460"/>
      <c r="G54" s="460"/>
      <c r="H54" s="230" t="s">
        <v>3084</v>
      </c>
      <c r="I54" s="234" t="s">
        <v>3130</v>
      </c>
      <c r="J54" s="236">
        <v>71500</v>
      </c>
      <c r="K54" s="346">
        <v>47003</v>
      </c>
      <c r="L54" s="417">
        <v>19236.115000000002</v>
      </c>
      <c r="M54" s="417">
        <v>19236.115000000002</v>
      </c>
      <c r="N54" s="416">
        <f>SUM(L54:M54)</f>
        <v>38472.230000000003</v>
      </c>
      <c r="O54" s="366"/>
      <c r="P54" s="368"/>
    </row>
    <row r="55" spans="2:16" s="55" customFormat="1" ht="36.75" customHeight="1">
      <c r="B55" s="494"/>
      <c r="C55" s="488"/>
      <c r="D55" s="460"/>
      <c r="E55" s="460"/>
      <c r="F55" s="460"/>
      <c r="G55" s="460"/>
      <c r="H55" s="230" t="s">
        <v>3084</v>
      </c>
      <c r="I55" s="231" t="s">
        <v>1610</v>
      </c>
      <c r="J55" s="232">
        <v>71600</v>
      </c>
      <c r="K55" s="346">
        <v>47003</v>
      </c>
      <c r="L55" s="417">
        <v>5000</v>
      </c>
      <c r="M55" s="416">
        <v>5000</v>
      </c>
      <c r="N55" s="416">
        <f>SUM(L55:M55)</f>
        <v>10000</v>
      </c>
      <c r="O55" s="366"/>
    </row>
    <row r="56" spans="2:16" s="55" customFormat="1" ht="36.75" customHeight="1">
      <c r="B56" s="494"/>
      <c r="C56" s="488"/>
      <c r="D56" s="460"/>
      <c r="E56" s="460"/>
      <c r="F56" s="460"/>
      <c r="G56" s="460"/>
      <c r="H56" s="230" t="s">
        <v>3084</v>
      </c>
      <c r="I56" s="234" t="s">
        <v>2006</v>
      </c>
      <c r="J56" s="243">
        <v>74100</v>
      </c>
      <c r="K56" s="346">
        <v>47003</v>
      </c>
      <c r="L56" s="416">
        <f>9500/2</f>
        <v>4750</v>
      </c>
      <c r="M56" s="416">
        <f>11500/2</f>
        <v>5750</v>
      </c>
      <c r="N56" s="416">
        <f t="shared" ref="N56" si="7">L56+M56</f>
        <v>10500</v>
      </c>
      <c r="O56" s="366"/>
    </row>
    <row r="57" spans="2:16" s="55" customFormat="1" ht="40.5" customHeight="1">
      <c r="B57" s="494"/>
      <c r="C57" s="488"/>
      <c r="D57" s="460"/>
      <c r="E57" s="460"/>
      <c r="F57" s="460"/>
      <c r="G57" s="460"/>
      <c r="H57" s="230" t="s">
        <v>3084</v>
      </c>
      <c r="I57" s="233" t="s">
        <v>3110</v>
      </c>
      <c r="J57" s="60">
        <v>75100</v>
      </c>
      <c r="K57" s="345">
        <v>47003</v>
      </c>
      <c r="L57" s="416">
        <f>SUM(L51:L56)*0.08</f>
        <v>17118.889199999998</v>
      </c>
      <c r="M57" s="416">
        <f>SUM(M51:M56)*0.08</f>
        <v>10758.8892</v>
      </c>
      <c r="N57" s="416">
        <f t="shared" ref="N57" si="8">L57+M57</f>
        <v>27877.778399999996</v>
      </c>
      <c r="O57" s="366"/>
    </row>
    <row r="58" spans="2:16" s="55" customFormat="1" ht="12">
      <c r="B58" s="494"/>
      <c r="C58" s="477" t="s">
        <v>3131</v>
      </c>
      <c r="D58" s="478"/>
      <c r="E58" s="478"/>
      <c r="F58" s="478"/>
      <c r="G58" s="478"/>
      <c r="H58" s="478"/>
      <c r="I58" s="478"/>
      <c r="J58" s="478"/>
      <c r="K58" s="479"/>
      <c r="L58" s="334">
        <f>SUM(L52:L57)</f>
        <v>231105.0042</v>
      </c>
      <c r="M58" s="334">
        <f>SUM(M52:M57)</f>
        <v>145245.0042</v>
      </c>
      <c r="N58" s="334">
        <f t="shared" ref="N58:N63" si="9">SUM(L58:M58)</f>
        <v>376350.00839999999</v>
      </c>
      <c r="O58" s="366"/>
    </row>
    <row r="59" spans="2:16" s="55" customFormat="1" ht="35.25" customHeight="1">
      <c r="B59" s="494"/>
      <c r="C59" s="489" t="s">
        <v>3132</v>
      </c>
      <c r="D59" s="460"/>
      <c r="E59" s="460"/>
      <c r="F59" s="460"/>
      <c r="G59" s="460"/>
      <c r="H59" s="496" t="s">
        <v>3084</v>
      </c>
      <c r="I59" s="348" t="s">
        <v>1532</v>
      </c>
      <c r="J59" s="60">
        <v>71200</v>
      </c>
      <c r="K59" s="300">
        <v>47003</v>
      </c>
      <c r="L59" s="416">
        <v>25000</v>
      </c>
      <c r="M59" s="416">
        <v>25000</v>
      </c>
      <c r="N59" s="416">
        <f t="shared" si="9"/>
        <v>50000</v>
      </c>
      <c r="O59" s="366"/>
    </row>
    <row r="60" spans="2:16" s="55" customFormat="1" ht="16.5" customHeight="1">
      <c r="B60" s="494"/>
      <c r="C60" s="489"/>
      <c r="D60" s="460"/>
      <c r="E60" s="460"/>
      <c r="F60" s="460"/>
      <c r="G60" s="460"/>
      <c r="H60" s="496"/>
      <c r="I60" s="233" t="s">
        <v>3109</v>
      </c>
      <c r="J60" s="243">
        <v>73400</v>
      </c>
      <c r="K60" s="300">
        <v>47003</v>
      </c>
      <c r="L60" s="416">
        <v>4894</v>
      </c>
      <c r="M60" s="416">
        <v>9000</v>
      </c>
      <c r="N60" s="416">
        <f t="shared" si="9"/>
        <v>13894</v>
      </c>
      <c r="O60" s="366"/>
    </row>
    <row r="61" spans="2:16" s="55" customFormat="1" ht="11.25" customHeight="1">
      <c r="B61" s="494"/>
      <c r="C61" s="489"/>
      <c r="D61" s="460"/>
      <c r="E61" s="460"/>
      <c r="F61" s="460"/>
      <c r="G61" s="460"/>
      <c r="H61" s="496"/>
      <c r="I61" s="348" t="s">
        <v>3130</v>
      </c>
      <c r="J61" s="302">
        <v>71500</v>
      </c>
      <c r="K61" s="301">
        <v>47003</v>
      </c>
      <c r="L61" s="416">
        <v>13465.280499999999</v>
      </c>
      <c r="M61" s="416">
        <v>13465.280499999999</v>
      </c>
      <c r="N61" s="416">
        <f t="shared" si="9"/>
        <v>26930.560999999998</v>
      </c>
      <c r="O61" s="366"/>
    </row>
    <row r="62" spans="2:16" s="55" customFormat="1" ht="12.95">
      <c r="B62" s="494"/>
      <c r="C62" s="489"/>
      <c r="D62" s="460"/>
      <c r="E62" s="460"/>
      <c r="F62" s="460"/>
      <c r="G62" s="460"/>
      <c r="H62" s="230" t="s">
        <v>3084</v>
      </c>
      <c r="I62" s="234" t="s">
        <v>1610</v>
      </c>
      <c r="J62" s="403">
        <v>71600</v>
      </c>
      <c r="K62" s="347">
        <v>47003</v>
      </c>
      <c r="L62" s="416">
        <v>8000</v>
      </c>
      <c r="M62" s="416">
        <v>8129.13</v>
      </c>
      <c r="N62" s="416">
        <f t="shared" si="9"/>
        <v>16129.130000000001</v>
      </c>
      <c r="O62" s="366"/>
    </row>
    <row r="63" spans="2:16" s="55" customFormat="1" ht="12.95">
      <c r="B63" s="494"/>
      <c r="C63" s="489"/>
      <c r="D63" s="460"/>
      <c r="E63" s="460"/>
      <c r="F63" s="460"/>
      <c r="G63" s="460"/>
      <c r="H63" s="230" t="s">
        <v>3084</v>
      </c>
      <c r="I63" s="234" t="s">
        <v>3133</v>
      </c>
      <c r="J63" s="236">
        <v>72600</v>
      </c>
      <c r="K63" s="346">
        <v>47003</v>
      </c>
      <c r="L63" s="416">
        <v>240000</v>
      </c>
      <c r="M63" s="416">
        <v>220000</v>
      </c>
      <c r="N63" s="416">
        <f t="shared" si="9"/>
        <v>460000</v>
      </c>
      <c r="O63" s="366"/>
    </row>
    <row r="64" spans="2:16" s="55" customFormat="1" ht="12.95">
      <c r="B64" s="494"/>
      <c r="C64" s="489"/>
      <c r="D64" s="460"/>
      <c r="E64" s="460"/>
      <c r="F64" s="460"/>
      <c r="G64" s="460"/>
      <c r="H64" s="230" t="s">
        <v>3084</v>
      </c>
      <c r="I64" s="234" t="s">
        <v>2006</v>
      </c>
      <c r="J64" s="243">
        <v>74100</v>
      </c>
      <c r="K64" s="346">
        <v>47003</v>
      </c>
      <c r="L64" s="416">
        <f>9500/2</f>
        <v>4750</v>
      </c>
      <c r="M64" s="416">
        <f>11500/2</f>
        <v>5750</v>
      </c>
      <c r="N64" s="416">
        <f t="shared" ref="N64" si="10">L64+M64</f>
        <v>10500</v>
      </c>
      <c r="O64" s="366"/>
    </row>
    <row r="65" spans="2:17" s="55" customFormat="1" ht="12.95">
      <c r="B65" s="494"/>
      <c r="C65" s="489"/>
      <c r="D65" s="460"/>
      <c r="E65" s="460"/>
      <c r="F65" s="460"/>
      <c r="G65" s="460"/>
      <c r="H65" s="230" t="s">
        <v>3084</v>
      </c>
      <c r="I65" s="234" t="s">
        <v>3110</v>
      </c>
      <c r="J65" s="236">
        <v>75100</v>
      </c>
      <c r="K65" s="346">
        <v>47003</v>
      </c>
      <c r="L65" s="416">
        <f>SUM(L59:L64)*0.08</f>
        <v>23688.742439999998</v>
      </c>
      <c r="M65" s="416">
        <f>SUM(M59:M64)*0.08</f>
        <v>22507.55284</v>
      </c>
      <c r="N65" s="416">
        <f t="shared" ref="N65" si="11">L65+M65</f>
        <v>46196.295279999998</v>
      </c>
      <c r="O65" s="366"/>
    </row>
    <row r="66" spans="2:17" s="55" customFormat="1" ht="12">
      <c r="B66" s="494"/>
      <c r="C66" s="486" t="s">
        <v>3134</v>
      </c>
      <c r="D66" s="486"/>
      <c r="E66" s="486"/>
      <c r="F66" s="486"/>
      <c r="G66" s="486"/>
      <c r="H66" s="482"/>
      <c r="I66" s="482"/>
      <c r="J66" s="482"/>
      <c r="K66" s="482"/>
      <c r="L66" s="335">
        <f>SUM(L59:L65)</f>
        <v>319798.02294</v>
      </c>
      <c r="M66" s="336">
        <f>SUM(M59:M65)</f>
        <v>303851.96334000002</v>
      </c>
      <c r="N66" s="336">
        <f>SUM(N59:N65)</f>
        <v>623649.98627999995</v>
      </c>
      <c r="O66" s="366"/>
    </row>
    <row r="67" spans="2:17" s="55" customFormat="1" ht="12">
      <c r="B67" s="495"/>
      <c r="C67" s="482" t="s">
        <v>3135</v>
      </c>
      <c r="D67" s="482"/>
      <c r="E67" s="482"/>
      <c r="F67" s="482"/>
      <c r="G67" s="482"/>
      <c r="H67" s="482"/>
      <c r="I67" s="482"/>
      <c r="J67" s="482"/>
      <c r="K67" s="482"/>
      <c r="L67" s="335">
        <f>L66+L58</f>
        <v>550903.02714000002</v>
      </c>
      <c r="M67" s="336">
        <f>M66+M58</f>
        <v>449096.96753999998</v>
      </c>
      <c r="N67" s="336">
        <f>SUM(L67:M67)</f>
        <v>999999.99468</v>
      </c>
      <c r="O67" s="366"/>
    </row>
    <row r="68" spans="2:17" s="55" customFormat="1" ht="12">
      <c r="B68" s="483" t="s">
        <v>3136</v>
      </c>
      <c r="C68" s="484"/>
      <c r="D68" s="484"/>
      <c r="E68" s="484"/>
      <c r="F68" s="484"/>
      <c r="G68" s="484"/>
      <c r="H68" s="484"/>
      <c r="I68" s="484"/>
      <c r="J68" s="484"/>
      <c r="K68" s="485"/>
      <c r="L68" s="337"/>
      <c r="M68" s="338"/>
      <c r="N68" s="338">
        <f>N67</f>
        <v>999999.99468</v>
      </c>
      <c r="O68" s="366"/>
    </row>
    <row r="69" spans="2:17" s="55" customFormat="1" ht="12">
      <c r="B69" s="237" t="s">
        <v>3137</v>
      </c>
      <c r="C69" s="238"/>
      <c r="D69" s="239"/>
      <c r="E69" s="239"/>
      <c r="F69" s="239"/>
      <c r="G69" s="239"/>
      <c r="H69" s="239"/>
      <c r="I69" s="239"/>
      <c r="J69" s="240"/>
      <c r="K69" s="239"/>
      <c r="L69" s="339"/>
      <c r="M69" s="339"/>
      <c r="N69" s="339"/>
      <c r="O69" s="367"/>
    </row>
    <row r="70" spans="2:17" s="55" customFormat="1" ht="15.95">
      <c r="B70" s="460"/>
      <c r="C70" s="370" t="s">
        <v>3138</v>
      </c>
      <c r="D70" s="501"/>
      <c r="E70" s="501"/>
      <c r="F70" s="501"/>
      <c r="G70" s="501"/>
      <c r="H70" s="241" t="s">
        <v>3084</v>
      </c>
      <c r="I70" s="234" t="s">
        <v>1766</v>
      </c>
      <c r="J70" s="243">
        <v>72400</v>
      </c>
      <c r="K70" s="301">
        <v>47003</v>
      </c>
      <c r="L70" s="333">
        <v>21000</v>
      </c>
      <c r="M70" s="333">
        <v>19000</v>
      </c>
      <c r="N70" s="333">
        <f>L70+M70</f>
        <v>40000</v>
      </c>
      <c r="O70" s="372"/>
      <c r="Q70" s="373"/>
    </row>
    <row r="71" spans="2:17" s="55" customFormat="1" ht="12.95">
      <c r="B71" s="460"/>
      <c r="C71" s="370" t="s">
        <v>3139</v>
      </c>
      <c r="D71" s="502"/>
      <c r="E71" s="502"/>
      <c r="F71" s="502"/>
      <c r="G71" s="502"/>
      <c r="H71" s="241" t="s">
        <v>3084</v>
      </c>
      <c r="I71" s="234" t="s">
        <v>2006</v>
      </c>
      <c r="J71" s="243">
        <v>74100</v>
      </c>
      <c r="K71" s="301">
        <v>47003</v>
      </c>
      <c r="L71" s="333">
        <v>7500</v>
      </c>
      <c r="M71" s="333">
        <v>8056</v>
      </c>
      <c r="N71" s="333">
        <f>L71+M71</f>
        <v>15556</v>
      </c>
    </row>
    <row r="72" spans="2:17" s="55" customFormat="1" ht="12.95">
      <c r="B72" s="460"/>
      <c r="C72" s="371"/>
      <c r="D72" s="503"/>
      <c r="E72" s="503"/>
      <c r="F72" s="503"/>
      <c r="G72" s="503"/>
      <c r="H72" s="242" t="s">
        <v>3084</v>
      </c>
      <c r="I72" s="234" t="s">
        <v>3110</v>
      </c>
      <c r="J72" s="243">
        <v>75100</v>
      </c>
      <c r="K72" s="301">
        <v>47003</v>
      </c>
      <c r="L72" s="333">
        <f>SUM(L70:L71)*0.08</f>
        <v>2280</v>
      </c>
      <c r="M72" s="333">
        <f>SUM(M70:M71)*0.08</f>
        <v>2164.48</v>
      </c>
      <c r="N72" s="333">
        <f>L72+M72</f>
        <v>4444.4799999999996</v>
      </c>
    </row>
    <row r="73" spans="2:17" s="55" customFormat="1" ht="12">
      <c r="B73" s="460"/>
      <c r="C73" s="504" t="s">
        <v>3140</v>
      </c>
      <c r="D73" s="504"/>
      <c r="E73" s="504"/>
      <c r="F73" s="504"/>
      <c r="G73" s="504"/>
      <c r="H73" s="504"/>
      <c r="I73" s="504"/>
      <c r="J73" s="504"/>
      <c r="K73" s="505"/>
      <c r="L73" s="336">
        <f>SUM(L70:L72)</f>
        <v>30780</v>
      </c>
      <c r="M73" s="336">
        <f>SUM(M70:M72)</f>
        <v>29220.48</v>
      </c>
      <c r="N73" s="336">
        <f>SUM(N70:N72)</f>
        <v>60000.479999999996</v>
      </c>
    </row>
    <row r="74" spans="2:17" s="55" customFormat="1" ht="12.95">
      <c r="B74" s="460"/>
      <c r="C74" s="506" t="s">
        <v>3141</v>
      </c>
      <c r="D74" s="511"/>
      <c r="E74" s="511"/>
      <c r="F74" s="501"/>
      <c r="G74" s="501"/>
      <c r="H74" s="242" t="s">
        <v>3084</v>
      </c>
      <c r="I74" s="234" t="s">
        <v>3142</v>
      </c>
      <c r="J74" s="232">
        <v>64300</v>
      </c>
      <c r="K74" s="301">
        <v>47003</v>
      </c>
      <c r="L74" s="333">
        <v>83333.5</v>
      </c>
      <c r="M74" s="333">
        <v>83333.5</v>
      </c>
      <c r="N74" s="333">
        <f>L74+M74</f>
        <v>166667</v>
      </c>
    </row>
    <row r="75" spans="2:17" s="55" customFormat="1" ht="12.95">
      <c r="B75" s="460"/>
      <c r="C75" s="507"/>
      <c r="D75" s="512"/>
      <c r="E75" s="512"/>
      <c r="F75" s="503"/>
      <c r="G75" s="503"/>
      <c r="H75" s="242" t="s">
        <v>3084</v>
      </c>
      <c r="I75" s="234" t="s">
        <v>3110</v>
      </c>
      <c r="J75" s="243">
        <v>75100</v>
      </c>
      <c r="K75" s="301">
        <v>47003</v>
      </c>
      <c r="L75" s="333">
        <f>L74*0.08</f>
        <v>6666.68</v>
      </c>
      <c r="M75" s="333">
        <f>M74*0.08</f>
        <v>6666.68</v>
      </c>
      <c r="N75" s="333">
        <f>L75+M75</f>
        <v>13333.36</v>
      </c>
    </row>
    <row r="76" spans="2:17" s="55" customFormat="1" ht="12" customHeight="1">
      <c r="B76" s="497"/>
      <c r="C76" s="498" t="s">
        <v>3140</v>
      </c>
      <c r="D76" s="499"/>
      <c r="E76" s="499"/>
      <c r="F76" s="499"/>
      <c r="G76" s="499"/>
      <c r="H76" s="499"/>
      <c r="I76" s="499"/>
      <c r="J76" s="499"/>
      <c r="K76" s="500"/>
      <c r="L76" s="336">
        <f>SUM(L74:L75)</f>
        <v>90000.18</v>
      </c>
      <c r="M76" s="336">
        <f>SUM(M74:M75)</f>
        <v>90000.18</v>
      </c>
      <c r="N76" s="336">
        <f>SUM(N74:N75)</f>
        <v>180000.36</v>
      </c>
    </row>
    <row r="77" spans="2:17" s="55" customFormat="1" ht="12" customHeight="1">
      <c r="B77" s="513" t="s">
        <v>3143</v>
      </c>
      <c r="C77" s="513"/>
      <c r="D77" s="513"/>
      <c r="E77" s="513"/>
      <c r="F77" s="513"/>
      <c r="G77" s="513"/>
      <c r="H77" s="513"/>
      <c r="I77" s="513"/>
      <c r="J77" s="513"/>
      <c r="K77" s="513"/>
      <c r="L77" s="340">
        <f>L76+L73</f>
        <v>120780.18</v>
      </c>
      <c r="M77" s="340">
        <f>M76+M73</f>
        <v>119220.65999999999</v>
      </c>
      <c r="N77" s="340">
        <f>N76+N73</f>
        <v>240000.83999999997</v>
      </c>
    </row>
    <row r="78" spans="2:17" s="55" customFormat="1" ht="12">
      <c r="B78" s="483" t="s">
        <v>3144</v>
      </c>
      <c r="C78" s="484"/>
      <c r="D78" s="484"/>
      <c r="E78" s="484"/>
      <c r="F78" s="484"/>
      <c r="G78" s="484"/>
      <c r="H78" s="484"/>
      <c r="I78" s="484"/>
      <c r="J78" s="484"/>
      <c r="K78" s="485"/>
      <c r="L78" s="337">
        <f>L75+L72+L65+L57+L47+L38+L28+L22</f>
        <v>313917.46595871996</v>
      </c>
      <c r="M78" s="337">
        <f>M75+M72+M65+M57+M47+M38+M28+M22</f>
        <v>115638.11635872</v>
      </c>
      <c r="N78" s="337">
        <f>N75+N72+N65+N57+N47+N38+N28+N22</f>
        <v>429555.58231743996</v>
      </c>
    </row>
    <row r="79" spans="2:17" s="54" customFormat="1" ht="14.25" customHeight="1">
      <c r="B79" s="508" t="s">
        <v>3145</v>
      </c>
      <c r="C79" s="509"/>
      <c r="D79" s="509"/>
      <c r="E79" s="509"/>
      <c r="F79" s="509"/>
      <c r="G79" s="509"/>
      <c r="H79" s="509"/>
      <c r="I79" s="509"/>
      <c r="J79" s="509"/>
      <c r="K79" s="510"/>
      <c r="L79" s="341">
        <f>L77+L67+L49+L30</f>
        <v>4247385.7904427201</v>
      </c>
      <c r="M79" s="341">
        <f>M77+M67+M49+M30</f>
        <v>1572614.5708427201</v>
      </c>
      <c r="N79" s="341">
        <f>N77+N67+N49+N30</f>
        <v>5820000.3612854406</v>
      </c>
    </row>
    <row r="80" spans="2:17" s="54" customFormat="1" ht="14.25" customHeight="1">
      <c r="B80" s="56"/>
      <c r="C80" s="57"/>
      <c r="D80" s="57"/>
      <c r="E80" s="57"/>
      <c r="F80" s="57"/>
      <c r="G80" s="57"/>
      <c r="H80" s="57"/>
      <c r="I80" s="57"/>
      <c r="J80" s="57"/>
      <c r="K80" s="57"/>
      <c r="L80" s="342"/>
      <c r="M80" s="342"/>
      <c r="N80" s="342"/>
    </row>
    <row r="81" spans="2:14" ht="14.1">
      <c r="B81" s="56"/>
      <c r="C81" s="57"/>
      <c r="D81" s="57"/>
      <c r="E81" s="57"/>
      <c r="F81" s="57"/>
      <c r="G81" s="57"/>
      <c r="H81" s="57"/>
      <c r="I81" s="57"/>
      <c r="J81" s="57"/>
      <c r="K81" s="57"/>
      <c r="L81" s="342"/>
      <c r="M81" s="342"/>
      <c r="N81" s="342"/>
    </row>
    <row r="82" spans="2:14" ht="14.1"/>
    <row r="83" spans="2:14" s="58" customFormat="1" ht="15">
      <c r="B83" s="52"/>
      <c r="C83" s="52"/>
      <c r="D83" s="52"/>
      <c r="E83" s="52"/>
      <c r="F83" s="52"/>
      <c r="G83" s="52"/>
      <c r="H83" s="52"/>
      <c r="I83" s="52"/>
      <c r="J83" s="52"/>
      <c r="K83" s="52"/>
      <c r="L83" s="343"/>
      <c r="M83" s="332"/>
      <c r="N83" s="332"/>
    </row>
    <row r="84" spans="2:14" s="58" customFormat="1" ht="12.95">
      <c r="L84" s="344"/>
      <c r="M84" s="344"/>
      <c r="N84" s="344"/>
    </row>
    <row r="85" spans="2:14" ht="14.1">
      <c r="B85" s="59"/>
      <c r="C85" s="544"/>
      <c r="D85" s="544"/>
      <c r="E85" s="544"/>
      <c r="F85" s="544"/>
      <c r="G85" s="544"/>
      <c r="H85" s="544"/>
      <c r="I85" s="58"/>
      <c r="J85" s="58"/>
      <c r="K85" s="58"/>
      <c r="L85" s="344"/>
      <c r="M85" s="344"/>
      <c r="N85" s="344"/>
    </row>
    <row r="86" spans="2:14" ht="14.1">
      <c r="C86" s="545"/>
      <c r="D86" s="545"/>
      <c r="E86" s="545"/>
      <c r="F86" s="545"/>
      <c r="G86" s="545"/>
    </row>
    <row r="98" spans="9:11" ht="14.25" customHeight="1">
      <c r="I98" s="52">
        <v>1200000</v>
      </c>
      <c r="J98" s="52" t="s">
        <v>3146</v>
      </c>
      <c r="K98" s="52">
        <v>200000</v>
      </c>
    </row>
    <row r="99" spans="9:11" ht="14.25" customHeight="1">
      <c r="I99" s="52">
        <v>1200000</v>
      </c>
      <c r="J99" s="52" t="s">
        <v>3147</v>
      </c>
      <c r="K99" s="52" t="s">
        <v>3147</v>
      </c>
    </row>
  </sheetData>
  <mergeCells count="84">
    <mergeCell ref="B78:K78"/>
    <mergeCell ref="B79:K79"/>
    <mergeCell ref="C85:H85"/>
    <mergeCell ref="C86:G86"/>
    <mergeCell ref="D74:D75"/>
    <mergeCell ref="E74:E75"/>
    <mergeCell ref="F74:F75"/>
    <mergeCell ref="G74:G75"/>
    <mergeCell ref="B77:K77"/>
    <mergeCell ref="C66:K66"/>
    <mergeCell ref="C67:K67"/>
    <mergeCell ref="B68:K68"/>
    <mergeCell ref="B70:B76"/>
    <mergeCell ref="C76:K76"/>
    <mergeCell ref="D70:D72"/>
    <mergeCell ref="E70:E72"/>
    <mergeCell ref="F70:F72"/>
    <mergeCell ref="G70:G72"/>
    <mergeCell ref="C73:K73"/>
    <mergeCell ref="C74:C75"/>
    <mergeCell ref="B40:B49"/>
    <mergeCell ref="C48:K48"/>
    <mergeCell ref="B51:N51"/>
    <mergeCell ref="B52:B67"/>
    <mergeCell ref="C52:C57"/>
    <mergeCell ref="D52:D57"/>
    <mergeCell ref="E52:E57"/>
    <mergeCell ref="F52:F57"/>
    <mergeCell ref="G52:G57"/>
    <mergeCell ref="C58:K58"/>
    <mergeCell ref="C59:C65"/>
    <mergeCell ref="D59:D65"/>
    <mergeCell ref="E59:E65"/>
    <mergeCell ref="F59:F65"/>
    <mergeCell ref="G59:G65"/>
    <mergeCell ref="H59:H61"/>
    <mergeCell ref="E24:E28"/>
    <mergeCell ref="B13:B22"/>
    <mergeCell ref="C49:K49"/>
    <mergeCell ref="B50:K50"/>
    <mergeCell ref="C29:K29"/>
    <mergeCell ref="C30:K30"/>
    <mergeCell ref="B31:K31"/>
    <mergeCell ref="B32:N32"/>
    <mergeCell ref="C33:C38"/>
    <mergeCell ref="D33:D38"/>
    <mergeCell ref="E33:E38"/>
    <mergeCell ref="F33:F38"/>
    <mergeCell ref="G33:G38"/>
    <mergeCell ref="C39:K39"/>
    <mergeCell ref="C40:C47"/>
    <mergeCell ref="B33:B38"/>
    <mergeCell ref="K8:K10"/>
    <mergeCell ref="L8:L10"/>
    <mergeCell ref="D40:D47"/>
    <mergeCell ref="E40:E47"/>
    <mergeCell ref="F40:F47"/>
    <mergeCell ref="G40:G47"/>
    <mergeCell ref="B11:N11"/>
    <mergeCell ref="B12:N12"/>
    <mergeCell ref="C13:C22"/>
    <mergeCell ref="D13:D22"/>
    <mergeCell ref="E13:E22"/>
    <mergeCell ref="F13:F22"/>
    <mergeCell ref="G13:G22"/>
    <mergeCell ref="C23:K23"/>
    <mergeCell ref="C24:C28"/>
    <mergeCell ref="D24:D28"/>
    <mergeCell ref="B24:B28"/>
    <mergeCell ref="F24:F28"/>
    <mergeCell ref="G24:G28"/>
    <mergeCell ref="N8:N10"/>
    <mergeCell ref="B7:B10"/>
    <mergeCell ref="C7:C10"/>
    <mergeCell ref="D7:G7"/>
    <mergeCell ref="H7:H10"/>
    <mergeCell ref="I7:N7"/>
    <mergeCell ref="D8:D10"/>
    <mergeCell ref="E8:E10"/>
    <mergeCell ref="F8:F10"/>
    <mergeCell ref="G8:G10"/>
    <mergeCell ref="I8:I10"/>
    <mergeCell ref="J8:J10"/>
    <mergeCell ref="M8:M1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E6CC0-1DBF-4BB0-9A2C-17E1185D9AF8}">
  <dimension ref="B1:T45"/>
  <sheetViews>
    <sheetView topLeftCell="A15" workbookViewId="0">
      <selection activeCell="C35" sqref="C35"/>
    </sheetView>
  </sheetViews>
  <sheetFormatPr defaultColWidth="8.7109375" defaultRowHeight="12.95"/>
  <cols>
    <col min="2" max="2" width="8" customWidth="1"/>
    <col min="3" max="3" width="45.7109375" bestFit="1" customWidth="1"/>
    <col min="4" max="4" width="17" customWidth="1"/>
    <col min="5" max="5" width="9.28515625" bestFit="1" customWidth="1"/>
    <col min="6" max="6" width="18.85546875" style="158" customWidth="1"/>
    <col min="7" max="7" width="17.7109375" style="158" customWidth="1"/>
    <col min="8" max="8" width="10.42578125" bestFit="1" customWidth="1"/>
    <col min="9" max="9" width="12.42578125" customWidth="1"/>
    <col min="10" max="10" width="19.42578125" customWidth="1"/>
    <col min="11" max="11" width="15.7109375" customWidth="1"/>
    <col min="12" max="12" width="12.42578125" customWidth="1"/>
    <col min="13" max="13" width="16.42578125" style="4" customWidth="1"/>
    <col min="14" max="14" width="21.7109375" customWidth="1"/>
    <col min="15" max="15" width="34.42578125" customWidth="1"/>
    <col min="18" max="18" width="14.140625" customWidth="1"/>
    <col min="262" max="262" width="8" customWidth="1"/>
    <col min="263" max="263" width="40.140625" customWidth="1"/>
    <col min="264" max="264" width="17" customWidth="1"/>
    <col min="266" max="266" width="9" bestFit="1" customWidth="1"/>
    <col min="267" max="267" width="16.7109375" customWidth="1"/>
    <col min="269" max="269" width="28.7109375" customWidth="1"/>
    <col min="270" max="270" width="21.7109375" customWidth="1"/>
    <col min="271" max="271" width="31.42578125" customWidth="1"/>
    <col min="518" max="518" width="8" customWidth="1"/>
    <col min="519" max="519" width="40.140625" customWidth="1"/>
    <col min="520" max="520" width="17" customWidth="1"/>
    <col min="522" max="522" width="9" bestFit="1" customWidth="1"/>
    <col min="523" max="523" width="16.7109375" customWidth="1"/>
    <col min="525" max="525" width="28.7109375" customWidth="1"/>
    <col min="526" max="526" width="21.7109375" customWidth="1"/>
    <col min="527" max="527" width="31.42578125" customWidth="1"/>
    <col min="774" max="774" width="8" customWidth="1"/>
    <col min="775" max="775" width="40.140625" customWidth="1"/>
    <col min="776" max="776" width="17" customWidth="1"/>
    <col min="778" max="778" width="9" bestFit="1" customWidth="1"/>
    <col min="779" max="779" width="16.7109375" customWidth="1"/>
    <col min="781" max="781" width="28.7109375" customWidth="1"/>
    <col min="782" max="782" width="21.7109375" customWidth="1"/>
    <col min="783" max="783" width="31.42578125" customWidth="1"/>
    <col min="1030" max="1030" width="8" customWidth="1"/>
    <col min="1031" max="1031" width="40.140625" customWidth="1"/>
    <col min="1032" max="1032" width="17" customWidth="1"/>
    <col min="1034" max="1034" width="9" bestFit="1" customWidth="1"/>
    <col min="1035" max="1035" width="16.7109375" customWidth="1"/>
    <col min="1037" max="1037" width="28.7109375" customWidth="1"/>
    <col min="1038" max="1038" width="21.7109375" customWidth="1"/>
    <col min="1039" max="1039" width="31.42578125" customWidth="1"/>
    <col min="1286" max="1286" width="8" customWidth="1"/>
    <col min="1287" max="1287" width="40.140625" customWidth="1"/>
    <col min="1288" max="1288" width="17" customWidth="1"/>
    <col min="1290" max="1290" width="9" bestFit="1" customWidth="1"/>
    <col min="1291" max="1291" width="16.7109375" customWidth="1"/>
    <col min="1293" max="1293" width="28.7109375" customWidth="1"/>
    <col min="1294" max="1294" width="21.7109375" customWidth="1"/>
    <col min="1295" max="1295" width="31.42578125" customWidth="1"/>
    <col min="1542" max="1542" width="8" customWidth="1"/>
    <col min="1543" max="1543" width="40.140625" customWidth="1"/>
    <col min="1544" max="1544" width="17" customWidth="1"/>
    <col min="1546" max="1546" width="9" bestFit="1" customWidth="1"/>
    <col min="1547" max="1547" width="16.7109375" customWidth="1"/>
    <col min="1549" max="1549" width="28.7109375" customWidth="1"/>
    <col min="1550" max="1550" width="21.7109375" customWidth="1"/>
    <col min="1551" max="1551" width="31.42578125" customWidth="1"/>
    <col min="1798" max="1798" width="8" customWidth="1"/>
    <col min="1799" max="1799" width="40.140625" customWidth="1"/>
    <col min="1800" max="1800" width="17" customWidth="1"/>
    <col min="1802" max="1802" width="9" bestFit="1" customWidth="1"/>
    <col min="1803" max="1803" width="16.7109375" customWidth="1"/>
    <col min="1805" max="1805" width="28.7109375" customWidth="1"/>
    <col min="1806" max="1806" width="21.7109375" customWidth="1"/>
    <col min="1807" max="1807" width="31.42578125" customWidth="1"/>
    <col min="2054" max="2054" width="8" customWidth="1"/>
    <col min="2055" max="2055" width="40.140625" customWidth="1"/>
    <col min="2056" max="2056" width="17" customWidth="1"/>
    <col min="2058" max="2058" width="9" bestFit="1" customWidth="1"/>
    <col min="2059" max="2059" width="16.7109375" customWidth="1"/>
    <col min="2061" max="2061" width="28.7109375" customWidth="1"/>
    <col min="2062" max="2062" width="21.7109375" customWidth="1"/>
    <col min="2063" max="2063" width="31.42578125" customWidth="1"/>
    <col min="2310" max="2310" width="8" customWidth="1"/>
    <col min="2311" max="2311" width="40.140625" customWidth="1"/>
    <col min="2312" max="2312" width="17" customWidth="1"/>
    <col min="2314" max="2314" width="9" bestFit="1" customWidth="1"/>
    <col min="2315" max="2315" width="16.7109375" customWidth="1"/>
    <col min="2317" max="2317" width="28.7109375" customWidth="1"/>
    <col min="2318" max="2318" width="21.7109375" customWidth="1"/>
    <col min="2319" max="2319" width="31.42578125" customWidth="1"/>
    <col min="2566" max="2566" width="8" customWidth="1"/>
    <col min="2567" max="2567" width="40.140625" customWidth="1"/>
    <col min="2568" max="2568" width="17" customWidth="1"/>
    <col min="2570" max="2570" width="9" bestFit="1" customWidth="1"/>
    <col min="2571" max="2571" width="16.7109375" customWidth="1"/>
    <col min="2573" max="2573" width="28.7109375" customWidth="1"/>
    <col min="2574" max="2574" width="21.7109375" customWidth="1"/>
    <col min="2575" max="2575" width="31.42578125" customWidth="1"/>
    <col min="2822" max="2822" width="8" customWidth="1"/>
    <col min="2823" max="2823" width="40.140625" customWidth="1"/>
    <col min="2824" max="2824" width="17" customWidth="1"/>
    <col min="2826" max="2826" width="9" bestFit="1" customWidth="1"/>
    <col min="2827" max="2827" width="16.7109375" customWidth="1"/>
    <col min="2829" max="2829" width="28.7109375" customWidth="1"/>
    <col min="2830" max="2830" width="21.7109375" customWidth="1"/>
    <col min="2831" max="2831" width="31.42578125" customWidth="1"/>
    <col min="3078" max="3078" width="8" customWidth="1"/>
    <col min="3079" max="3079" width="40.140625" customWidth="1"/>
    <col min="3080" max="3080" width="17" customWidth="1"/>
    <col min="3082" max="3082" width="9" bestFit="1" customWidth="1"/>
    <col min="3083" max="3083" width="16.7109375" customWidth="1"/>
    <col min="3085" max="3085" width="28.7109375" customWidth="1"/>
    <col min="3086" max="3086" width="21.7109375" customWidth="1"/>
    <col min="3087" max="3087" width="31.42578125" customWidth="1"/>
    <col min="3334" max="3334" width="8" customWidth="1"/>
    <col min="3335" max="3335" width="40.140625" customWidth="1"/>
    <col min="3336" max="3336" width="17" customWidth="1"/>
    <col min="3338" max="3338" width="9" bestFit="1" customWidth="1"/>
    <col min="3339" max="3339" width="16.7109375" customWidth="1"/>
    <col min="3341" max="3341" width="28.7109375" customWidth="1"/>
    <col min="3342" max="3342" width="21.7109375" customWidth="1"/>
    <col min="3343" max="3343" width="31.42578125" customWidth="1"/>
    <col min="3590" max="3590" width="8" customWidth="1"/>
    <col min="3591" max="3591" width="40.140625" customWidth="1"/>
    <col min="3592" max="3592" width="17" customWidth="1"/>
    <col min="3594" max="3594" width="9" bestFit="1" customWidth="1"/>
    <col min="3595" max="3595" width="16.7109375" customWidth="1"/>
    <col min="3597" max="3597" width="28.7109375" customWidth="1"/>
    <col min="3598" max="3598" width="21.7109375" customWidth="1"/>
    <col min="3599" max="3599" width="31.42578125" customWidth="1"/>
    <col min="3846" max="3846" width="8" customWidth="1"/>
    <col min="3847" max="3847" width="40.140625" customWidth="1"/>
    <col min="3848" max="3848" width="17" customWidth="1"/>
    <col min="3850" max="3850" width="9" bestFit="1" customWidth="1"/>
    <col min="3851" max="3851" width="16.7109375" customWidth="1"/>
    <col min="3853" max="3853" width="28.7109375" customWidth="1"/>
    <col min="3854" max="3854" width="21.7109375" customWidth="1"/>
    <col min="3855" max="3855" width="31.42578125" customWidth="1"/>
    <col min="4102" max="4102" width="8" customWidth="1"/>
    <col min="4103" max="4103" width="40.140625" customWidth="1"/>
    <col min="4104" max="4104" width="17" customWidth="1"/>
    <col min="4106" max="4106" width="9" bestFit="1" customWidth="1"/>
    <col min="4107" max="4107" width="16.7109375" customWidth="1"/>
    <col min="4109" max="4109" width="28.7109375" customWidth="1"/>
    <col min="4110" max="4110" width="21.7109375" customWidth="1"/>
    <col min="4111" max="4111" width="31.42578125" customWidth="1"/>
    <col min="4358" max="4358" width="8" customWidth="1"/>
    <col min="4359" max="4359" width="40.140625" customWidth="1"/>
    <col min="4360" max="4360" width="17" customWidth="1"/>
    <col min="4362" max="4362" width="9" bestFit="1" customWidth="1"/>
    <col min="4363" max="4363" width="16.7109375" customWidth="1"/>
    <col min="4365" max="4365" width="28.7109375" customWidth="1"/>
    <col min="4366" max="4366" width="21.7109375" customWidth="1"/>
    <col min="4367" max="4367" width="31.42578125" customWidth="1"/>
    <col min="4614" max="4614" width="8" customWidth="1"/>
    <col min="4615" max="4615" width="40.140625" customWidth="1"/>
    <col min="4616" max="4616" width="17" customWidth="1"/>
    <col min="4618" max="4618" width="9" bestFit="1" customWidth="1"/>
    <col min="4619" max="4619" width="16.7109375" customWidth="1"/>
    <col min="4621" max="4621" width="28.7109375" customWidth="1"/>
    <col min="4622" max="4622" width="21.7109375" customWidth="1"/>
    <col min="4623" max="4623" width="31.42578125" customWidth="1"/>
    <col min="4870" max="4870" width="8" customWidth="1"/>
    <col min="4871" max="4871" width="40.140625" customWidth="1"/>
    <col min="4872" max="4872" width="17" customWidth="1"/>
    <col min="4874" max="4874" width="9" bestFit="1" customWidth="1"/>
    <col min="4875" max="4875" width="16.7109375" customWidth="1"/>
    <col min="4877" max="4877" width="28.7109375" customWidth="1"/>
    <col min="4878" max="4878" width="21.7109375" customWidth="1"/>
    <col min="4879" max="4879" width="31.42578125" customWidth="1"/>
    <col min="5126" max="5126" width="8" customWidth="1"/>
    <col min="5127" max="5127" width="40.140625" customWidth="1"/>
    <col min="5128" max="5128" width="17" customWidth="1"/>
    <col min="5130" max="5130" width="9" bestFit="1" customWidth="1"/>
    <col min="5131" max="5131" width="16.7109375" customWidth="1"/>
    <col min="5133" max="5133" width="28.7109375" customWidth="1"/>
    <col min="5134" max="5134" width="21.7109375" customWidth="1"/>
    <col min="5135" max="5135" width="31.42578125" customWidth="1"/>
    <col min="5382" max="5382" width="8" customWidth="1"/>
    <col min="5383" max="5383" width="40.140625" customWidth="1"/>
    <col min="5384" max="5384" width="17" customWidth="1"/>
    <col min="5386" max="5386" width="9" bestFit="1" customWidth="1"/>
    <col min="5387" max="5387" width="16.7109375" customWidth="1"/>
    <col min="5389" max="5389" width="28.7109375" customWidth="1"/>
    <col min="5390" max="5390" width="21.7109375" customWidth="1"/>
    <col min="5391" max="5391" width="31.42578125" customWidth="1"/>
    <col min="5638" max="5638" width="8" customWidth="1"/>
    <col min="5639" max="5639" width="40.140625" customWidth="1"/>
    <col min="5640" max="5640" width="17" customWidth="1"/>
    <col min="5642" max="5642" width="9" bestFit="1" customWidth="1"/>
    <col min="5643" max="5643" width="16.7109375" customWidth="1"/>
    <col min="5645" max="5645" width="28.7109375" customWidth="1"/>
    <col min="5646" max="5646" width="21.7109375" customWidth="1"/>
    <col min="5647" max="5647" width="31.42578125" customWidth="1"/>
    <col min="5894" max="5894" width="8" customWidth="1"/>
    <col min="5895" max="5895" width="40.140625" customWidth="1"/>
    <col min="5896" max="5896" width="17" customWidth="1"/>
    <col min="5898" max="5898" width="9" bestFit="1" customWidth="1"/>
    <col min="5899" max="5899" width="16.7109375" customWidth="1"/>
    <col min="5901" max="5901" width="28.7109375" customWidth="1"/>
    <col min="5902" max="5902" width="21.7109375" customWidth="1"/>
    <col min="5903" max="5903" width="31.42578125" customWidth="1"/>
    <col min="6150" max="6150" width="8" customWidth="1"/>
    <col min="6151" max="6151" width="40.140625" customWidth="1"/>
    <col min="6152" max="6152" width="17" customWidth="1"/>
    <col min="6154" max="6154" width="9" bestFit="1" customWidth="1"/>
    <col min="6155" max="6155" width="16.7109375" customWidth="1"/>
    <col min="6157" max="6157" width="28.7109375" customWidth="1"/>
    <col min="6158" max="6158" width="21.7109375" customWidth="1"/>
    <col min="6159" max="6159" width="31.42578125" customWidth="1"/>
    <col min="6406" max="6406" width="8" customWidth="1"/>
    <col min="6407" max="6407" width="40.140625" customWidth="1"/>
    <col min="6408" max="6408" width="17" customWidth="1"/>
    <col min="6410" max="6410" width="9" bestFit="1" customWidth="1"/>
    <col min="6411" max="6411" width="16.7109375" customWidth="1"/>
    <col min="6413" max="6413" width="28.7109375" customWidth="1"/>
    <col min="6414" max="6414" width="21.7109375" customWidth="1"/>
    <col min="6415" max="6415" width="31.42578125" customWidth="1"/>
    <col min="6662" max="6662" width="8" customWidth="1"/>
    <col min="6663" max="6663" width="40.140625" customWidth="1"/>
    <col min="6664" max="6664" width="17" customWidth="1"/>
    <col min="6666" max="6666" width="9" bestFit="1" customWidth="1"/>
    <col min="6667" max="6667" width="16.7109375" customWidth="1"/>
    <col min="6669" max="6669" width="28.7109375" customWidth="1"/>
    <col min="6670" max="6670" width="21.7109375" customWidth="1"/>
    <col min="6671" max="6671" width="31.42578125" customWidth="1"/>
    <col min="6918" max="6918" width="8" customWidth="1"/>
    <col min="6919" max="6919" width="40.140625" customWidth="1"/>
    <col min="6920" max="6920" width="17" customWidth="1"/>
    <col min="6922" max="6922" width="9" bestFit="1" customWidth="1"/>
    <col min="6923" max="6923" width="16.7109375" customWidth="1"/>
    <col min="6925" max="6925" width="28.7109375" customWidth="1"/>
    <col min="6926" max="6926" width="21.7109375" customWidth="1"/>
    <col min="6927" max="6927" width="31.42578125" customWidth="1"/>
    <col min="7174" max="7174" width="8" customWidth="1"/>
    <col min="7175" max="7175" width="40.140625" customWidth="1"/>
    <col min="7176" max="7176" width="17" customWidth="1"/>
    <col min="7178" max="7178" width="9" bestFit="1" customWidth="1"/>
    <col min="7179" max="7179" width="16.7109375" customWidth="1"/>
    <col min="7181" max="7181" width="28.7109375" customWidth="1"/>
    <col min="7182" max="7182" width="21.7109375" customWidth="1"/>
    <col min="7183" max="7183" width="31.42578125" customWidth="1"/>
    <col min="7430" max="7430" width="8" customWidth="1"/>
    <col min="7431" max="7431" width="40.140625" customWidth="1"/>
    <col min="7432" max="7432" width="17" customWidth="1"/>
    <col min="7434" max="7434" width="9" bestFit="1" customWidth="1"/>
    <col min="7435" max="7435" width="16.7109375" customWidth="1"/>
    <col min="7437" max="7437" width="28.7109375" customWidth="1"/>
    <col min="7438" max="7438" width="21.7109375" customWidth="1"/>
    <col min="7439" max="7439" width="31.42578125" customWidth="1"/>
    <col min="7686" max="7686" width="8" customWidth="1"/>
    <col min="7687" max="7687" width="40.140625" customWidth="1"/>
    <col min="7688" max="7688" width="17" customWidth="1"/>
    <col min="7690" max="7690" width="9" bestFit="1" customWidth="1"/>
    <col min="7691" max="7691" width="16.7109375" customWidth="1"/>
    <col min="7693" max="7693" width="28.7109375" customWidth="1"/>
    <col min="7694" max="7694" width="21.7109375" customWidth="1"/>
    <col min="7695" max="7695" width="31.42578125" customWidth="1"/>
    <col min="7942" max="7942" width="8" customWidth="1"/>
    <col min="7943" max="7943" width="40.140625" customWidth="1"/>
    <col min="7944" max="7944" width="17" customWidth="1"/>
    <col min="7946" max="7946" width="9" bestFit="1" customWidth="1"/>
    <col min="7947" max="7947" width="16.7109375" customWidth="1"/>
    <col min="7949" max="7949" width="28.7109375" customWidth="1"/>
    <col min="7950" max="7950" width="21.7109375" customWidth="1"/>
    <col min="7951" max="7951" width="31.42578125" customWidth="1"/>
    <col min="8198" max="8198" width="8" customWidth="1"/>
    <col min="8199" max="8199" width="40.140625" customWidth="1"/>
    <col min="8200" max="8200" width="17" customWidth="1"/>
    <col min="8202" max="8202" width="9" bestFit="1" customWidth="1"/>
    <col min="8203" max="8203" width="16.7109375" customWidth="1"/>
    <col min="8205" max="8205" width="28.7109375" customWidth="1"/>
    <col min="8206" max="8206" width="21.7109375" customWidth="1"/>
    <col min="8207" max="8207" width="31.42578125" customWidth="1"/>
    <col min="8454" max="8454" width="8" customWidth="1"/>
    <col min="8455" max="8455" width="40.140625" customWidth="1"/>
    <col min="8456" max="8456" width="17" customWidth="1"/>
    <col min="8458" max="8458" width="9" bestFit="1" customWidth="1"/>
    <col min="8459" max="8459" width="16.7109375" customWidth="1"/>
    <col min="8461" max="8461" width="28.7109375" customWidth="1"/>
    <col min="8462" max="8462" width="21.7109375" customWidth="1"/>
    <col min="8463" max="8463" width="31.42578125" customWidth="1"/>
    <col min="8710" max="8710" width="8" customWidth="1"/>
    <col min="8711" max="8711" width="40.140625" customWidth="1"/>
    <col min="8712" max="8712" width="17" customWidth="1"/>
    <col min="8714" max="8714" width="9" bestFit="1" customWidth="1"/>
    <col min="8715" max="8715" width="16.7109375" customWidth="1"/>
    <col min="8717" max="8717" width="28.7109375" customWidth="1"/>
    <col min="8718" max="8718" width="21.7109375" customWidth="1"/>
    <col min="8719" max="8719" width="31.42578125" customWidth="1"/>
    <col min="8966" max="8966" width="8" customWidth="1"/>
    <col min="8967" max="8967" width="40.140625" customWidth="1"/>
    <col min="8968" max="8968" width="17" customWidth="1"/>
    <col min="8970" max="8970" width="9" bestFit="1" customWidth="1"/>
    <col min="8971" max="8971" width="16.7109375" customWidth="1"/>
    <col min="8973" max="8973" width="28.7109375" customWidth="1"/>
    <col min="8974" max="8974" width="21.7109375" customWidth="1"/>
    <col min="8975" max="8975" width="31.42578125" customWidth="1"/>
    <col min="9222" max="9222" width="8" customWidth="1"/>
    <col min="9223" max="9223" width="40.140625" customWidth="1"/>
    <col min="9224" max="9224" width="17" customWidth="1"/>
    <col min="9226" max="9226" width="9" bestFit="1" customWidth="1"/>
    <col min="9227" max="9227" width="16.7109375" customWidth="1"/>
    <col min="9229" max="9229" width="28.7109375" customWidth="1"/>
    <col min="9230" max="9230" width="21.7109375" customWidth="1"/>
    <col min="9231" max="9231" width="31.42578125" customWidth="1"/>
    <col min="9478" max="9478" width="8" customWidth="1"/>
    <col min="9479" max="9479" width="40.140625" customWidth="1"/>
    <col min="9480" max="9480" width="17" customWidth="1"/>
    <col min="9482" max="9482" width="9" bestFit="1" customWidth="1"/>
    <col min="9483" max="9483" width="16.7109375" customWidth="1"/>
    <col min="9485" max="9485" width="28.7109375" customWidth="1"/>
    <col min="9486" max="9486" width="21.7109375" customWidth="1"/>
    <col min="9487" max="9487" width="31.42578125" customWidth="1"/>
    <col min="9734" max="9734" width="8" customWidth="1"/>
    <col min="9735" max="9735" width="40.140625" customWidth="1"/>
    <col min="9736" max="9736" width="17" customWidth="1"/>
    <col min="9738" max="9738" width="9" bestFit="1" customWidth="1"/>
    <col min="9739" max="9739" width="16.7109375" customWidth="1"/>
    <col min="9741" max="9741" width="28.7109375" customWidth="1"/>
    <col min="9742" max="9742" width="21.7109375" customWidth="1"/>
    <col min="9743" max="9743" width="31.42578125" customWidth="1"/>
    <col min="9990" max="9990" width="8" customWidth="1"/>
    <col min="9991" max="9991" width="40.140625" customWidth="1"/>
    <col min="9992" max="9992" width="17" customWidth="1"/>
    <col min="9994" max="9994" width="9" bestFit="1" customWidth="1"/>
    <col min="9995" max="9995" width="16.7109375" customWidth="1"/>
    <col min="9997" max="9997" width="28.7109375" customWidth="1"/>
    <col min="9998" max="9998" width="21.7109375" customWidth="1"/>
    <col min="9999" max="9999" width="31.42578125" customWidth="1"/>
    <col min="10246" max="10246" width="8" customWidth="1"/>
    <col min="10247" max="10247" width="40.140625" customWidth="1"/>
    <col min="10248" max="10248" width="17" customWidth="1"/>
    <col min="10250" max="10250" width="9" bestFit="1" customWidth="1"/>
    <col min="10251" max="10251" width="16.7109375" customWidth="1"/>
    <col min="10253" max="10253" width="28.7109375" customWidth="1"/>
    <col min="10254" max="10254" width="21.7109375" customWidth="1"/>
    <col min="10255" max="10255" width="31.42578125" customWidth="1"/>
    <col min="10502" max="10502" width="8" customWidth="1"/>
    <col min="10503" max="10503" width="40.140625" customWidth="1"/>
    <col min="10504" max="10504" width="17" customWidth="1"/>
    <col min="10506" max="10506" width="9" bestFit="1" customWidth="1"/>
    <col min="10507" max="10507" width="16.7109375" customWidth="1"/>
    <col min="10509" max="10509" width="28.7109375" customWidth="1"/>
    <col min="10510" max="10510" width="21.7109375" customWidth="1"/>
    <col min="10511" max="10511" width="31.42578125" customWidth="1"/>
    <col min="10758" max="10758" width="8" customWidth="1"/>
    <col min="10759" max="10759" width="40.140625" customWidth="1"/>
    <col min="10760" max="10760" width="17" customWidth="1"/>
    <col min="10762" max="10762" width="9" bestFit="1" customWidth="1"/>
    <col min="10763" max="10763" width="16.7109375" customWidth="1"/>
    <col min="10765" max="10765" width="28.7109375" customWidth="1"/>
    <col min="10766" max="10766" width="21.7109375" customWidth="1"/>
    <col min="10767" max="10767" width="31.42578125" customWidth="1"/>
    <col min="11014" max="11014" width="8" customWidth="1"/>
    <col min="11015" max="11015" width="40.140625" customWidth="1"/>
    <col min="11016" max="11016" width="17" customWidth="1"/>
    <col min="11018" max="11018" width="9" bestFit="1" customWidth="1"/>
    <col min="11019" max="11019" width="16.7109375" customWidth="1"/>
    <col min="11021" max="11021" width="28.7109375" customWidth="1"/>
    <col min="11022" max="11022" width="21.7109375" customWidth="1"/>
    <col min="11023" max="11023" width="31.42578125" customWidth="1"/>
    <col min="11270" max="11270" width="8" customWidth="1"/>
    <col min="11271" max="11271" width="40.140625" customWidth="1"/>
    <col min="11272" max="11272" width="17" customWidth="1"/>
    <col min="11274" max="11274" width="9" bestFit="1" customWidth="1"/>
    <col min="11275" max="11275" width="16.7109375" customWidth="1"/>
    <col min="11277" max="11277" width="28.7109375" customWidth="1"/>
    <col min="11278" max="11278" width="21.7109375" customWidth="1"/>
    <col min="11279" max="11279" width="31.42578125" customWidth="1"/>
    <col min="11526" max="11526" width="8" customWidth="1"/>
    <col min="11527" max="11527" width="40.140625" customWidth="1"/>
    <col min="11528" max="11528" width="17" customWidth="1"/>
    <col min="11530" max="11530" width="9" bestFit="1" customWidth="1"/>
    <col min="11531" max="11531" width="16.7109375" customWidth="1"/>
    <col min="11533" max="11533" width="28.7109375" customWidth="1"/>
    <col min="11534" max="11534" width="21.7109375" customWidth="1"/>
    <col min="11535" max="11535" width="31.42578125" customWidth="1"/>
    <col min="11782" max="11782" width="8" customWidth="1"/>
    <col min="11783" max="11783" width="40.140625" customWidth="1"/>
    <col min="11784" max="11784" width="17" customWidth="1"/>
    <col min="11786" max="11786" width="9" bestFit="1" customWidth="1"/>
    <col min="11787" max="11787" width="16.7109375" customWidth="1"/>
    <col min="11789" max="11789" width="28.7109375" customWidth="1"/>
    <col min="11790" max="11790" width="21.7109375" customWidth="1"/>
    <col min="11791" max="11791" width="31.42578125" customWidth="1"/>
    <col min="12038" max="12038" width="8" customWidth="1"/>
    <col min="12039" max="12039" width="40.140625" customWidth="1"/>
    <col min="12040" max="12040" width="17" customWidth="1"/>
    <col min="12042" max="12042" width="9" bestFit="1" customWidth="1"/>
    <col min="12043" max="12043" width="16.7109375" customWidth="1"/>
    <col min="12045" max="12045" width="28.7109375" customWidth="1"/>
    <col min="12046" max="12046" width="21.7109375" customWidth="1"/>
    <col min="12047" max="12047" width="31.42578125" customWidth="1"/>
    <col min="12294" max="12294" width="8" customWidth="1"/>
    <col min="12295" max="12295" width="40.140625" customWidth="1"/>
    <col min="12296" max="12296" width="17" customWidth="1"/>
    <col min="12298" max="12298" width="9" bestFit="1" customWidth="1"/>
    <col min="12299" max="12299" width="16.7109375" customWidth="1"/>
    <col min="12301" max="12301" width="28.7109375" customWidth="1"/>
    <col min="12302" max="12302" width="21.7109375" customWidth="1"/>
    <col min="12303" max="12303" width="31.42578125" customWidth="1"/>
    <col min="12550" max="12550" width="8" customWidth="1"/>
    <col min="12551" max="12551" width="40.140625" customWidth="1"/>
    <col min="12552" max="12552" width="17" customWidth="1"/>
    <col min="12554" max="12554" width="9" bestFit="1" customWidth="1"/>
    <col min="12555" max="12555" width="16.7109375" customWidth="1"/>
    <col min="12557" max="12557" width="28.7109375" customWidth="1"/>
    <col min="12558" max="12558" width="21.7109375" customWidth="1"/>
    <col min="12559" max="12559" width="31.42578125" customWidth="1"/>
    <col min="12806" max="12806" width="8" customWidth="1"/>
    <col min="12807" max="12807" width="40.140625" customWidth="1"/>
    <col min="12808" max="12808" width="17" customWidth="1"/>
    <col min="12810" max="12810" width="9" bestFit="1" customWidth="1"/>
    <col min="12811" max="12811" width="16.7109375" customWidth="1"/>
    <col min="12813" max="12813" width="28.7109375" customWidth="1"/>
    <col min="12814" max="12814" width="21.7109375" customWidth="1"/>
    <col min="12815" max="12815" width="31.42578125" customWidth="1"/>
    <col min="13062" max="13062" width="8" customWidth="1"/>
    <col min="13063" max="13063" width="40.140625" customWidth="1"/>
    <col min="13064" max="13064" width="17" customWidth="1"/>
    <col min="13066" max="13066" width="9" bestFit="1" customWidth="1"/>
    <col min="13067" max="13067" width="16.7109375" customWidth="1"/>
    <col min="13069" max="13069" width="28.7109375" customWidth="1"/>
    <col min="13070" max="13070" width="21.7109375" customWidth="1"/>
    <col min="13071" max="13071" width="31.42578125" customWidth="1"/>
    <col min="13318" max="13318" width="8" customWidth="1"/>
    <col min="13319" max="13319" width="40.140625" customWidth="1"/>
    <col min="13320" max="13320" width="17" customWidth="1"/>
    <col min="13322" max="13322" width="9" bestFit="1" customWidth="1"/>
    <col min="13323" max="13323" width="16.7109375" customWidth="1"/>
    <col min="13325" max="13325" width="28.7109375" customWidth="1"/>
    <col min="13326" max="13326" width="21.7109375" customWidth="1"/>
    <col min="13327" max="13327" width="31.42578125" customWidth="1"/>
    <col min="13574" max="13574" width="8" customWidth="1"/>
    <col min="13575" max="13575" width="40.140625" customWidth="1"/>
    <col min="13576" max="13576" width="17" customWidth="1"/>
    <col min="13578" max="13578" width="9" bestFit="1" customWidth="1"/>
    <col min="13579" max="13579" width="16.7109375" customWidth="1"/>
    <col min="13581" max="13581" width="28.7109375" customWidth="1"/>
    <col min="13582" max="13582" width="21.7109375" customWidth="1"/>
    <col min="13583" max="13583" width="31.42578125" customWidth="1"/>
    <col min="13830" max="13830" width="8" customWidth="1"/>
    <col min="13831" max="13831" width="40.140625" customWidth="1"/>
    <col min="13832" max="13832" width="17" customWidth="1"/>
    <col min="13834" max="13834" width="9" bestFit="1" customWidth="1"/>
    <col min="13835" max="13835" width="16.7109375" customWidth="1"/>
    <col min="13837" max="13837" width="28.7109375" customWidth="1"/>
    <col min="13838" max="13838" width="21.7109375" customWidth="1"/>
    <col min="13839" max="13839" width="31.42578125" customWidth="1"/>
    <col min="14086" max="14086" width="8" customWidth="1"/>
    <col min="14087" max="14087" width="40.140625" customWidth="1"/>
    <col min="14088" max="14088" width="17" customWidth="1"/>
    <col min="14090" max="14090" width="9" bestFit="1" customWidth="1"/>
    <col min="14091" max="14091" width="16.7109375" customWidth="1"/>
    <col min="14093" max="14093" width="28.7109375" customWidth="1"/>
    <col min="14094" max="14094" width="21.7109375" customWidth="1"/>
    <col min="14095" max="14095" width="31.42578125" customWidth="1"/>
    <col min="14342" max="14342" width="8" customWidth="1"/>
    <col min="14343" max="14343" width="40.140625" customWidth="1"/>
    <col min="14344" max="14344" width="17" customWidth="1"/>
    <col min="14346" max="14346" width="9" bestFit="1" customWidth="1"/>
    <col min="14347" max="14347" width="16.7109375" customWidth="1"/>
    <col min="14349" max="14349" width="28.7109375" customWidth="1"/>
    <col min="14350" max="14350" width="21.7109375" customWidth="1"/>
    <col min="14351" max="14351" width="31.42578125" customWidth="1"/>
    <col min="14598" max="14598" width="8" customWidth="1"/>
    <col min="14599" max="14599" width="40.140625" customWidth="1"/>
    <col min="14600" max="14600" width="17" customWidth="1"/>
    <col min="14602" max="14602" width="9" bestFit="1" customWidth="1"/>
    <col min="14603" max="14603" width="16.7109375" customWidth="1"/>
    <col min="14605" max="14605" width="28.7109375" customWidth="1"/>
    <col min="14606" max="14606" width="21.7109375" customWidth="1"/>
    <col min="14607" max="14607" width="31.42578125" customWidth="1"/>
    <col min="14854" max="14854" width="8" customWidth="1"/>
    <col min="14855" max="14855" width="40.140625" customWidth="1"/>
    <col min="14856" max="14856" width="17" customWidth="1"/>
    <col min="14858" max="14858" width="9" bestFit="1" customWidth="1"/>
    <col min="14859" max="14859" width="16.7109375" customWidth="1"/>
    <col min="14861" max="14861" width="28.7109375" customWidth="1"/>
    <col min="14862" max="14862" width="21.7109375" customWidth="1"/>
    <col min="14863" max="14863" width="31.42578125" customWidth="1"/>
    <col min="15110" max="15110" width="8" customWidth="1"/>
    <col min="15111" max="15111" width="40.140625" customWidth="1"/>
    <col min="15112" max="15112" width="17" customWidth="1"/>
    <col min="15114" max="15114" width="9" bestFit="1" customWidth="1"/>
    <col min="15115" max="15115" width="16.7109375" customWidth="1"/>
    <col min="15117" max="15117" width="28.7109375" customWidth="1"/>
    <col min="15118" max="15118" width="21.7109375" customWidth="1"/>
    <col min="15119" max="15119" width="31.42578125" customWidth="1"/>
    <col min="15366" max="15366" width="8" customWidth="1"/>
    <col min="15367" max="15367" width="40.140625" customWidth="1"/>
    <col min="15368" max="15368" width="17" customWidth="1"/>
    <col min="15370" max="15370" width="9" bestFit="1" customWidth="1"/>
    <col min="15371" max="15371" width="16.7109375" customWidth="1"/>
    <col min="15373" max="15373" width="28.7109375" customWidth="1"/>
    <col min="15374" max="15374" width="21.7109375" customWidth="1"/>
    <col min="15375" max="15375" width="31.42578125" customWidth="1"/>
    <col min="15622" max="15622" width="8" customWidth="1"/>
    <col min="15623" max="15623" width="40.140625" customWidth="1"/>
    <col min="15624" max="15624" width="17" customWidth="1"/>
    <col min="15626" max="15626" width="9" bestFit="1" customWidth="1"/>
    <col min="15627" max="15627" width="16.7109375" customWidth="1"/>
    <col min="15629" max="15629" width="28.7109375" customWidth="1"/>
    <col min="15630" max="15630" width="21.7109375" customWidth="1"/>
    <col min="15631" max="15631" width="31.42578125" customWidth="1"/>
    <col min="15878" max="15878" width="8" customWidth="1"/>
    <col min="15879" max="15879" width="40.140625" customWidth="1"/>
    <col min="15880" max="15880" width="17" customWidth="1"/>
    <col min="15882" max="15882" width="9" bestFit="1" customWidth="1"/>
    <col min="15883" max="15883" width="16.7109375" customWidth="1"/>
    <col min="15885" max="15885" width="28.7109375" customWidth="1"/>
    <col min="15886" max="15886" width="21.7109375" customWidth="1"/>
    <col min="15887" max="15887" width="31.42578125" customWidth="1"/>
    <col min="16134" max="16134" width="8" customWidth="1"/>
    <col min="16135" max="16135" width="40.140625" customWidth="1"/>
    <col min="16136" max="16136" width="17" customWidth="1"/>
    <col min="16138" max="16138" width="9" bestFit="1" customWidth="1"/>
    <col min="16139" max="16139" width="16.7109375" customWidth="1"/>
    <col min="16141" max="16141" width="28.7109375" customWidth="1"/>
    <col min="16142" max="16142" width="21.7109375" customWidth="1"/>
    <col min="16143" max="16143" width="31.42578125" customWidth="1"/>
  </cols>
  <sheetData>
    <row r="1" spans="2:18" s="210" customFormat="1" ht="65.849999999999994" customHeight="1">
      <c r="B1" s="516" t="s">
        <v>3148</v>
      </c>
      <c r="C1" s="517"/>
      <c r="D1" s="517"/>
      <c r="E1" s="517"/>
      <c r="F1" s="517"/>
      <c r="G1" s="517"/>
      <c r="H1" s="517"/>
      <c r="I1" s="517"/>
      <c r="J1" s="517"/>
      <c r="K1" s="517"/>
      <c r="L1" s="517"/>
      <c r="M1" s="517"/>
      <c r="N1" s="517"/>
      <c r="O1" s="517"/>
    </row>
    <row r="3" spans="2:18" s="4" customFormat="1" ht="63.95">
      <c r="B3" s="244" t="s">
        <v>3149</v>
      </c>
      <c r="C3" s="245" t="s">
        <v>3150</v>
      </c>
      <c r="D3" s="246" t="s">
        <v>3151</v>
      </c>
      <c r="E3" s="245" t="s">
        <v>3152</v>
      </c>
      <c r="F3" s="247" t="s">
        <v>3153</v>
      </c>
      <c r="G3" s="247" t="s">
        <v>3154</v>
      </c>
      <c r="H3" s="246" t="s">
        <v>3100</v>
      </c>
      <c r="I3" s="246" t="s">
        <v>3155</v>
      </c>
      <c r="J3" s="246" t="s">
        <v>3156</v>
      </c>
      <c r="K3" s="246" t="s">
        <v>3157</v>
      </c>
      <c r="L3" s="246" t="s">
        <v>3158</v>
      </c>
      <c r="M3" s="246" t="s">
        <v>3159</v>
      </c>
      <c r="N3" s="248" t="s">
        <v>3160</v>
      </c>
      <c r="O3" s="246" t="s">
        <v>3161</v>
      </c>
    </row>
    <row r="4" spans="2:18" ht="17.100000000000001" thickBot="1">
      <c r="B4" s="159" t="s">
        <v>3162</v>
      </c>
      <c r="C4" s="86" t="s">
        <v>3163</v>
      </c>
      <c r="D4" s="87"/>
      <c r="E4" s="88"/>
      <c r="F4" s="89"/>
      <c r="G4" s="89"/>
      <c r="H4" s="90"/>
      <c r="I4" s="90"/>
      <c r="J4" s="90"/>
      <c r="K4" s="90"/>
      <c r="L4" s="90"/>
      <c r="M4" s="88"/>
      <c r="N4" s="87"/>
      <c r="O4" s="160"/>
    </row>
    <row r="5" spans="2:18" ht="15">
      <c r="B5" s="161"/>
      <c r="C5" s="91"/>
      <c r="D5" s="92"/>
      <c r="E5" s="93"/>
      <c r="F5" s="94"/>
      <c r="G5" s="95"/>
      <c r="H5" s="249"/>
      <c r="I5" s="96"/>
      <c r="J5" s="96"/>
      <c r="K5" s="96"/>
      <c r="L5" s="96"/>
      <c r="M5" s="97"/>
      <c r="N5" s="98"/>
      <c r="O5" s="162"/>
    </row>
    <row r="6" spans="2:18" ht="15">
      <c r="B6" s="250"/>
      <c r="C6" s="251"/>
      <c r="D6" s="252"/>
      <c r="E6" s="253"/>
      <c r="F6" s="254"/>
      <c r="G6" s="255"/>
      <c r="H6" s="249"/>
      <c r="I6" s="287"/>
      <c r="J6" s="287"/>
      <c r="K6" s="287"/>
      <c r="L6" s="287"/>
      <c r="M6" s="288"/>
      <c r="N6" s="256"/>
      <c r="O6" s="257"/>
      <c r="R6" s="99"/>
    </row>
    <row r="7" spans="2:18" ht="15">
      <c r="B7" s="250"/>
      <c r="C7" s="258"/>
      <c r="D7" s="259"/>
      <c r="E7" s="259"/>
      <c r="F7" s="260"/>
      <c r="G7" s="255"/>
      <c r="H7" s="249"/>
      <c r="I7" s="249"/>
      <c r="J7" s="249"/>
      <c r="K7" s="249"/>
      <c r="L7" s="249"/>
      <c r="M7" s="261"/>
      <c r="N7" s="256"/>
      <c r="O7" s="257"/>
    </row>
    <row r="8" spans="2:18" ht="15">
      <c r="B8" s="250"/>
      <c r="C8" s="251"/>
      <c r="D8" s="252"/>
      <c r="E8" s="253"/>
      <c r="F8" s="254"/>
      <c r="G8" s="255"/>
      <c r="H8" s="249"/>
      <c r="I8" s="249"/>
      <c r="J8" s="249"/>
      <c r="K8" s="249"/>
      <c r="L8" s="249"/>
      <c r="M8" s="261"/>
      <c r="N8" s="256"/>
      <c r="O8" s="257"/>
      <c r="R8" s="99"/>
    </row>
    <row r="9" spans="2:18" ht="21" customHeight="1">
      <c r="B9" s="163"/>
      <c r="C9" s="262"/>
      <c r="D9" s="263"/>
      <c r="E9" s="264"/>
      <c r="F9" s="254"/>
      <c r="G9" s="255"/>
      <c r="H9" s="249"/>
      <c r="I9" s="100"/>
      <c r="J9" s="100"/>
      <c r="K9" s="100"/>
      <c r="L9" s="100"/>
      <c r="M9" s="101"/>
      <c r="N9" s="256"/>
      <c r="O9" s="265"/>
    </row>
    <row r="10" spans="2:18" ht="15.75" customHeight="1" thickBot="1">
      <c r="B10" s="518" t="s">
        <v>3164</v>
      </c>
      <c r="C10" s="518"/>
      <c r="D10" s="518"/>
      <c r="E10" s="518"/>
      <c r="F10" s="102">
        <f>SUM(F5:F9)</f>
        <v>0</v>
      </c>
      <c r="G10" s="103"/>
      <c r="H10" s="104"/>
      <c r="I10" s="105"/>
      <c r="J10" s="105"/>
      <c r="K10" s="105"/>
      <c r="L10" s="105"/>
      <c r="M10" s="101"/>
      <c r="N10" s="106"/>
      <c r="O10" s="164"/>
    </row>
    <row r="11" spans="2:18" ht="17.100000000000001" thickBot="1">
      <c r="B11" s="165" t="s">
        <v>3165</v>
      </c>
      <c r="C11" s="107" t="s">
        <v>3166</v>
      </c>
      <c r="D11" s="108"/>
      <c r="E11" s="109"/>
      <c r="F11" s="110"/>
      <c r="G11" s="110"/>
      <c r="H11" s="111"/>
      <c r="I11" s="111"/>
      <c r="J11" s="111"/>
      <c r="K11" s="111"/>
      <c r="L11" s="111"/>
      <c r="M11" s="112"/>
      <c r="N11" s="113"/>
      <c r="O11" s="114"/>
    </row>
    <row r="12" spans="2:18" ht="15">
      <c r="B12" s="166"/>
      <c r="C12" s="115"/>
      <c r="D12" s="116"/>
      <c r="E12" s="93"/>
      <c r="F12" s="117"/>
      <c r="G12" s="95"/>
      <c r="H12" s="118"/>
      <c r="I12" s="119"/>
      <c r="J12" s="119"/>
      <c r="K12" s="119"/>
      <c r="L12" s="119"/>
      <c r="M12" s="261"/>
      <c r="N12" s="98"/>
      <c r="O12" s="167"/>
    </row>
    <row r="13" spans="2:18" ht="15">
      <c r="B13" s="266"/>
      <c r="C13" s="267"/>
      <c r="D13" s="268"/>
      <c r="E13" s="264"/>
      <c r="F13" s="260"/>
      <c r="G13" s="255"/>
      <c r="H13" s="269"/>
      <c r="I13" s="269"/>
      <c r="J13" s="269"/>
      <c r="K13" s="269"/>
      <c r="L13" s="269"/>
      <c r="M13" s="261"/>
      <c r="N13" s="256"/>
      <c r="O13" s="270"/>
    </row>
    <row r="14" spans="2:18" ht="15">
      <c r="B14" s="266"/>
      <c r="C14" s="258"/>
      <c r="D14" s="259"/>
      <c r="E14" s="259"/>
      <c r="F14" s="260"/>
      <c r="G14" s="255"/>
      <c r="H14" s="269"/>
      <c r="I14" s="269"/>
      <c r="J14" s="269"/>
      <c r="K14" s="269"/>
      <c r="L14" s="269"/>
      <c r="M14" s="261"/>
      <c r="N14" s="256"/>
      <c r="O14" s="270"/>
    </row>
    <row r="15" spans="2:18" ht="15.75" customHeight="1" thickBot="1">
      <c r="B15" s="518" t="s">
        <v>3167</v>
      </c>
      <c r="C15" s="518"/>
      <c r="D15" s="518"/>
      <c r="E15" s="518"/>
      <c r="F15" s="120">
        <f>SUM(F12:F14)</f>
        <v>0</v>
      </c>
      <c r="G15" s="120"/>
      <c r="H15" s="121"/>
      <c r="I15" s="121"/>
      <c r="J15" s="121"/>
      <c r="K15" s="121"/>
      <c r="L15" s="121"/>
      <c r="M15" s="122"/>
      <c r="N15" s="123"/>
      <c r="O15" s="168"/>
    </row>
    <row r="16" spans="2:18" ht="15.95" thickBot="1">
      <c r="B16" s="169" t="s">
        <v>3168</v>
      </c>
      <c r="C16" s="124" t="s">
        <v>3169</v>
      </c>
      <c r="D16" s="125"/>
      <c r="E16" s="125"/>
      <c r="F16" s="126"/>
      <c r="G16" s="126"/>
      <c r="H16" s="127"/>
      <c r="I16" s="127"/>
      <c r="J16" s="127"/>
      <c r="K16" s="127"/>
      <c r="L16" s="127"/>
      <c r="M16" s="128"/>
      <c r="N16" s="129"/>
      <c r="O16" s="114"/>
    </row>
    <row r="17" spans="2:15" ht="30.95" thickBot="1">
      <c r="B17" s="176" t="s">
        <v>3170</v>
      </c>
      <c r="C17" s="428" t="s">
        <v>3171</v>
      </c>
      <c r="D17" s="178"/>
      <c r="E17" s="178">
        <v>3</v>
      </c>
      <c r="F17" s="179">
        <v>200000</v>
      </c>
      <c r="G17" s="423" t="s">
        <v>3172</v>
      </c>
      <c r="H17" s="180">
        <v>72100</v>
      </c>
      <c r="I17" s="180" t="s">
        <v>3173</v>
      </c>
      <c r="J17" s="426">
        <v>46264</v>
      </c>
      <c r="K17" s="426">
        <v>46325</v>
      </c>
      <c r="L17" s="426">
        <v>46327</v>
      </c>
      <c r="M17" s="181">
        <v>46433</v>
      </c>
      <c r="N17" s="182"/>
      <c r="O17" s="183"/>
    </row>
    <row r="18" spans="2:15" ht="15.95" thickBot="1">
      <c r="B18" s="176"/>
      <c r="C18" s="177"/>
      <c r="D18" s="178"/>
      <c r="E18" s="178"/>
      <c r="F18" s="179"/>
      <c r="G18" s="179"/>
      <c r="H18" s="180"/>
      <c r="I18" s="180"/>
      <c r="J18" s="180"/>
      <c r="K18" s="180"/>
      <c r="L18" s="180"/>
      <c r="M18" s="181"/>
      <c r="N18" s="182"/>
      <c r="O18" s="183"/>
    </row>
    <row r="19" spans="2:15" ht="15.95" thickBot="1">
      <c r="B19" s="176"/>
      <c r="C19" s="177"/>
      <c r="D19" s="178"/>
      <c r="E19" s="178"/>
      <c r="F19" s="179"/>
      <c r="G19" s="179"/>
      <c r="H19" s="180"/>
      <c r="I19" s="180"/>
      <c r="J19" s="180"/>
      <c r="K19" s="180"/>
      <c r="L19" s="180"/>
      <c r="M19" s="181"/>
      <c r="N19" s="182"/>
      <c r="O19" s="183"/>
    </row>
    <row r="20" spans="2:15" ht="15.95" thickBot="1">
      <c r="B20" s="176"/>
      <c r="C20" s="177"/>
      <c r="D20" s="178"/>
      <c r="E20" s="178"/>
      <c r="F20" s="179"/>
      <c r="G20" s="179"/>
      <c r="H20" s="180"/>
      <c r="I20" s="180"/>
      <c r="J20" s="180"/>
      <c r="K20" s="180"/>
      <c r="L20" s="180"/>
      <c r="M20" s="181"/>
      <c r="N20" s="182"/>
      <c r="O20" s="183"/>
    </row>
    <row r="21" spans="2:15" ht="15.75" customHeight="1" thickBot="1">
      <c r="B21" s="170"/>
      <c r="C21" s="130"/>
      <c r="D21" s="131"/>
      <c r="E21" s="131"/>
      <c r="F21" s="132"/>
      <c r="G21" s="133"/>
      <c r="H21" s="134"/>
      <c r="I21" s="134"/>
      <c r="J21" s="134"/>
      <c r="K21" s="134"/>
      <c r="L21" s="134"/>
      <c r="M21" s="135"/>
      <c r="N21" s="135"/>
      <c r="O21" s="136"/>
    </row>
    <row r="22" spans="2:15" ht="15.75" customHeight="1" thickBot="1">
      <c r="B22" s="170"/>
      <c r="C22" s="130"/>
      <c r="D22" s="131"/>
      <c r="E22" s="131"/>
      <c r="F22" s="132"/>
      <c r="G22" s="133"/>
      <c r="H22" s="134"/>
      <c r="I22" s="134"/>
      <c r="J22" s="134"/>
      <c r="K22" s="134"/>
      <c r="L22" s="134"/>
      <c r="M22" s="135"/>
      <c r="N22" s="135"/>
      <c r="O22" s="136"/>
    </row>
    <row r="23" spans="2:15" ht="15.75" customHeight="1" thickBot="1">
      <c r="B23" s="170"/>
      <c r="C23" s="130"/>
      <c r="D23" s="131"/>
      <c r="E23" s="131"/>
      <c r="F23" s="132"/>
      <c r="G23" s="133"/>
      <c r="H23" s="134"/>
      <c r="I23" s="134"/>
      <c r="J23" s="134"/>
      <c r="K23" s="134"/>
      <c r="L23" s="134"/>
      <c r="M23" s="135"/>
      <c r="N23" s="135"/>
      <c r="O23" s="136"/>
    </row>
    <row r="24" spans="2:15" ht="15.75" customHeight="1" thickBot="1">
      <c r="B24" s="519" t="s">
        <v>3174</v>
      </c>
      <c r="C24" s="520"/>
      <c r="D24" s="520"/>
      <c r="E24" s="521"/>
      <c r="F24" s="120">
        <f>SUM(F17:F23)</f>
        <v>200000</v>
      </c>
      <c r="G24" s="133"/>
      <c r="H24" s="134"/>
      <c r="I24" s="134"/>
      <c r="J24" s="134"/>
      <c r="K24" s="134"/>
      <c r="L24" s="134"/>
      <c r="M24" s="135"/>
      <c r="N24" s="135"/>
      <c r="O24" s="136"/>
    </row>
    <row r="25" spans="2:15" ht="15.75" customHeight="1" thickBot="1">
      <c r="B25" s="184" t="s">
        <v>3175</v>
      </c>
      <c r="C25" s="185" t="s">
        <v>3176</v>
      </c>
      <c r="D25" s="186"/>
      <c r="E25" s="186"/>
      <c r="F25" s="187"/>
      <c r="G25" s="187"/>
      <c r="H25" s="188"/>
      <c r="I25" s="188"/>
      <c r="J25" s="188"/>
      <c r="K25" s="188"/>
      <c r="L25" s="188"/>
      <c r="M25" s="189"/>
      <c r="N25" s="190"/>
      <c r="O25" s="191"/>
    </row>
    <row r="26" spans="2:15" ht="15.75" customHeight="1" thickBot="1">
      <c r="B26" s="171" t="s">
        <v>3177</v>
      </c>
      <c r="C26" s="137" t="s">
        <v>3178</v>
      </c>
      <c r="D26" s="138"/>
      <c r="E26" s="138">
        <v>12</v>
      </c>
      <c r="F26" s="421">
        <v>1000000</v>
      </c>
      <c r="G26" s="424" t="s">
        <v>3179</v>
      </c>
      <c r="H26" s="140">
        <v>72100</v>
      </c>
      <c r="I26" s="140" t="s">
        <v>3173</v>
      </c>
      <c r="J26" s="426">
        <v>46264</v>
      </c>
      <c r="K26" s="426">
        <v>46325</v>
      </c>
      <c r="L26" s="426">
        <v>46327</v>
      </c>
      <c r="M26" s="181">
        <v>46433</v>
      </c>
      <c r="N26" s="142"/>
      <c r="O26" s="172"/>
    </row>
    <row r="27" spans="2:15" ht="15.75" customHeight="1" thickBot="1">
      <c r="B27" s="171"/>
      <c r="C27" s="137"/>
      <c r="D27" s="138"/>
      <c r="E27" s="138"/>
      <c r="F27" s="139"/>
      <c r="G27" s="139"/>
      <c r="H27" s="140"/>
      <c r="I27" s="140"/>
      <c r="J27" s="140"/>
      <c r="K27" s="140"/>
      <c r="L27" s="140"/>
      <c r="M27" s="141"/>
      <c r="N27" s="142"/>
      <c r="O27" s="172"/>
    </row>
    <row r="28" spans="2:15" ht="18" customHeight="1" thickBot="1">
      <c r="B28" s="170"/>
      <c r="C28" s="130"/>
      <c r="D28" s="131"/>
      <c r="E28" s="131"/>
      <c r="F28" s="132"/>
      <c r="G28" s="133"/>
      <c r="H28" s="134"/>
      <c r="I28" s="134"/>
      <c r="J28" s="134"/>
      <c r="K28" s="134"/>
      <c r="L28" s="134"/>
      <c r="M28" s="135"/>
      <c r="N28" s="135"/>
      <c r="O28" s="136"/>
    </row>
    <row r="29" spans="2:15" ht="15.75" customHeight="1" thickBot="1">
      <c r="B29" s="170"/>
      <c r="C29" s="130"/>
      <c r="D29" s="131"/>
      <c r="E29" s="131"/>
      <c r="F29" s="132"/>
      <c r="G29" s="133"/>
      <c r="H29" s="134"/>
      <c r="I29" s="134"/>
      <c r="J29" s="134"/>
      <c r="K29" s="134"/>
      <c r="L29" s="134"/>
      <c r="M29" s="135"/>
      <c r="N29" s="135"/>
      <c r="O29" s="136"/>
    </row>
    <row r="30" spans="2:15" ht="15.75" customHeight="1" thickBot="1">
      <c r="B30" s="170"/>
      <c r="C30" s="130"/>
      <c r="D30" s="131"/>
      <c r="E30" s="131"/>
      <c r="F30" s="132"/>
      <c r="G30" s="133"/>
      <c r="H30" s="134"/>
      <c r="I30" s="134"/>
      <c r="J30" s="134"/>
      <c r="K30" s="134"/>
      <c r="L30" s="134"/>
      <c r="M30" s="135"/>
      <c r="N30" s="135"/>
      <c r="O30" s="136"/>
    </row>
    <row r="31" spans="2:15" ht="15.75" customHeight="1" thickBot="1">
      <c r="B31" s="519" t="s">
        <v>3164</v>
      </c>
      <c r="C31" s="520"/>
      <c r="D31" s="520"/>
      <c r="E31" s="521"/>
      <c r="F31" s="421">
        <v>1000000</v>
      </c>
      <c r="G31" s="133"/>
      <c r="H31" s="134"/>
      <c r="I31" s="134"/>
      <c r="J31" s="134"/>
      <c r="K31" s="134"/>
      <c r="L31" s="134"/>
      <c r="M31" s="135"/>
      <c r="N31" s="135"/>
      <c r="O31" s="136"/>
    </row>
    <row r="32" spans="2:15" ht="15.75" customHeight="1" thickBot="1">
      <c r="B32" s="169" t="s">
        <v>3180</v>
      </c>
      <c r="C32" s="124" t="s">
        <v>3181</v>
      </c>
      <c r="D32" s="125"/>
      <c r="E32" s="125"/>
      <c r="F32" s="126"/>
      <c r="G32" s="126"/>
      <c r="H32" s="127"/>
      <c r="I32" s="127"/>
      <c r="J32" s="127"/>
      <c r="K32" s="127"/>
      <c r="L32" s="127"/>
      <c r="M32" s="128"/>
      <c r="N32" s="129"/>
      <c r="O32" s="114"/>
    </row>
    <row r="33" spans="2:20" ht="27.75" customHeight="1" thickBot="1">
      <c r="B33" s="170" t="s">
        <v>3182</v>
      </c>
      <c r="C33" s="428" t="s">
        <v>3183</v>
      </c>
      <c r="D33" s="131"/>
      <c r="E33" s="131" t="s">
        <v>3165</v>
      </c>
      <c r="F33" s="132">
        <v>76944.460000000006</v>
      </c>
      <c r="G33" s="133" t="s">
        <v>3179</v>
      </c>
      <c r="H33" s="425">
        <v>71300</v>
      </c>
      <c r="I33" s="134" t="s">
        <v>3184</v>
      </c>
      <c r="J33" s="427">
        <v>46244</v>
      </c>
      <c r="K33" s="427">
        <v>46264</v>
      </c>
      <c r="L33" s="427">
        <v>46266</v>
      </c>
      <c r="M33" s="181">
        <v>46568</v>
      </c>
      <c r="N33" s="135"/>
      <c r="O33" s="136"/>
    </row>
    <row r="34" spans="2:20" ht="15.75" customHeight="1" thickBot="1">
      <c r="B34" s="170"/>
      <c r="C34" s="130"/>
      <c r="D34" s="131"/>
      <c r="E34" s="131"/>
      <c r="F34" s="132"/>
      <c r="G34" s="133"/>
      <c r="H34" s="134"/>
      <c r="I34" s="134"/>
      <c r="J34" s="134"/>
      <c r="K34" s="134"/>
      <c r="L34" s="134"/>
      <c r="M34" s="135"/>
      <c r="N34" s="135"/>
      <c r="O34" s="136"/>
    </row>
    <row r="35" spans="2:20" ht="15.75" customHeight="1" thickBot="1">
      <c r="B35" s="170"/>
      <c r="C35" s="130"/>
      <c r="D35" s="131"/>
      <c r="E35" s="131"/>
      <c r="F35" s="132"/>
      <c r="G35" s="133"/>
      <c r="H35" s="134"/>
      <c r="I35" s="134"/>
      <c r="J35" s="134"/>
      <c r="K35" s="134"/>
      <c r="L35" s="134"/>
      <c r="M35" s="135"/>
      <c r="N35" s="135"/>
      <c r="O35" s="136"/>
    </row>
    <row r="36" spans="2:20" ht="15.75" customHeight="1" thickBot="1">
      <c r="B36" s="170"/>
      <c r="C36" s="130"/>
      <c r="D36" s="131"/>
      <c r="E36" s="131"/>
      <c r="F36" s="132"/>
      <c r="G36" s="133"/>
      <c r="H36" s="134"/>
      <c r="I36" s="134"/>
      <c r="J36" s="134"/>
      <c r="K36" s="134"/>
      <c r="L36" s="134"/>
      <c r="M36" s="135"/>
      <c r="N36" s="135"/>
      <c r="O36" s="136"/>
    </row>
    <row r="37" spans="2:20" ht="15.75" customHeight="1" thickBot="1">
      <c r="B37" s="518" t="s">
        <v>3185</v>
      </c>
      <c r="C37" s="518"/>
      <c r="D37" s="518"/>
      <c r="E37" s="518"/>
      <c r="F37" s="120">
        <f>SUM(F33:F36)</f>
        <v>76944.460000000006</v>
      </c>
      <c r="G37" s="120"/>
      <c r="H37" s="143"/>
      <c r="I37" s="143"/>
      <c r="J37" s="143"/>
      <c r="K37" s="143"/>
      <c r="L37" s="143"/>
      <c r="M37" s="122"/>
      <c r="N37" s="123"/>
      <c r="O37" s="168"/>
    </row>
    <row r="38" spans="2:20">
      <c r="B38" s="173"/>
      <c r="O38" s="174"/>
    </row>
    <row r="39" spans="2:20" ht="15" hidden="1">
      <c r="B39" s="175" t="s">
        <v>3177</v>
      </c>
      <c r="C39" s="144"/>
      <c r="D39" s="145"/>
      <c r="E39" s="145"/>
      <c r="F39" s="146"/>
      <c r="G39" s="146"/>
      <c r="H39" s="147"/>
      <c r="I39" s="147"/>
      <c r="J39" s="147"/>
      <c r="K39" s="147"/>
      <c r="L39" s="147"/>
      <c r="M39" s="101"/>
      <c r="N39" s="256" t="s">
        <v>3186</v>
      </c>
      <c r="O39" s="148"/>
    </row>
    <row r="40" spans="2:20" ht="15" hidden="1">
      <c r="B40" s="250" t="s">
        <v>3187</v>
      </c>
      <c r="C40" s="271"/>
      <c r="D40" s="272"/>
      <c r="E40" s="272"/>
      <c r="F40" s="273"/>
      <c r="G40" s="273"/>
      <c r="H40" s="268"/>
      <c r="I40" s="268"/>
      <c r="J40" s="268"/>
      <c r="K40" s="268"/>
      <c r="L40" s="268"/>
      <c r="M40" s="261"/>
      <c r="N40" s="256" t="s">
        <v>3186</v>
      </c>
      <c r="O40" s="274"/>
    </row>
    <row r="41" spans="2:20" ht="15" hidden="1">
      <c r="B41" s="250" t="s">
        <v>3188</v>
      </c>
      <c r="C41" s="271"/>
      <c r="D41" s="272"/>
      <c r="E41" s="272"/>
      <c r="F41" s="273"/>
      <c r="G41" s="273"/>
      <c r="H41" s="268"/>
      <c r="I41" s="268"/>
      <c r="J41" s="268"/>
      <c r="K41" s="268"/>
      <c r="L41" s="268"/>
      <c r="M41" s="261"/>
      <c r="N41" s="256" t="s">
        <v>3186</v>
      </c>
      <c r="O41" s="274"/>
    </row>
    <row r="42" spans="2:20" ht="15" hidden="1">
      <c r="B42" s="250" t="s">
        <v>3189</v>
      </c>
      <c r="C42" s="271"/>
      <c r="D42" s="272"/>
      <c r="E42" s="272"/>
      <c r="F42" s="273"/>
      <c r="G42" s="273"/>
      <c r="H42" s="268"/>
      <c r="I42" s="268"/>
      <c r="J42" s="268"/>
      <c r="K42" s="268"/>
      <c r="L42" s="268"/>
      <c r="M42" s="261"/>
      <c r="N42" s="256" t="s">
        <v>3186</v>
      </c>
      <c r="O42" s="274"/>
    </row>
    <row r="43" spans="2:20" ht="15" hidden="1">
      <c r="B43" s="289" t="s">
        <v>3190</v>
      </c>
      <c r="C43" s="290"/>
      <c r="D43" s="291"/>
      <c r="E43" s="292"/>
      <c r="F43" s="275"/>
      <c r="G43" s="275"/>
      <c r="H43" s="276"/>
      <c r="I43" s="276"/>
      <c r="J43" s="276"/>
      <c r="K43" s="276"/>
      <c r="L43" s="276"/>
      <c r="M43" s="277"/>
      <c r="N43" s="278"/>
      <c r="O43" s="274"/>
      <c r="T43" s="4"/>
    </row>
    <row r="44" spans="2:20" ht="15.75" hidden="1" customHeight="1">
      <c r="B44" s="514" t="s">
        <v>3185</v>
      </c>
      <c r="C44" s="514"/>
      <c r="D44" s="514"/>
      <c r="E44" s="514"/>
      <c r="F44" s="279">
        <f>SUM(F39:F43)</f>
        <v>0</v>
      </c>
      <c r="G44" s="149"/>
      <c r="H44" s="150"/>
      <c r="I44" s="150"/>
      <c r="J44" s="150"/>
      <c r="K44" s="150"/>
      <c r="L44" s="150"/>
      <c r="M44" s="151"/>
      <c r="N44" s="152"/>
      <c r="O44" s="153"/>
      <c r="T44" s="154"/>
    </row>
    <row r="45" spans="2:20" ht="23.25" customHeight="1">
      <c r="B45" s="515" t="s">
        <v>3145</v>
      </c>
      <c r="C45" s="515"/>
      <c r="D45" s="515"/>
      <c r="E45" s="515"/>
      <c r="F45" s="155">
        <f>F10+F15+F37+F24+F31</f>
        <v>1276944.46</v>
      </c>
      <c r="G45" s="156"/>
      <c r="H45" s="156"/>
      <c r="I45" s="156"/>
      <c r="J45" s="156"/>
      <c r="K45" s="156"/>
      <c r="L45" s="156"/>
      <c r="M45" s="156"/>
      <c r="N45" s="156"/>
      <c r="O45" s="157"/>
    </row>
  </sheetData>
  <mergeCells count="8">
    <mergeCell ref="B44:E44"/>
    <mergeCell ref="B45:E45"/>
    <mergeCell ref="B1:O1"/>
    <mergeCell ref="B10:E10"/>
    <mergeCell ref="B15:E15"/>
    <mergeCell ref="B24:E24"/>
    <mergeCell ref="B31:E31"/>
    <mergeCell ref="B37:E3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0BAB8-1498-4BE2-94BF-FB38B3B15B22}">
  <dimension ref="B3:J25"/>
  <sheetViews>
    <sheetView workbookViewId="0">
      <selection activeCell="B17" sqref="B17"/>
    </sheetView>
  </sheetViews>
  <sheetFormatPr defaultColWidth="8.7109375" defaultRowHeight="12.95"/>
  <cols>
    <col min="1" max="1" width="3.28515625" customWidth="1"/>
    <col min="2" max="2" width="41.42578125" customWidth="1"/>
    <col min="3" max="3" width="83.140625" style="72" customWidth="1"/>
    <col min="4" max="6" width="6.42578125" customWidth="1"/>
    <col min="7" max="7" width="7.140625" customWidth="1"/>
    <col min="8" max="8" width="21.7109375" customWidth="1"/>
    <col min="9" max="9" width="19.42578125" customWidth="1"/>
    <col min="10" max="10" width="31.28515625" customWidth="1"/>
  </cols>
  <sheetData>
    <row r="3" spans="2:10" ht="20.100000000000001">
      <c r="B3" s="67" t="s">
        <v>3191</v>
      </c>
    </row>
    <row r="5" spans="2:10">
      <c r="B5" s="222"/>
      <c r="C5" s="349"/>
      <c r="D5" s="522">
        <v>2026</v>
      </c>
      <c r="E5" s="522"/>
      <c r="F5" s="522">
        <v>2027</v>
      </c>
      <c r="G5" s="522"/>
      <c r="H5" s="222"/>
      <c r="I5" s="222"/>
      <c r="J5" s="222"/>
    </row>
    <row r="6" spans="2:10" s="356" customFormat="1" ht="21.75" customHeight="1">
      <c r="B6" s="352" t="s">
        <v>3192</v>
      </c>
      <c r="C6" s="353" t="s">
        <v>3193</v>
      </c>
      <c r="D6" s="354" t="s">
        <v>3095</v>
      </c>
      <c r="E6" s="354" t="s">
        <v>3096</v>
      </c>
      <c r="F6" s="354" t="s">
        <v>3097</v>
      </c>
      <c r="G6" s="354" t="s">
        <v>3098</v>
      </c>
      <c r="H6" s="354" t="s">
        <v>3194</v>
      </c>
      <c r="I6" s="354" t="s">
        <v>3195</v>
      </c>
      <c r="J6" s="355" t="s">
        <v>3196</v>
      </c>
    </row>
    <row r="7" spans="2:10" ht="3.75" hidden="1" customHeight="1">
      <c r="B7" s="68" t="s">
        <v>3197</v>
      </c>
      <c r="C7" s="350" t="s">
        <v>3198</v>
      </c>
      <c r="D7" s="69" t="s">
        <v>3199</v>
      </c>
      <c r="E7" s="69" t="s">
        <v>3200</v>
      </c>
      <c r="F7" s="69" t="s">
        <v>3201</v>
      </c>
      <c r="G7" s="69" t="s">
        <v>3202</v>
      </c>
      <c r="H7" s="69" t="s">
        <v>3203</v>
      </c>
      <c r="I7" s="69" t="s">
        <v>3204</v>
      </c>
      <c r="J7" s="70" t="s">
        <v>3205</v>
      </c>
    </row>
    <row r="8" spans="2:10" ht="14.1">
      <c r="B8" s="71" t="s">
        <v>3206</v>
      </c>
      <c r="C8" s="364" t="s">
        <v>3207</v>
      </c>
      <c r="D8" s="63"/>
      <c r="E8" s="63">
        <v>1</v>
      </c>
      <c r="F8" s="63"/>
      <c r="G8" s="63">
        <v>1</v>
      </c>
      <c r="H8" s="63">
        <v>8000</v>
      </c>
      <c r="I8" s="63" t="s">
        <v>3208</v>
      </c>
      <c r="J8" s="64" t="s">
        <v>3209</v>
      </c>
    </row>
    <row r="9" spans="2:10" ht="14.1">
      <c r="C9" s="364" t="s">
        <v>3210</v>
      </c>
      <c r="D9" s="65">
        <v>1</v>
      </c>
      <c r="E9" s="65"/>
      <c r="F9" s="65"/>
      <c r="G9" s="65">
        <v>1</v>
      </c>
      <c r="H9" s="65"/>
      <c r="I9" s="63" t="s">
        <v>3208</v>
      </c>
      <c r="J9" s="66" t="s">
        <v>3211</v>
      </c>
    </row>
    <row r="10" spans="2:10" ht="14.1">
      <c r="B10" s="71" t="s">
        <v>3212</v>
      </c>
      <c r="C10" s="72" t="s">
        <v>3213</v>
      </c>
      <c r="D10">
        <v>1</v>
      </c>
      <c r="E10">
        <v>1</v>
      </c>
      <c r="H10">
        <v>2000</v>
      </c>
      <c r="I10" s="63" t="s">
        <v>3208</v>
      </c>
      <c r="J10" s="50" t="s">
        <v>3214</v>
      </c>
    </row>
    <row r="11" spans="2:10" ht="14.1">
      <c r="C11" s="364" t="s">
        <v>3215</v>
      </c>
      <c r="I11" s="63" t="s">
        <v>3208</v>
      </c>
      <c r="J11" s="50" t="s">
        <v>3216</v>
      </c>
    </row>
    <row r="12" spans="2:10" ht="14.1">
      <c r="B12" s="71" t="s">
        <v>3217</v>
      </c>
      <c r="C12" s="364" t="s">
        <v>3218</v>
      </c>
      <c r="D12">
        <v>1</v>
      </c>
      <c r="E12">
        <v>1</v>
      </c>
      <c r="F12">
        <v>1</v>
      </c>
      <c r="G12">
        <v>1</v>
      </c>
      <c r="H12">
        <v>30000</v>
      </c>
      <c r="I12" s="63" t="s">
        <v>3208</v>
      </c>
      <c r="J12" s="50" t="s">
        <v>3219</v>
      </c>
    </row>
    <row r="13" spans="2:10" ht="14.1">
      <c r="B13" s="71"/>
      <c r="C13" s="364" t="s">
        <v>3220</v>
      </c>
      <c r="D13">
        <v>1</v>
      </c>
      <c r="E13">
        <v>1</v>
      </c>
      <c r="F13">
        <v>1</v>
      </c>
      <c r="G13">
        <v>1</v>
      </c>
      <c r="I13" s="63" t="s">
        <v>3208</v>
      </c>
      <c r="J13" s="50" t="s">
        <v>3221</v>
      </c>
    </row>
    <row r="14" spans="2:10" ht="14.1">
      <c r="B14" s="71"/>
      <c r="C14" s="364" t="s">
        <v>3222</v>
      </c>
      <c r="D14">
        <v>6</v>
      </c>
      <c r="E14">
        <v>6</v>
      </c>
      <c r="F14">
        <v>6</v>
      </c>
      <c r="G14">
        <v>6</v>
      </c>
      <c r="I14" s="63" t="s">
        <v>3208</v>
      </c>
      <c r="J14" s="50" t="s">
        <v>3223</v>
      </c>
    </row>
    <row r="15" spans="2:10" ht="14.1">
      <c r="B15" s="71"/>
      <c r="C15" s="364" t="s">
        <v>3224</v>
      </c>
      <c r="D15">
        <v>1</v>
      </c>
      <c r="E15">
        <v>1</v>
      </c>
      <c r="F15">
        <v>1</v>
      </c>
      <c r="G15">
        <v>1</v>
      </c>
      <c r="I15" s="63" t="s">
        <v>3208</v>
      </c>
      <c r="J15" s="50" t="s">
        <v>3225</v>
      </c>
    </row>
    <row r="16" spans="2:10" ht="14.1">
      <c r="B16" s="71"/>
      <c r="C16" s="364" t="s">
        <v>3226</v>
      </c>
      <c r="D16">
        <v>1</v>
      </c>
      <c r="E16">
        <v>1</v>
      </c>
      <c r="F16">
        <v>1</v>
      </c>
      <c r="G16">
        <v>1</v>
      </c>
      <c r="I16" s="63" t="s">
        <v>3208</v>
      </c>
      <c r="J16" s="50" t="s">
        <v>3225</v>
      </c>
    </row>
    <row r="17" spans="2:10" ht="14.1">
      <c r="B17" s="71"/>
      <c r="C17" s="364" t="s">
        <v>3227</v>
      </c>
      <c r="F17">
        <v>1</v>
      </c>
      <c r="I17" s="419" t="s">
        <v>3208</v>
      </c>
      <c r="J17" s="50" t="s">
        <v>3228</v>
      </c>
    </row>
    <row r="18" spans="2:10">
      <c r="B18" s="351" t="s">
        <v>3229</v>
      </c>
      <c r="C18" s="363"/>
      <c r="D18" s="351"/>
      <c r="E18" s="351"/>
      <c r="F18" s="351"/>
      <c r="G18" s="351"/>
      <c r="H18" s="351">
        <f>SUM(H8:H16)</f>
        <v>40000</v>
      </c>
      <c r="I18" s="351"/>
    </row>
    <row r="25" spans="2:10" ht="21.75" customHeight="1"/>
  </sheetData>
  <mergeCells count="2">
    <mergeCell ref="D5:E5"/>
    <mergeCell ref="F5:G5"/>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7043C-C0B1-42C9-946A-3306F2108C69}">
  <dimension ref="A1:U21"/>
  <sheetViews>
    <sheetView topLeftCell="A6" workbookViewId="0">
      <selection activeCell="L14" sqref="L14"/>
    </sheetView>
  </sheetViews>
  <sheetFormatPr defaultColWidth="8.7109375" defaultRowHeight="12.95"/>
  <cols>
    <col min="1" max="1" width="9.42578125" customWidth="1"/>
    <col min="2" max="2" width="22" customWidth="1"/>
    <col min="3" max="3" width="17.42578125" customWidth="1"/>
    <col min="4" max="4" width="15.42578125" customWidth="1"/>
    <col min="5" max="5" width="11.42578125" customWidth="1"/>
    <col min="6" max="6" width="13.42578125" customWidth="1"/>
    <col min="7" max="7" width="17.42578125" customWidth="1"/>
    <col min="8" max="8" width="10.42578125" customWidth="1"/>
    <col min="9" max="9" width="15.140625" customWidth="1"/>
    <col min="10" max="10" width="16.28515625" customWidth="1"/>
    <col min="12" max="12" width="16.28515625" bestFit="1" customWidth="1"/>
    <col min="13" max="13" width="12.28515625" customWidth="1"/>
    <col min="14" max="14" width="25.42578125" customWidth="1"/>
    <col min="15" max="15" width="11.42578125" customWidth="1"/>
    <col min="16" max="16" width="13.140625" customWidth="1"/>
    <col min="17" max="17" width="13.28515625" customWidth="1"/>
    <col min="18" max="18" width="13.7109375" customWidth="1"/>
    <col min="19" max="19" width="28.7109375" customWidth="1"/>
  </cols>
  <sheetData>
    <row r="1" spans="1:21" ht="15">
      <c r="A1" s="73"/>
      <c r="B1" s="73"/>
      <c r="C1" s="73"/>
      <c r="D1" s="73"/>
      <c r="E1" s="73"/>
      <c r="F1" s="73"/>
      <c r="G1" s="73"/>
      <c r="H1" s="73"/>
      <c r="I1" s="73"/>
      <c r="J1" s="73"/>
      <c r="K1" s="73"/>
      <c r="L1" s="73"/>
      <c r="M1" s="73"/>
      <c r="N1" s="73"/>
      <c r="O1" s="73"/>
      <c r="P1" s="73"/>
      <c r="Q1" s="74" t="s">
        <v>3230</v>
      </c>
      <c r="R1" s="73"/>
      <c r="S1" s="75"/>
      <c r="T1" s="76"/>
      <c r="U1" s="76"/>
    </row>
    <row r="2" spans="1:21" ht="21">
      <c r="A2" s="546" t="s">
        <v>3231</v>
      </c>
      <c r="B2" s="546"/>
      <c r="C2" s="546"/>
      <c r="D2" s="546"/>
      <c r="E2" s="546"/>
      <c r="F2" s="546"/>
      <c r="G2" s="546"/>
      <c r="H2" s="546"/>
      <c r="I2" s="546"/>
      <c r="J2" s="546"/>
      <c r="K2" s="546"/>
      <c r="L2" s="546"/>
      <c r="M2" s="546"/>
      <c r="N2" s="546"/>
      <c r="O2" s="546"/>
      <c r="P2" s="546"/>
      <c r="Q2" s="546"/>
      <c r="R2" s="546"/>
      <c r="S2" s="546"/>
      <c r="T2" s="76"/>
      <c r="U2" s="76"/>
    </row>
    <row r="3" spans="1:21" s="209" customFormat="1" ht="59.1" customHeight="1">
      <c r="A3" s="204" t="s">
        <v>3232</v>
      </c>
      <c r="B3" s="205" t="s">
        <v>3233</v>
      </c>
      <c r="C3" s="280" t="s">
        <v>3234</v>
      </c>
      <c r="D3" s="280" t="s">
        <v>3235</v>
      </c>
      <c r="E3" s="280" t="s">
        <v>3236</v>
      </c>
      <c r="F3" s="280" t="s">
        <v>3237</v>
      </c>
      <c r="G3" s="280" t="s">
        <v>3238</v>
      </c>
      <c r="H3" s="281" t="s">
        <v>3239</v>
      </c>
      <c r="I3" s="206" t="s">
        <v>3240</v>
      </c>
      <c r="J3" s="205" t="s">
        <v>3241</v>
      </c>
      <c r="K3" s="280" t="s">
        <v>3242</v>
      </c>
      <c r="L3" s="280" t="s">
        <v>3243</v>
      </c>
      <c r="M3" s="280" t="s">
        <v>3244</v>
      </c>
      <c r="N3" s="280" t="s">
        <v>3245</v>
      </c>
      <c r="O3" s="282" t="s">
        <v>3246</v>
      </c>
      <c r="P3" s="280" t="s">
        <v>3247</v>
      </c>
      <c r="Q3" s="283" t="s">
        <v>3248</v>
      </c>
      <c r="R3" s="280" t="s">
        <v>3249</v>
      </c>
      <c r="S3" s="280" t="s">
        <v>3161</v>
      </c>
      <c r="T3" s="207"/>
      <c r="U3" s="208"/>
    </row>
    <row r="4" spans="1:21" ht="41.1" customHeight="1">
      <c r="A4" s="192">
        <v>1</v>
      </c>
      <c r="B4" s="193" t="s">
        <v>3250</v>
      </c>
      <c r="C4" s="194"/>
      <c r="D4" s="195" t="s">
        <v>3251</v>
      </c>
      <c r="E4" s="194">
        <v>1</v>
      </c>
      <c r="F4" s="195" t="s">
        <v>3252</v>
      </c>
      <c r="G4" s="195" t="s">
        <v>3253</v>
      </c>
      <c r="H4" s="194">
        <v>9</v>
      </c>
      <c r="I4" s="378">
        <f>103819.188/12</f>
        <v>8651.5990000000002</v>
      </c>
      <c r="J4" s="377">
        <v>1</v>
      </c>
      <c r="K4" s="195">
        <v>12</v>
      </c>
      <c r="L4" s="374">
        <f>E4*I4*J4*K4</f>
        <v>103819.18799999999</v>
      </c>
      <c r="M4" s="195">
        <v>71400</v>
      </c>
      <c r="N4" s="195" t="s">
        <v>3107</v>
      </c>
      <c r="O4" s="196" t="s">
        <v>1039</v>
      </c>
      <c r="P4" s="357">
        <v>46218</v>
      </c>
      <c r="Q4" s="357">
        <v>46217</v>
      </c>
      <c r="R4" s="357">
        <v>46217</v>
      </c>
      <c r="S4" s="284" t="s">
        <v>3230</v>
      </c>
      <c r="T4" s="76"/>
      <c r="U4" s="76"/>
    </row>
    <row r="5" spans="1:21" ht="41.1" customHeight="1">
      <c r="A5" s="192">
        <v>2</v>
      </c>
      <c r="B5" s="193" t="s">
        <v>3254</v>
      </c>
      <c r="C5" s="194" t="s">
        <v>3255</v>
      </c>
      <c r="D5" s="195" t="s">
        <v>3256</v>
      </c>
      <c r="E5" s="194">
        <v>1</v>
      </c>
      <c r="F5" s="195" t="s">
        <v>3257</v>
      </c>
      <c r="G5" s="195" t="s">
        <v>3258</v>
      </c>
      <c r="H5" s="194">
        <v>9</v>
      </c>
      <c r="I5" s="378">
        <f>56014.191604/12</f>
        <v>4667.8493003333333</v>
      </c>
      <c r="J5" s="377">
        <v>1</v>
      </c>
      <c r="K5" s="195">
        <v>12</v>
      </c>
      <c r="L5" s="374">
        <f>E5*I5*J5*K5</f>
        <v>56014.191604</v>
      </c>
      <c r="M5" s="195">
        <v>71400</v>
      </c>
      <c r="N5" s="195" t="s">
        <v>3108</v>
      </c>
      <c r="O5" s="196" t="s">
        <v>1039</v>
      </c>
      <c r="P5" s="357">
        <v>46218</v>
      </c>
      <c r="Q5" s="357">
        <v>46217</v>
      </c>
      <c r="R5" s="357">
        <v>46217</v>
      </c>
      <c r="S5" s="284"/>
      <c r="T5" s="76"/>
      <c r="U5" s="76"/>
    </row>
    <row r="6" spans="1:21" ht="60">
      <c r="A6" s="192">
        <v>3</v>
      </c>
      <c r="B6" s="193" t="s">
        <v>3259</v>
      </c>
      <c r="C6" s="378" t="s">
        <v>3260</v>
      </c>
      <c r="D6" s="195" t="s">
        <v>3256</v>
      </c>
      <c r="E6" s="194">
        <v>1</v>
      </c>
      <c r="F6" s="195" t="s">
        <v>3257</v>
      </c>
      <c r="G6" s="195" t="s">
        <v>3258</v>
      </c>
      <c r="H6" s="194">
        <v>9</v>
      </c>
      <c r="I6" s="378">
        <f>56014.191604/12</f>
        <v>4667.8493003333333</v>
      </c>
      <c r="J6" s="377">
        <v>0.5</v>
      </c>
      <c r="K6" s="195">
        <v>12</v>
      </c>
      <c r="L6" s="374">
        <f>E6*I6*J6*K6</f>
        <v>28007.095802</v>
      </c>
      <c r="M6" s="195">
        <v>71400</v>
      </c>
      <c r="N6" s="195" t="s">
        <v>3108</v>
      </c>
      <c r="O6" s="196" t="s">
        <v>1043</v>
      </c>
      <c r="P6" s="357">
        <v>46218</v>
      </c>
      <c r="Q6" s="357">
        <v>46217</v>
      </c>
      <c r="R6" s="357">
        <v>46217</v>
      </c>
      <c r="S6" s="284"/>
      <c r="T6" s="76"/>
      <c r="U6" s="76"/>
    </row>
    <row r="7" spans="1:21" ht="44.1">
      <c r="A7" s="192">
        <v>4</v>
      </c>
      <c r="B7" s="193" t="s">
        <v>3261</v>
      </c>
      <c r="C7" s="194" t="s">
        <v>3262</v>
      </c>
      <c r="D7" s="195" t="s">
        <v>3256</v>
      </c>
      <c r="E7" s="194">
        <v>1</v>
      </c>
      <c r="F7" s="195" t="s">
        <v>3257</v>
      </c>
      <c r="G7" s="195" t="s">
        <v>3258</v>
      </c>
      <c r="H7" s="194" t="s">
        <v>3263</v>
      </c>
      <c r="I7" s="378">
        <v>3206.0191666666669</v>
      </c>
      <c r="J7" s="377">
        <v>0.5</v>
      </c>
      <c r="K7" s="195">
        <v>12</v>
      </c>
      <c r="L7" s="374">
        <f>E7*I7*J7*K7</f>
        <v>19236.115000000002</v>
      </c>
      <c r="M7" s="195">
        <v>71500</v>
      </c>
      <c r="N7" s="195" t="s">
        <v>1562</v>
      </c>
      <c r="O7" s="196" t="s">
        <v>1039</v>
      </c>
      <c r="P7" s="357">
        <v>46218</v>
      </c>
      <c r="Q7" s="357">
        <v>46217</v>
      </c>
      <c r="R7" s="357">
        <v>46217</v>
      </c>
      <c r="S7" s="285"/>
      <c r="T7" s="76"/>
      <c r="U7" s="76"/>
    </row>
    <row r="8" spans="1:21" ht="44.1">
      <c r="A8" s="192">
        <v>5</v>
      </c>
      <c r="B8" s="193" t="s">
        <v>3264</v>
      </c>
      <c r="C8" s="194" t="s">
        <v>3265</v>
      </c>
      <c r="D8" s="195" t="s">
        <v>3256</v>
      </c>
      <c r="E8" s="194">
        <v>1</v>
      </c>
      <c r="F8" s="195" t="s">
        <v>3266</v>
      </c>
      <c r="G8" s="195" t="s">
        <v>3258</v>
      </c>
      <c r="H8" s="194" t="s">
        <v>3263</v>
      </c>
      <c r="I8" s="378">
        <v>3206.0191666666669</v>
      </c>
      <c r="J8" s="377">
        <v>1</v>
      </c>
      <c r="K8" s="195">
        <v>12</v>
      </c>
      <c r="L8" s="374">
        <f t="shared" ref="L8:L9" si="0">E8*I8*J8*K8</f>
        <v>38472.230000000003</v>
      </c>
      <c r="M8" s="195">
        <v>71500</v>
      </c>
      <c r="N8" s="195" t="s">
        <v>1562</v>
      </c>
      <c r="O8" s="196" t="s">
        <v>1039</v>
      </c>
      <c r="P8" s="357">
        <v>46218</v>
      </c>
      <c r="Q8" s="357">
        <v>46217</v>
      </c>
      <c r="R8" s="357">
        <v>46217</v>
      </c>
      <c r="S8" s="195" t="s">
        <v>3230</v>
      </c>
      <c r="T8" s="76"/>
      <c r="U8" s="76"/>
    </row>
    <row r="9" spans="1:21" ht="44.1">
      <c r="A9" s="192">
        <v>6</v>
      </c>
      <c r="B9" s="193" t="s">
        <v>3264</v>
      </c>
      <c r="C9" s="194" t="s">
        <v>3267</v>
      </c>
      <c r="D9" s="195" t="s">
        <v>3256</v>
      </c>
      <c r="E9" s="194">
        <v>1</v>
      </c>
      <c r="F9" s="195" t="s">
        <v>3266</v>
      </c>
      <c r="G9" s="195" t="s">
        <v>3258</v>
      </c>
      <c r="H9" s="194" t="s">
        <v>3263</v>
      </c>
      <c r="I9" s="378">
        <v>3206.0191666666669</v>
      </c>
      <c r="J9" s="377">
        <v>1</v>
      </c>
      <c r="K9" s="195">
        <v>12</v>
      </c>
      <c r="L9" s="374">
        <f t="shared" si="0"/>
        <v>38472.230000000003</v>
      </c>
      <c r="M9" s="195">
        <v>71500</v>
      </c>
      <c r="N9" s="195" t="s">
        <v>1562</v>
      </c>
      <c r="O9" s="196" t="s">
        <v>1039</v>
      </c>
      <c r="P9" s="357">
        <v>46218</v>
      </c>
      <c r="Q9" s="357">
        <v>46217</v>
      </c>
      <c r="R9" s="357">
        <v>46217</v>
      </c>
      <c r="S9" s="195" t="s">
        <v>3230</v>
      </c>
      <c r="T9" s="76"/>
      <c r="U9" s="76"/>
    </row>
    <row r="10" spans="1:21" ht="44.1">
      <c r="A10" s="192">
        <v>7</v>
      </c>
      <c r="B10" s="193" t="s">
        <v>3268</v>
      </c>
      <c r="C10" s="194" t="s">
        <v>3269</v>
      </c>
      <c r="D10" s="195" t="s">
        <v>3256</v>
      </c>
      <c r="E10" s="194">
        <v>1</v>
      </c>
      <c r="F10" s="195" t="s">
        <v>3266</v>
      </c>
      <c r="G10" s="195" t="s">
        <v>3258</v>
      </c>
      <c r="H10" s="194" t="s">
        <v>3263</v>
      </c>
      <c r="I10" s="378">
        <v>3206.0191666666669</v>
      </c>
      <c r="J10" s="377">
        <v>1</v>
      </c>
      <c r="K10" s="195">
        <v>12</v>
      </c>
      <c r="L10" s="374">
        <f t="shared" ref="L10" si="1">E10*I10*J10*K10</f>
        <v>38472.230000000003</v>
      </c>
      <c r="M10" s="195">
        <v>71500</v>
      </c>
      <c r="N10" s="195" t="s">
        <v>1562</v>
      </c>
      <c r="O10" s="196" t="s">
        <v>1052</v>
      </c>
      <c r="P10" s="357">
        <v>46218</v>
      </c>
      <c r="Q10" s="357">
        <v>46217</v>
      </c>
      <c r="R10" s="357">
        <v>46217</v>
      </c>
      <c r="S10" s="195" t="s">
        <v>3230</v>
      </c>
      <c r="T10" s="76"/>
      <c r="U10" s="76"/>
    </row>
    <row r="11" spans="1:21" ht="44.1">
      <c r="A11" s="192">
        <v>8</v>
      </c>
      <c r="B11" s="380" t="s">
        <v>3270</v>
      </c>
      <c r="C11" s="381" t="s">
        <v>3271</v>
      </c>
      <c r="D11" s="379" t="s">
        <v>3256</v>
      </c>
      <c r="E11" s="381">
        <v>1</v>
      </c>
      <c r="F11" s="379" t="s">
        <v>3272</v>
      </c>
      <c r="G11" s="379" t="s">
        <v>3253</v>
      </c>
      <c r="H11" s="381" t="s">
        <v>3273</v>
      </c>
      <c r="I11" s="382">
        <v>29264.260468333334</v>
      </c>
      <c r="J11" s="383">
        <v>0.1</v>
      </c>
      <c r="K11" s="379">
        <v>12</v>
      </c>
      <c r="L11" s="384">
        <f>E11*I11*J11*K11</f>
        <v>35117.112562000002</v>
      </c>
      <c r="M11" s="379">
        <v>67400</v>
      </c>
      <c r="N11" s="379" t="s">
        <v>3123</v>
      </c>
      <c r="O11" s="196" t="s">
        <v>1056</v>
      </c>
      <c r="P11" s="357">
        <v>46218</v>
      </c>
      <c r="Q11" s="357">
        <v>46217</v>
      </c>
      <c r="R11" s="357">
        <v>46217</v>
      </c>
      <c r="S11" s="195" t="s">
        <v>3230</v>
      </c>
      <c r="T11" s="76"/>
      <c r="U11" s="76"/>
    </row>
    <row r="12" spans="1:21" ht="44.1">
      <c r="A12" s="192">
        <v>9</v>
      </c>
      <c r="B12" s="380" t="s">
        <v>3274</v>
      </c>
      <c r="C12" s="381" t="s">
        <v>3275</v>
      </c>
      <c r="D12" s="379" t="s">
        <v>3256</v>
      </c>
      <c r="E12" s="381">
        <v>1</v>
      </c>
      <c r="F12" s="379" t="s">
        <v>3276</v>
      </c>
      <c r="G12" s="379" t="s">
        <v>3253</v>
      </c>
      <c r="H12" s="381" t="s">
        <v>3277</v>
      </c>
      <c r="I12" s="382">
        <v>7670.666666666667</v>
      </c>
      <c r="J12" s="383">
        <v>0.5</v>
      </c>
      <c r="K12" s="379">
        <v>12</v>
      </c>
      <c r="L12" s="384">
        <f>E12*I12*J12*K12</f>
        <v>46024</v>
      </c>
      <c r="M12" s="195">
        <v>71500</v>
      </c>
      <c r="N12" s="195" t="s">
        <v>1562</v>
      </c>
      <c r="O12" s="196" t="s">
        <v>1056</v>
      </c>
      <c r="P12" s="357">
        <v>46218</v>
      </c>
      <c r="Q12" s="357">
        <v>46217</v>
      </c>
      <c r="R12" s="386">
        <v>46217</v>
      </c>
      <c r="S12" s="379" t="s">
        <v>3230</v>
      </c>
      <c r="T12" s="76"/>
      <c r="U12" s="76"/>
    </row>
    <row r="13" spans="1:21" ht="44.1">
      <c r="A13" s="192">
        <v>10</v>
      </c>
      <c r="B13" s="379" t="s">
        <v>3278</v>
      </c>
      <c r="C13" s="387"/>
      <c r="D13" s="379" t="s">
        <v>3251</v>
      </c>
      <c r="E13" s="381">
        <v>1</v>
      </c>
      <c r="F13" s="195" t="s">
        <v>3266</v>
      </c>
      <c r="G13" s="195" t="s">
        <v>3258</v>
      </c>
      <c r="H13" s="194" t="s">
        <v>3263</v>
      </c>
      <c r="I13" s="378">
        <v>3206.0191666666669</v>
      </c>
      <c r="J13" s="377">
        <v>1</v>
      </c>
      <c r="K13" s="379">
        <v>12</v>
      </c>
      <c r="L13" s="384">
        <f t="shared" ref="L13:L14" si="2">E13*I13*J13*K13</f>
        <v>38472.230000000003</v>
      </c>
      <c r="M13" s="195">
        <v>71500</v>
      </c>
      <c r="N13" s="195" t="s">
        <v>1562</v>
      </c>
      <c r="O13" s="196" t="s">
        <v>3279</v>
      </c>
      <c r="P13" s="357">
        <v>46218</v>
      </c>
      <c r="Q13" s="357">
        <v>46217</v>
      </c>
      <c r="R13" s="386">
        <v>46217</v>
      </c>
      <c r="S13" s="387"/>
      <c r="T13" s="76"/>
      <c r="U13" s="76"/>
    </row>
    <row r="14" spans="1:21" ht="44.1">
      <c r="A14" s="192">
        <v>11</v>
      </c>
      <c r="B14" s="379" t="s">
        <v>3280</v>
      </c>
      <c r="C14" s="387"/>
      <c r="D14" s="379" t="s">
        <v>3251</v>
      </c>
      <c r="E14" s="381">
        <v>1</v>
      </c>
      <c r="F14" s="195" t="s">
        <v>3266</v>
      </c>
      <c r="G14" s="195" t="s">
        <v>3258</v>
      </c>
      <c r="H14" s="194" t="s">
        <v>3263</v>
      </c>
      <c r="I14" s="378">
        <v>3206.0191666666669</v>
      </c>
      <c r="J14" s="377">
        <v>0.7</v>
      </c>
      <c r="K14" s="379">
        <v>12</v>
      </c>
      <c r="L14" s="384">
        <f t="shared" si="2"/>
        <v>26930.560999999998</v>
      </c>
      <c r="M14" s="195">
        <v>71500</v>
      </c>
      <c r="N14" s="195" t="s">
        <v>1562</v>
      </c>
      <c r="O14" s="196" t="s">
        <v>3281</v>
      </c>
      <c r="P14" s="357">
        <v>46218</v>
      </c>
      <c r="Q14" s="357">
        <v>46217</v>
      </c>
      <c r="R14" s="386">
        <v>46217</v>
      </c>
      <c r="S14" s="284" t="s">
        <v>3230</v>
      </c>
      <c r="T14" s="76"/>
      <c r="U14" s="76"/>
    </row>
    <row r="15" spans="1:21" ht="21.95">
      <c r="A15" s="379" t="s">
        <v>3230</v>
      </c>
      <c r="B15" s="388" t="s">
        <v>3230</v>
      </c>
      <c r="C15" s="379" t="s">
        <v>3230</v>
      </c>
      <c r="D15" s="379" t="s">
        <v>3230</v>
      </c>
      <c r="E15" s="381" t="s">
        <v>3230</v>
      </c>
      <c r="F15" s="379" t="s">
        <v>3230</v>
      </c>
      <c r="G15" s="379" t="s">
        <v>3230</v>
      </c>
      <c r="H15" s="388" t="s">
        <v>3230</v>
      </c>
      <c r="I15" s="388" t="s">
        <v>3230</v>
      </c>
      <c r="J15" s="379" t="s">
        <v>3230</v>
      </c>
      <c r="K15" s="379" t="s">
        <v>3230</v>
      </c>
      <c r="L15" s="384" t="s">
        <v>3230</v>
      </c>
      <c r="M15" s="379" t="s">
        <v>3230</v>
      </c>
      <c r="N15" s="379" t="s">
        <v>3230</v>
      </c>
      <c r="O15" s="385" t="s">
        <v>3230</v>
      </c>
      <c r="P15" s="386"/>
      <c r="Q15" s="386"/>
      <c r="R15" s="379" t="s">
        <v>3230</v>
      </c>
      <c r="S15" s="195" t="s">
        <v>3230</v>
      </c>
      <c r="T15" s="74" t="s">
        <v>3230</v>
      </c>
      <c r="U15" s="74" t="s">
        <v>3230</v>
      </c>
    </row>
    <row r="16" spans="1:21" ht="20.100000000000001">
      <c r="A16" s="379" t="s">
        <v>3230</v>
      </c>
      <c r="B16" s="380" t="s">
        <v>3230</v>
      </c>
      <c r="C16" s="381" t="s">
        <v>3230</v>
      </c>
      <c r="D16" s="379" t="s">
        <v>3230</v>
      </c>
      <c r="E16" s="381" t="s">
        <v>3230</v>
      </c>
      <c r="F16" s="379" t="s">
        <v>3230</v>
      </c>
      <c r="G16" s="379" t="s">
        <v>3230</v>
      </c>
      <c r="H16" s="381" t="s">
        <v>3230</v>
      </c>
      <c r="I16" s="381" t="s">
        <v>3230</v>
      </c>
      <c r="J16" s="379" t="s">
        <v>3230</v>
      </c>
      <c r="K16" s="379" t="s">
        <v>3230</v>
      </c>
      <c r="L16" s="384" t="s">
        <v>3230</v>
      </c>
      <c r="M16" s="379" t="s">
        <v>3230</v>
      </c>
      <c r="N16" s="379" t="s">
        <v>3230</v>
      </c>
      <c r="O16" s="379" t="s">
        <v>3230</v>
      </c>
      <c r="P16" s="379" t="s">
        <v>3230</v>
      </c>
      <c r="Q16" s="379" t="s">
        <v>3230</v>
      </c>
      <c r="R16" s="379" t="s">
        <v>3230</v>
      </c>
      <c r="S16" s="195" t="s">
        <v>3230</v>
      </c>
      <c r="T16" s="76"/>
      <c r="U16" s="76"/>
    </row>
    <row r="17" spans="1:21" ht="21.95">
      <c r="A17" s="379" t="s">
        <v>3230</v>
      </c>
      <c r="B17" s="380" t="s">
        <v>3230</v>
      </c>
      <c r="C17" s="381" t="s">
        <v>3230</v>
      </c>
      <c r="D17" s="379" t="s">
        <v>3230</v>
      </c>
      <c r="E17" s="381" t="s">
        <v>3230</v>
      </c>
      <c r="F17" s="379" t="s">
        <v>3230</v>
      </c>
      <c r="G17" s="379" t="s">
        <v>3230</v>
      </c>
      <c r="H17" s="388" t="s">
        <v>3230</v>
      </c>
      <c r="I17" s="388" t="s">
        <v>3230</v>
      </c>
      <c r="J17" s="379" t="s">
        <v>3230</v>
      </c>
      <c r="K17" s="379" t="s">
        <v>3230</v>
      </c>
      <c r="L17" s="379" t="s">
        <v>3230</v>
      </c>
      <c r="M17" s="379" t="s">
        <v>3230</v>
      </c>
      <c r="N17" s="379" t="s">
        <v>3230</v>
      </c>
      <c r="O17" s="385" t="s">
        <v>3230</v>
      </c>
      <c r="P17" s="379" t="s">
        <v>3230</v>
      </c>
      <c r="Q17" s="379" t="s">
        <v>3230</v>
      </c>
      <c r="R17" s="379" t="s">
        <v>3230</v>
      </c>
      <c r="S17" s="195" t="s">
        <v>3230</v>
      </c>
      <c r="T17" s="76"/>
      <c r="U17" s="76"/>
    </row>
    <row r="18" spans="1:21" ht="21.95">
      <c r="A18" s="192" t="s">
        <v>3230</v>
      </c>
      <c r="B18" s="197" t="s">
        <v>3230</v>
      </c>
      <c r="C18" s="195" t="s">
        <v>3230</v>
      </c>
      <c r="D18" s="195" t="s">
        <v>3230</v>
      </c>
      <c r="E18" s="194" t="s">
        <v>3230</v>
      </c>
      <c r="F18" s="195" t="s">
        <v>3230</v>
      </c>
      <c r="G18" s="195" t="s">
        <v>3230</v>
      </c>
      <c r="H18" s="194" t="s">
        <v>3230</v>
      </c>
      <c r="I18" s="194" t="s">
        <v>3230</v>
      </c>
      <c r="J18" s="195" t="s">
        <v>3230</v>
      </c>
      <c r="K18" s="195" t="s">
        <v>3230</v>
      </c>
      <c r="L18" s="195" t="s">
        <v>3230</v>
      </c>
      <c r="M18" s="195" t="s">
        <v>3230</v>
      </c>
      <c r="N18" s="195" t="s">
        <v>3230</v>
      </c>
      <c r="O18" s="196" t="s">
        <v>3230</v>
      </c>
      <c r="P18" s="195" t="s">
        <v>3230</v>
      </c>
      <c r="Q18" s="195" t="s">
        <v>3230</v>
      </c>
      <c r="R18" s="195" t="s">
        <v>3230</v>
      </c>
      <c r="S18" s="195" t="s">
        <v>3230</v>
      </c>
      <c r="T18" s="76"/>
      <c r="U18" s="76"/>
    </row>
    <row r="19" spans="1:21" ht="21.95">
      <c r="A19" s="192" t="s">
        <v>3230</v>
      </c>
      <c r="B19" s="193" t="s">
        <v>3230</v>
      </c>
      <c r="C19" s="194" t="s">
        <v>3230</v>
      </c>
      <c r="D19" s="195" t="s">
        <v>3230</v>
      </c>
      <c r="E19" s="194" t="s">
        <v>3230</v>
      </c>
      <c r="F19" s="195" t="s">
        <v>3230</v>
      </c>
      <c r="G19" s="197" t="s">
        <v>3230</v>
      </c>
      <c r="H19" s="194" t="s">
        <v>3230</v>
      </c>
      <c r="I19" s="194" t="s">
        <v>3230</v>
      </c>
      <c r="J19" s="194" t="s">
        <v>3230</v>
      </c>
      <c r="K19" s="195" t="s">
        <v>3230</v>
      </c>
      <c r="L19" s="194" t="s">
        <v>3230</v>
      </c>
      <c r="M19" s="195" t="s">
        <v>3230</v>
      </c>
      <c r="N19" s="195" t="s">
        <v>3230</v>
      </c>
      <c r="O19" s="196" t="s">
        <v>3230</v>
      </c>
      <c r="P19" s="195" t="s">
        <v>3230</v>
      </c>
      <c r="Q19" s="195" t="s">
        <v>3230</v>
      </c>
      <c r="R19" s="195" t="s">
        <v>3230</v>
      </c>
      <c r="S19" s="195" t="s">
        <v>3230</v>
      </c>
      <c r="T19" s="76"/>
      <c r="U19" s="76"/>
    </row>
    <row r="20" spans="1:21" s="201" customFormat="1" ht="20.100000000000001">
      <c r="A20" s="199" t="s">
        <v>3282</v>
      </c>
      <c r="B20" s="198" t="s">
        <v>3230</v>
      </c>
      <c r="C20" s="198" t="s">
        <v>3230</v>
      </c>
      <c r="D20" s="198" t="s">
        <v>3230</v>
      </c>
      <c r="E20" s="198" t="s">
        <v>3230</v>
      </c>
      <c r="F20" s="198" t="s">
        <v>3230</v>
      </c>
      <c r="G20" s="198" t="s">
        <v>3230</v>
      </c>
      <c r="H20" s="198" t="s">
        <v>3230</v>
      </c>
      <c r="I20" s="198"/>
      <c r="J20" s="198"/>
      <c r="K20" s="198"/>
      <c r="L20" s="389">
        <f>SUM(L4:L19)</f>
        <v>469037.18396799994</v>
      </c>
      <c r="M20" s="198" t="s">
        <v>3230</v>
      </c>
      <c r="N20" s="198" t="s">
        <v>3230</v>
      </c>
      <c r="O20" s="198" t="s">
        <v>3230</v>
      </c>
      <c r="P20" s="198" t="s">
        <v>3230</v>
      </c>
      <c r="Q20" s="198" t="s">
        <v>3230</v>
      </c>
      <c r="R20" s="198" t="s">
        <v>3230</v>
      </c>
      <c r="S20" s="198" t="s">
        <v>3230</v>
      </c>
      <c r="T20" s="200"/>
      <c r="U20" s="200"/>
    </row>
    <row r="21" spans="1:21" ht="18">
      <c r="A21" s="73"/>
      <c r="B21" s="77"/>
      <c r="C21" s="78"/>
      <c r="D21" s="79"/>
      <c r="E21" s="78"/>
      <c r="F21" s="79"/>
      <c r="G21" s="80" t="s">
        <v>3230</v>
      </c>
      <c r="H21" s="81" t="s">
        <v>3230</v>
      </c>
      <c r="I21" s="81" t="s">
        <v>3230</v>
      </c>
      <c r="J21" s="82" t="s">
        <v>3230</v>
      </c>
      <c r="K21" s="82" t="s">
        <v>3230</v>
      </c>
      <c r="L21" s="82" t="s">
        <v>3230</v>
      </c>
      <c r="M21" s="82" t="s">
        <v>3230</v>
      </c>
      <c r="N21" s="82" t="s">
        <v>3230</v>
      </c>
      <c r="O21" s="83"/>
      <c r="P21" s="78"/>
      <c r="Q21" s="84" t="s">
        <v>3230</v>
      </c>
      <c r="R21" s="83"/>
      <c r="S21" s="85" t="s">
        <v>3230</v>
      </c>
      <c r="T21" s="76"/>
      <c r="U21" s="76"/>
    </row>
  </sheetData>
  <mergeCells count="1">
    <mergeCell ref="A2:S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3266D-64F2-42DF-808D-43BB7344345B}">
  <sheetPr>
    <pageSetUpPr fitToPage="1"/>
  </sheetPr>
  <dimension ref="A1:P31"/>
  <sheetViews>
    <sheetView tabSelected="1" topLeftCell="C12" zoomScale="90" zoomScaleNormal="90" zoomScaleSheetLayoutView="70" workbookViewId="0">
      <selection activeCell="D17" sqref="D17"/>
    </sheetView>
  </sheetViews>
  <sheetFormatPr defaultColWidth="8.7109375" defaultRowHeight="14.25" customHeight="1"/>
  <cols>
    <col min="1" max="1" width="8.7109375" style="52"/>
    <col min="2" max="2" width="41.42578125" style="52" customWidth="1"/>
    <col min="3" max="4" width="43.28515625" style="52" customWidth="1"/>
    <col min="5" max="5" width="9.140625" style="52"/>
    <col min="6" max="6" width="10" style="52" bestFit="1" customWidth="1"/>
    <col min="7" max="10" width="9.140625" style="52"/>
    <col min="11" max="11" width="15.7109375" style="52" customWidth="1"/>
    <col min="12" max="12" width="34.28515625" style="52" customWidth="1"/>
    <col min="13" max="13" width="37.42578125" style="52" customWidth="1"/>
    <col min="14" max="14" width="35.7109375" style="52" customWidth="1"/>
    <col min="15" max="15" width="34.140625" style="52" customWidth="1"/>
    <col min="16" max="16" width="34.42578125" style="52" customWidth="1"/>
    <col min="17" max="16384" width="8.7109375" style="52"/>
  </cols>
  <sheetData>
    <row r="1" spans="1:16" ht="14.25" customHeight="1">
      <c r="A1" s="303"/>
      <c r="B1" s="303"/>
      <c r="C1" s="303"/>
      <c r="D1" s="303"/>
      <c r="E1" s="303"/>
      <c r="F1" s="303"/>
      <c r="G1" s="303"/>
      <c r="H1" s="303"/>
      <c r="I1" s="303"/>
      <c r="J1" s="303"/>
      <c r="K1" s="303"/>
      <c r="L1" s="303"/>
      <c r="M1" s="304"/>
      <c r="N1" s="304"/>
      <c r="O1" s="304"/>
      <c r="P1"/>
    </row>
    <row r="2" spans="1:16" ht="24" customHeight="1">
      <c r="A2" s="303"/>
      <c r="B2" s="547" t="s">
        <v>3283</v>
      </c>
      <c r="C2" s="547"/>
      <c r="D2" s="547"/>
      <c r="E2" s="303"/>
      <c r="F2" s="303"/>
      <c r="G2" s="303"/>
      <c r="H2" s="303"/>
      <c r="I2" s="303"/>
      <c r="J2" s="303"/>
      <c r="K2" s="303"/>
      <c r="L2" s="303"/>
      <c r="M2" s="304"/>
      <c r="N2" s="304"/>
      <c r="O2" s="304"/>
      <c r="P2" s="304"/>
    </row>
    <row r="3" spans="1:16" ht="15.75" customHeight="1">
      <c r="A3" s="303"/>
      <c r="B3" s="547"/>
      <c r="C3" s="547"/>
      <c r="D3" s="547"/>
      <c r="E3" s="303"/>
      <c r="F3" s="303"/>
      <c r="G3" s="303"/>
      <c r="H3" s="303"/>
      <c r="I3" s="303"/>
      <c r="J3" s="303"/>
      <c r="K3" s="303"/>
      <c r="L3" s="303"/>
      <c r="M3" s="304"/>
      <c r="N3" s="304"/>
      <c r="O3" s="304"/>
      <c r="P3" s="304"/>
    </row>
    <row r="4" spans="1:16" ht="15.75" customHeight="1">
      <c r="A4" s="303"/>
      <c r="B4" s="305"/>
      <c r="C4" s="306"/>
      <c r="D4" s="306"/>
      <c r="E4" s="303"/>
      <c r="F4" s="303"/>
      <c r="G4" s="303"/>
      <c r="H4" s="303"/>
      <c r="I4" s="303"/>
      <c r="J4" s="303"/>
      <c r="K4" s="303"/>
      <c r="L4" s="303"/>
      <c r="M4" s="304"/>
      <c r="N4" s="304"/>
      <c r="O4" s="304"/>
      <c r="P4" s="304"/>
    </row>
    <row r="5" spans="1:16" ht="24" customHeight="1">
      <c r="A5" s="303"/>
      <c r="B5" s="441" t="s">
        <v>3230</v>
      </c>
      <c r="C5" s="441" t="s">
        <v>3284</v>
      </c>
      <c r="D5" s="441" t="s">
        <v>3285</v>
      </c>
      <c r="E5" s="439" t="s">
        <v>3286</v>
      </c>
      <c r="F5" s="439" t="s">
        <v>3287</v>
      </c>
      <c r="G5" s="443" t="s">
        <v>3288</v>
      </c>
      <c r="H5" s="443"/>
      <c r="I5" s="443"/>
      <c r="J5" s="444"/>
      <c r="K5" s="376" t="s">
        <v>3289</v>
      </c>
      <c r="L5" s="439" t="s">
        <v>3290</v>
      </c>
      <c r="M5" s="439" t="s">
        <v>3291</v>
      </c>
      <c r="N5" s="439" t="s">
        <v>3094</v>
      </c>
      <c r="O5" s="439" t="s">
        <v>3292</v>
      </c>
      <c r="P5" s="439" t="s">
        <v>3293</v>
      </c>
    </row>
    <row r="6" spans="1:16" ht="14.1">
      <c r="A6" s="303"/>
      <c r="B6" s="442"/>
      <c r="C6" s="442"/>
      <c r="D6" s="442"/>
      <c r="E6" s="440"/>
      <c r="F6" s="440"/>
      <c r="G6" s="307" t="s">
        <v>3294</v>
      </c>
      <c r="H6" s="307" t="s">
        <v>3295</v>
      </c>
      <c r="I6" s="307" t="s">
        <v>3296</v>
      </c>
      <c r="J6" s="307" t="s">
        <v>3297</v>
      </c>
      <c r="K6" s="307"/>
      <c r="L6" s="440"/>
      <c r="M6" s="440"/>
      <c r="N6" s="440"/>
      <c r="O6" s="440"/>
      <c r="P6" s="440"/>
    </row>
    <row r="7" spans="1:16" ht="14.1">
      <c r="A7" s="303"/>
      <c r="B7" s="429" t="s">
        <v>3103</v>
      </c>
      <c r="C7" s="430"/>
      <c r="D7" s="430"/>
      <c r="E7" s="430"/>
      <c r="F7" s="430"/>
      <c r="G7" s="430"/>
      <c r="H7" s="430"/>
      <c r="I7" s="430"/>
      <c r="J7" s="430"/>
      <c r="K7" s="430"/>
      <c r="L7" s="430"/>
      <c r="M7" s="430"/>
      <c r="N7" s="430"/>
      <c r="O7" s="430"/>
      <c r="P7" s="431"/>
    </row>
    <row r="8" spans="1:16" s="54" customFormat="1" ht="15.6" customHeight="1">
      <c r="A8" s="308" t="s">
        <v>3230</v>
      </c>
      <c r="B8" s="432" t="s">
        <v>3298</v>
      </c>
      <c r="C8" s="433"/>
      <c r="D8" s="433"/>
      <c r="E8" s="433"/>
      <c r="F8" s="433"/>
      <c r="G8" s="434"/>
      <c r="H8" s="434"/>
      <c r="I8" s="434"/>
      <c r="J8" s="434"/>
      <c r="K8" s="434"/>
      <c r="L8" s="433"/>
      <c r="M8" s="433"/>
      <c r="N8" s="433"/>
      <c r="O8" s="433"/>
      <c r="P8" s="435"/>
    </row>
    <row r="9" spans="1:16" s="55" customFormat="1" ht="69" customHeight="1">
      <c r="A9" s="308" t="s">
        <v>3230</v>
      </c>
      <c r="B9" s="309" t="s">
        <v>3230</v>
      </c>
      <c r="C9" s="310" t="s">
        <v>3230</v>
      </c>
      <c r="D9" s="393" t="s">
        <v>3230</v>
      </c>
      <c r="E9" s="393" t="s">
        <v>3230</v>
      </c>
      <c r="F9" s="393" t="s">
        <v>3230</v>
      </c>
      <c r="G9" s="397" t="s">
        <v>3230</v>
      </c>
      <c r="H9" s="391" t="s">
        <v>3230</v>
      </c>
      <c r="I9" s="391" t="s">
        <v>3230</v>
      </c>
      <c r="J9" s="391" t="s">
        <v>3230</v>
      </c>
      <c r="K9" s="398"/>
      <c r="L9" s="311" t="s">
        <v>3299</v>
      </c>
      <c r="M9" s="402" t="s">
        <v>3300</v>
      </c>
      <c r="N9" s="311" t="s">
        <v>3301</v>
      </c>
      <c r="O9" s="311" t="s">
        <v>3302</v>
      </c>
      <c r="P9" s="312" t="s">
        <v>3303</v>
      </c>
    </row>
    <row r="10" spans="1:16" s="55" customFormat="1" ht="91.5" customHeight="1">
      <c r="A10" s="313"/>
      <c r="B10" s="314" t="s">
        <v>3304</v>
      </c>
      <c r="C10" s="437" t="s">
        <v>3305</v>
      </c>
      <c r="D10" s="399" t="s">
        <v>3306</v>
      </c>
      <c r="E10" s="394">
        <v>0</v>
      </c>
      <c r="F10" s="394">
        <v>20</v>
      </c>
      <c r="G10" s="394"/>
      <c r="H10" s="394"/>
      <c r="I10" s="394"/>
      <c r="J10" s="394"/>
      <c r="K10" s="390"/>
      <c r="L10" s="401" t="s">
        <v>3307</v>
      </c>
      <c r="M10" s="323" t="s">
        <v>3308</v>
      </c>
      <c r="N10" s="319" t="s">
        <v>3309</v>
      </c>
      <c r="O10" s="319" t="s">
        <v>3310</v>
      </c>
      <c r="P10" s="320" t="s">
        <v>3311</v>
      </c>
    </row>
    <row r="11" spans="1:16" s="55" customFormat="1" ht="91.5" customHeight="1">
      <c r="A11" s="313"/>
      <c r="B11" s="314"/>
      <c r="C11" s="438"/>
      <c r="D11" s="395" t="s">
        <v>3312</v>
      </c>
      <c r="E11" s="390">
        <v>0</v>
      </c>
      <c r="F11" s="396">
        <v>500000</v>
      </c>
      <c r="G11" s="390">
        <v>260000</v>
      </c>
      <c r="H11" s="390">
        <v>240000</v>
      </c>
      <c r="I11" s="390">
        <v>125000</v>
      </c>
      <c r="J11" s="390">
        <v>125000</v>
      </c>
      <c r="K11" s="400">
        <f>F11*10%</f>
        <v>50000</v>
      </c>
      <c r="L11" s="401" t="s">
        <v>3307</v>
      </c>
      <c r="M11" s="323" t="s">
        <v>3308</v>
      </c>
      <c r="N11" s="319" t="s">
        <v>3309</v>
      </c>
      <c r="O11" s="319" t="s">
        <v>3310</v>
      </c>
      <c r="P11" s="320" t="s">
        <v>3311</v>
      </c>
    </row>
    <row r="12" spans="1:16" s="55" customFormat="1" ht="96.75" customHeight="1">
      <c r="A12" s="313"/>
      <c r="B12" s="314" t="s">
        <v>3313</v>
      </c>
      <c r="C12" s="321" t="s">
        <v>3314</v>
      </c>
      <c r="D12" s="321" t="s">
        <v>3315</v>
      </c>
      <c r="E12" s="316">
        <v>0</v>
      </c>
      <c r="F12" s="317">
        <v>200000</v>
      </c>
      <c r="G12" s="316">
        <v>104000</v>
      </c>
      <c r="H12" s="318">
        <v>96000</v>
      </c>
      <c r="I12" s="392">
        <v>50000</v>
      </c>
      <c r="J12" s="392">
        <v>50000</v>
      </c>
      <c r="K12" s="400">
        <f>F12*10%</f>
        <v>20000</v>
      </c>
      <c r="L12" s="321" t="s">
        <v>3307</v>
      </c>
      <c r="M12" s="322" t="s">
        <v>3308</v>
      </c>
      <c r="N12" s="319" t="s">
        <v>3316</v>
      </c>
      <c r="O12" s="323" t="s">
        <v>3317</v>
      </c>
      <c r="P12" s="324" t="s">
        <v>3318</v>
      </c>
    </row>
    <row r="13" spans="1:16" s="55" customFormat="1" ht="17.25" customHeight="1">
      <c r="A13" s="308" t="s">
        <v>3230</v>
      </c>
      <c r="B13" s="432" t="s">
        <v>3319</v>
      </c>
      <c r="C13" s="433"/>
      <c r="D13" s="433"/>
      <c r="E13" s="433"/>
      <c r="F13" s="433"/>
      <c r="G13" s="433"/>
      <c r="H13" s="433"/>
      <c r="I13" s="436"/>
      <c r="J13" s="436"/>
      <c r="K13" s="436"/>
      <c r="L13" s="433"/>
      <c r="M13" s="433"/>
      <c r="N13" s="433"/>
      <c r="O13" s="433"/>
      <c r="P13" s="435"/>
    </row>
    <row r="14" spans="1:16" s="54" customFormat="1" ht="129" customHeight="1">
      <c r="A14" s="313"/>
      <c r="B14" s="325" t="s">
        <v>3320</v>
      </c>
      <c r="C14" s="315" t="s">
        <v>3321</v>
      </c>
      <c r="D14" s="315" t="s">
        <v>3322</v>
      </c>
      <c r="E14" s="316">
        <v>0</v>
      </c>
      <c r="F14" s="317">
        <v>1000</v>
      </c>
      <c r="G14" s="316">
        <v>400</v>
      </c>
      <c r="H14" s="316">
        <v>600</v>
      </c>
      <c r="I14" s="316">
        <v>1000</v>
      </c>
      <c r="J14" s="316">
        <v>250</v>
      </c>
      <c r="K14" s="316">
        <f>F14*6</f>
        <v>6000</v>
      </c>
      <c r="L14" s="323" t="s">
        <v>3323</v>
      </c>
      <c r="M14" s="326" t="s">
        <v>3308</v>
      </c>
      <c r="N14" s="327" t="s">
        <v>3324</v>
      </c>
      <c r="O14" s="321" t="s">
        <v>3325</v>
      </c>
      <c r="P14" s="321" t="s">
        <v>3326</v>
      </c>
    </row>
    <row r="15" spans="1:16" s="55" customFormat="1" ht="100.5" customHeight="1">
      <c r="A15" s="313"/>
      <c r="B15" s="314" t="s">
        <v>3327</v>
      </c>
      <c r="C15" s="321" t="s">
        <v>3328</v>
      </c>
      <c r="D15" s="321" t="s">
        <v>3329</v>
      </c>
      <c r="E15" s="316">
        <v>0</v>
      </c>
      <c r="F15" s="316">
        <v>10</v>
      </c>
      <c r="G15" s="316" t="s">
        <v>3230</v>
      </c>
      <c r="H15" s="316" t="s">
        <v>3230</v>
      </c>
      <c r="I15" s="316" t="s">
        <v>3230</v>
      </c>
      <c r="J15" s="316" t="s">
        <v>3230</v>
      </c>
      <c r="K15" s="316">
        <f>F15*50</f>
        <v>500</v>
      </c>
      <c r="L15" s="327" t="s">
        <v>3323</v>
      </c>
      <c r="M15" s="322" t="s">
        <v>3308</v>
      </c>
      <c r="N15" s="327" t="s">
        <v>3324</v>
      </c>
      <c r="O15" s="321" t="s">
        <v>3330</v>
      </c>
      <c r="P15" s="321" t="s">
        <v>3331</v>
      </c>
    </row>
    <row r="16" spans="1:16" s="55" customFormat="1" ht="12" customHeight="1">
      <c r="A16" s="308" t="s">
        <v>3230</v>
      </c>
      <c r="B16" s="432" t="s">
        <v>3332</v>
      </c>
      <c r="C16" s="433"/>
      <c r="D16" s="433"/>
      <c r="E16" s="433"/>
      <c r="F16" s="433"/>
      <c r="G16" s="433"/>
      <c r="H16" s="433"/>
      <c r="I16" s="433"/>
      <c r="J16" s="433"/>
      <c r="K16" s="433"/>
      <c r="L16" s="433"/>
      <c r="M16" s="433"/>
      <c r="N16" s="433"/>
      <c r="O16" s="433"/>
      <c r="P16" s="435"/>
    </row>
    <row r="17" spans="1:16" s="55" customFormat="1" ht="82.5" customHeight="1">
      <c r="A17" s="313"/>
      <c r="B17" s="325" t="s">
        <v>3333</v>
      </c>
      <c r="C17" s="315" t="s">
        <v>3334</v>
      </c>
      <c r="D17" s="315" t="s">
        <v>3335</v>
      </c>
      <c r="E17" s="316">
        <v>0</v>
      </c>
      <c r="F17" s="317">
        <v>10000</v>
      </c>
      <c r="G17" s="317">
        <v>3500</v>
      </c>
      <c r="H17" s="317">
        <v>6500</v>
      </c>
      <c r="I17" s="317">
        <v>4000</v>
      </c>
      <c r="J17" s="316">
        <v>2000</v>
      </c>
      <c r="K17" s="316">
        <f>F17*10</f>
        <v>100000</v>
      </c>
      <c r="L17" s="327" t="s">
        <v>3323</v>
      </c>
      <c r="M17" s="322" t="s">
        <v>3308</v>
      </c>
      <c r="N17" s="327" t="s">
        <v>3324</v>
      </c>
      <c r="O17" s="321" t="s">
        <v>3336</v>
      </c>
      <c r="P17" s="321" t="s">
        <v>3230</v>
      </c>
    </row>
    <row r="18" spans="1:16" s="55" customFormat="1" ht="82.5" customHeight="1">
      <c r="A18" s="313"/>
      <c r="B18" s="314" t="s">
        <v>3337</v>
      </c>
      <c r="C18" s="321" t="s">
        <v>3338</v>
      </c>
      <c r="D18" s="315" t="s">
        <v>3339</v>
      </c>
      <c r="E18" s="316">
        <v>0</v>
      </c>
      <c r="F18" s="317">
        <v>8000</v>
      </c>
      <c r="G18" s="316">
        <v>3000</v>
      </c>
      <c r="H18" s="316">
        <v>5000</v>
      </c>
      <c r="I18" s="316">
        <v>3000</v>
      </c>
      <c r="J18" s="316">
        <v>1000</v>
      </c>
      <c r="K18" s="316">
        <f>F18*10%</f>
        <v>800</v>
      </c>
      <c r="L18" s="327" t="s">
        <v>3323</v>
      </c>
      <c r="M18" s="322" t="s">
        <v>3308</v>
      </c>
      <c r="N18" s="327" t="s">
        <v>3324</v>
      </c>
      <c r="O18" s="321" t="s">
        <v>3230</v>
      </c>
      <c r="P18" s="321" t="s">
        <v>3230</v>
      </c>
    </row>
    <row r="19" spans="1:16" s="55" customFormat="1" ht="86.25" customHeight="1">
      <c r="A19" s="303"/>
      <c r="B19" s="328"/>
      <c r="C19" s="328"/>
      <c r="D19" s="328"/>
      <c r="E19" s="303"/>
      <c r="F19" s="369">
        <f>SUM(F11,F12,F14,F17,F18)</f>
        <v>719000</v>
      </c>
      <c r="G19" s="303"/>
      <c r="H19" s="303"/>
      <c r="I19" s="303"/>
      <c r="J19" s="303"/>
      <c r="K19" s="303">
        <f>SUM(K11,K12,K14,K15,K17,K18)</f>
        <v>177300</v>
      </c>
      <c r="L19" s="303"/>
      <c r="M19" s="304"/>
      <c r="N19" s="304"/>
      <c r="O19" s="304"/>
      <c r="P19" s="304"/>
    </row>
    <row r="20" spans="1:16" s="55" customFormat="1" ht="86.25" customHeight="1">
      <c r="A20" s="303"/>
      <c r="B20" s="328"/>
      <c r="C20" s="328"/>
      <c r="D20" s="328"/>
      <c r="E20" s="303"/>
      <c r="F20" s="369"/>
      <c r="G20" s="303"/>
      <c r="H20" s="303"/>
      <c r="I20" s="303"/>
      <c r="J20" s="303"/>
      <c r="K20" s="303"/>
      <c r="L20" s="303"/>
      <c r="M20" s="304"/>
      <c r="N20" s="304"/>
      <c r="O20" s="304"/>
      <c r="P20" s="304"/>
    </row>
    <row r="21" spans="1:16" s="54" customFormat="1" ht="15.6" customHeight="1">
      <c r="A21" s="303"/>
      <c r="B21" s="303"/>
      <c r="C21" s="303"/>
      <c r="D21" s="303"/>
      <c r="E21" s="303"/>
      <c r="F21" s="303"/>
      <c r="G21" s="303"/>
      <c r="H21" s="303"/>
      <c r="I21" s="303"/>
      <c r="J21" s="303"/>
      <c r="K21" s="303"/>
      <c r="L21" s="303"/>
      <c r="M21" s="304"/>
      <c r="N21" s="304"/>
      <c r="O21" s="304"/>
      <c r="P21" s="304"/>
    </row>
    <row r="22" spans="1:16" s="55" customFormat="1" ht="92.85" customHeight="1">
      <c r="A22" s="329"/>
      <c r="B22" s="303"/>
      <c r="C22" s="303"/>
      <c r="D22" s="303"/>
      <c r="E22" s="329"/>
      <c r="F22" s="329"/>
      <c r="G22" s="329"/>
      <c r="H22" s="329"/>
      <c r="I22" s="329"/>
      <c r="J22" s="329"/>
      <c r="K22" s="329"/>
      <c r="L22" s="329"/>
      <c r="M22" s="331"/>
      <c r="N22" s="331"/>
      <c r="O22" s="331"/>
      <c r="P22" s="331"/>
    </row>
    <row r="23" spans="1:16" s="55" customFormat="1" ht="81.75" customHeight="1">
      <c r="A23" s="329"/>
      <c r="B23" s="329"/>
      <c r="C23" s="329"/>
      <c r="D23" s="329"/>
      <c r="E23" s="330"/>
      <c r="F23" s="329"/>
      <c r="G23" s="329"/>
      <c r="H23" s="329"/>
      <c r="I23" s="329"/>
      <c r="J23" s="329"/>
      <c r="K23" s="329"/>
      <c r="L23" s="329"/>
      <c r="M23" s="331"/>
      <c r="N23" s="331"/>
      <c r="O23" s="331"/>
      <c r="P23" s="331"/>
    </row>
    <row r="24" spans="1:16" s="55" customFormat="1" ht="95.25" customHeight="1">
      <c r="A24" s="303"/>
      <c r="B24" s="329"/>
      <c r="C24" s="548"/>
      <c r="D24" s="548"/>
      <c r="E24" s="303"/>
      <c r="F24" s="303"/>
      <c r="G24" s="303"/>
      <c r="H24" s="303"/>
      <c r="I24" s="303"/>
      <c r="J24" s="303"/>
      <c r="K24" s="303"/>
      <c r="L24" s="303"/>
      <c r="M24" s="304"/>
      <c r="N24" s="304"/>
      <c r="O24" s="304"/>
      <c r="P24" s="304"/>
    </row>
    <row r="25" spans="1:16" ht="15" customHeight="1">
      <c r="A25" s="303"/>
      <c r="B25" s="303"/>
      <c r="C25" s="549"/>
      <c r="D25" s="549"/>
      <c r="E25" s="303"/>
      <c r="F25" s="303"/>
      <c r="G25" s="303"/>
      <c r="H25" s="303"/>
      <c r="I25" s="303"/>
      <c r="J25" s="303"/>
      <c r="K25" s="303"/>
      <c r="L25" s="303"/>
      <c r="M25" s="304"/>
      <c r="N25" s="304"/>
      <c r="O25" s="304"/>
      <c r="P25" s="304"/>
    </row>
    <row r="26" spans="1:16" ht="14.25" customHeight="1">
      <c r="B26" s="61"/>
      <c r="C26" s="62"/>
      <c r="D26" s="62"/>
    </row>
    <row r="27" spans="1:16" ht="14.1"/>
    <row r="28" spans="1:16" s="58" customFormat="1" ht="14.1">
      <c r="B28" s="52"/>
      <c r="C28" s="52"/>
      <c r="D28" s="52"/>
    </row>
    <row r="29" spans="1:16" s="58" customFormat="1" ht="12.95"/>
    <row r="30" spans="1:16" ht="14.1">
      <c r="B30" s="59"/>
      <c r="C30" s="544"/>
      <c r="D30" s="544"/>
    </row>
    <row r="31" spans="1:16" ht="14.25" customHeight="1">
      <c r="C31" s="545"/>
      <c r="D31" s="545"/>
    </row>
  </sheetData>
  <mergeCells count="21">
    <mergeCell ref="P5:P6"/>
    <mergeCell ref="B2:D3"/>
    <mergeCell ref="B5:B6"/>
    <mergeCell ref="C5:C6"/>
    <mergeCell ref="D5:D6"/>
    <mergeCell ref="E5:E6"/>
    <mergeCell ref="F5:F6"/>
    <mergeCell ref="G5:J5"/>
    <mergeCell ref="L5:L6"/>
    <mergeCell ref="M5:M6"/>
    <mergeCell ref="N5:N6"/>
    <mergeCell ref="O5:O6"/>
    <mergeCell ref="C31:D31"/>
    <mergeCell ref="B7:P7"/>
    <mergeCell ref="B8:P8"/>
    <mergeCell ref="C30:D30"/>
    <mergeCell ref="B13:P13"/>
    <mergeCell ref="B16:P16"/>
    <mergeCell ref="C24:D24"/>
    <mergeCell ref="C25:D25"/>
    <mergeCell ref="C10:C11"/>
  </mergeCells>
  <phoneticPr fontId="0" type="noConversion"/>
  <pageMargins left="0.5" right="0.25" top="0.5" bottom="0.5" header="0.3" footer="0.3"/>
  <pageSetup paperSize="9" fitToHeight="0" orientation="landscape"/>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C4BB3-3BBC-4AC9-B3CC-D8D4E9B1553F}">
  <dimension ref="A1:E26"/>
  <sheetViews>
    <sheetView topLeftCell="A5" workbookViewId="0">
      <selection activeCell="C10" sqref="C10"/>
    </sheetView>
  </sheetViews>
  <sheetFormatPr defaultColWidth="8.7109375" defaultRowHeight="12.95"/>
  <cols>
    <col min="1" max="1" width="23.42578125" style="72" customWidth="1"/>
    <col min="2" max="2" width="36.140625" style="219" customWidth="1"/>
    <col min="3" max="3" width="49" style="219" customWidth="1"/>
    <col min="4" max="4" width="28.42578125" style="72" customWidth="1"/>
    <col min="5" max="5" width="31.7109375" style="219" customWidth="1"/>
  </cols>
  <sheetData>
    <row r="1" spans="1:5" ht="15">
      <c r="A1" s="523" t="s">
        <v>3340</v>
      </c>
      <c r="B1" s="523"/>
      <c r="C1" s="523"/>
      <c r="D1" s="523"/>
      <c r="E1" s="523"/>
    </row>
    <row r="2" spans="1:5" ht="27" customHeight="1">
      <c r="A2" s="529" t="s">
        <v>3341</v>
      </c>
      <c r="B2" s="529"/>
      <c r="C2" s="529"/>
      <c r="D2" s="529"/>
      <c r="E2" s="529"/>
    </row>
    <row r="3" spans="1:5" ht="34.5" customHeight="1">
      <c r="A3" s="530" t="s">
        <v>3342</v>
      </c>
      <c r="B3" s="530"/>
      <c r="C3" s="530"/>
      <c r="D3" s="530"/>
      <c r="E3" s="530"/>
    </row>
    <row r="4" spans="1:5" ht="42.75" customHeight="1">
      <c r="A4" s="531" t="s">
        <v>3343</v>
      </c>
      <c r="B4" s="531"/>
      <c r="C4" s="531"/>
      <c r="D4" s="531"/>
      <c r="E4" s="531"/>
    </row>
    <row r="5" spans="1:5" ht="27" customHeight="1">
      <c r="A5" s="531" t="s">
        <v>3344</v>
      </c>
      <c r="B5" s="531"/>
      <c r="C5" s="531"/>
      <c r="D5" s="531"/>
      <c r="E5" s="531"/>
    </row>
    <row r="6" spans="1:5" ht="16.5" customHeight="1">
      <c r="A6" s="532" t="s">
        <v>3345</v>
      </c>
      <c r="B6" s="532"/>
      <c r="C6" s="532"/>
      <c r="D6" s="532"/>
      <c r="E6" s="532"/>
    </row>
    <row r="7" spans="1:5" ht="15">
      <c r="A7" s="211" t="s">
        <v>3346</v>
      </c>
      <c r="B7" s="293" t="s">
        <v>3347</v>
      </c>
      <c r="C7" s="293" t="s">
        <v>3348</v>
      </c>
      <c r="D7" s="294" t="s">
        <v>3349</v>
      </c>
      <c r="E7" s="214" t="s">
        <v>3350</v>
      </c>
    </row>
    <row r="8" spans="1:5" ht="15">
      <c r="A8" s="212"/>
      <c r="B8" s="220"/>
      <c r="C8" s="220"/>
      <c r="D8" s="213" t="s">
        <v>3351</v>
      </c>
      <c r="E8" s="215"/>
    </row>
    <row r="9" spans="1:5" ht="81" customHeight="1">
      <c r="A9" s="535" t="s">
        <v>3352</v>
      </c>
      <c r="B9" s="534" t="s">
        <v>3353</v>
      </c>
      <c r="C9" s="295" t="s">
        <v>3354</v>
      </c>
      <c r="D9" s="533" t="s">
        <v>3355</v>
      </c>
      <c r="E9" s="216" t="s">
        <v>3356</v>
      </c>
    </row>
    <row r="10" spans="1:5" ht="30">
      <c r="A10" s="536"/>
      <c r="B10" s="534"/>
      <c r="C10" s="296" t="s">
        <v>3357</v>
      </c>
      <c r="D10" s="533"/>
      <c r="E10" s="216" t="s">
        <v>3358</v>
      </c>
    </row>
    <row r="11" spans="1:5" ht="49.5" customHeight="1">
      <c r="A11" s="536"/>
      <c r="B11" s="534"/>
      <c r="C11" s="296" t="s">
        <v>3359</v>
      </c>
      <c r="D11" s="533"/>
      <c r="E11" s="216" t="s">
        <v>3358</v>
      </c>
    </row>
    <row r="12" spans="1:5" ht="34.5" customHeight="1">
      <c r="A12" s="536"/>
      <c r="B12" s="534"/>
      <c r="C12" s="296" t="s">
        <v>3360</v>
      </c>
      <c r="D12" s="533"/>
      <c r="E12" s="216" t="s">
        <v>3361</v>
      </c>
    </row>
    <row r="13" spans="1:5" ht="33.75" customHeight="1">
      <c r="A13" s="536"/>
      <c r="B13" s="534"/>
      <c r="C13" s="296" t="s">
        <v>3362</v>
      </c>
      <c r="D13" s="533"/>
      <c r="E13" s="216" t="s">
        <v>3361</v>
      </c>
    </row>
    <row r="14" spans="1:5" ht="32.25" customHeight="1">
      <c r="A14" s="536"/>
      <c r="B14" s="524" t="s">
        <v>3363</v>
      </c>
      <c r="C14" s="296" t="s">
        <v>3364</v>
      </c>
      <c r="D14" s="524" t="s">
        <v>3365</v>
      </c>
      <c r="E14" s="217" t="s">
        <v>3366</v>
      </c>
    </row>
    <row r="15" spans="1:5" ht="35.25" customHeight="1">
      <c r="A15" s="536"/>
      <c r="B15" s="525"/>
      <c r="C15" s="296" t="s">
        <v>3367</v>
      </c>
      <c r="D15" s="525"/>
      <c r="E15" s="217" t="s">
        <v>3366</v>
      </c>
    </row>
    <row r="16" spans="1:5" ht="45">
      <c r="A16" s="536"/>
      <c r="B16" s="525"/>
      <c r="C16" s="296" t="s">
        <v>3368</v>
      </c>
      <c r="D16" s="525"/>
      <c r="E16" s="217" t="s">
        <v>3369</v>
      </c>
    </row>
    <row r="17" spans="1:5" ht="30">
      <c r="A17" s="536"/>
      <c r="B17" s="525"/>
      <c r="C17" s="296" t="s">
        <v>3370</v>
      </c>
      <c r="D17" s="525"/>
      <c r="E17" s="217" t="s">
        <v>3371</v>
      </c>
    </row>
    <row r="18" spans="1:5" ht="30">
      <c r="A18" s="537"/>
      <c r="B18" s="525"/>
      <c r="C18" s="296" t="s">
        <v>3372</v>
      </c>
      <c r="D18" s="525"/>
      <c r="E18" s="217" t="s">
        <v>3373</v>
      </c>
    </row>
    <row r="19" spans="1:5" ht="48.75" customHeight="1">
      <c r="A19" s="526" t="s">
        <v>3374</v>
      </c>
      <c r="B19" s="296" t="s">
        <v>3375</v>
      </c>
      <c r="C19" s="296" t="s">
        <v>3376</v>
      </c>
      <c r="D19" s="524" t="s">
        <v>3377</v>
      </c>
      <c r="E19" s="216" t="s">
        <v>3358</v>
      </c>
    </row>
    <row r="20" spans="1:5" ht="40.5" customHeight="1">
      <c r="A20" s="527"/>
      <c r="B20" s="524" t="s">
        <v>3378</v>
      </c>
      <c r="C20" s="296" t="s">
        <v>3379</v>
      </c>
      <c r="D20" s="525"/>
      <c r="E20" s="216" t="s">
        <v>3380</v>
      </c>
    </row>
    <row r="21" spans="1:5" ht="30">
      <c r="A21" s="527"/>
      <c r="B21" s="525"/>
      <c r="C21" s="295" t="s">
        <v>3381</v>
      </c>
      <c r="D21" s="525"/>
      <c r="E21" s="218" t="s">
        <v>3382</v>
      </c>
    </row>
    <row r="22" spans="1:5" ht="49.5" customHeight="1">
      <c r="A22" s="527"/>
      <c r="B22" s="524" t="s">
        <v>3383</v>
      </c>
      <c r="C22" s="296" t="s">
        <v>3384</v>
      </c>
      <c r="D22" s="525"/>
      <c r="E22" s="217" t="s">
        <v>3385</v>
      </c>
    </row>
    <row r="23" spans="1:5" ht="49.5" customHeight="1">
      <c r="A23" s="527"/>
      <c r="B23" s="528"/>
      <c r="C23" s="296" t="s">
        <v>3386</v>
      </c>
      <c r="D23" s="525"/>
      <c r="E23" s="217" t="s">
        <v>3385</v>
      </c>
    </row>
    <row r="24" spans="1:5" ht="73.5" customHeight="1">
      <c r="A24" s="526" t="s">
        <v>3387</v>
      </c>
      <c r="B24" s="296" t="s">
        <v>3388</v>
      </c>
      <c r="C24" s="296" t="s">
        <v>3389</v>
      </c>
      <c r="D24" s="540" t="s">
        <v>3390</v>
      </c>
      <c r="E24" s="216" t="s">
        <v>3358</v>
      </c>
    </row>
    <row r="25" spans="1:5" ht="75" customHeight="1">
      <c r="A25" s="538"/>
      <c r="B25" s="524" t="s">
        <v>3391</v>
      </c>
      <c r="C25" s="296" t="s">
        <v>3392</v>
      </c>
      <c r="D25" s="541"/>
      <c r="E25" s="216" t="s">
        <v>3393</v>
      </c>
    </row>
    <row r="26" spans="1:5" ht="55.5" customHeight="1">
      <c r="A26" s="539"/>
      <c r="B26" s="543"/>
      <c r="C26" s="297" t="s">
        <v>3394</v>
      </c>
      <c r="D26" s="542"/>
      <c r="E26" s="221" t="s">
        <v>3395</v>
      </c>
    </row>
  </sheetData>
  <sheetProtection algorithmName="SHA-512" hashValue="unIUy86j4lLFe4CRrJUn4xU9EslSqzEMVCAhseYc17Or/CSIU0WxQLpz0vOnZkSnQzon8Qy91At+SPvhLXdWFQ==" saltValue="wZwhHCfJTxKo1XPNj1AXTA==" spinCount="100000" sheet="1" objects="1" scenarios="1"/>
  <mergeCells count="18">
    <mergeCell ref="A24:A26"/>
    <mergeCell ref="D24:D26"/>
    <mergeCell ref="B25:B26"/>
    <mergeCell ref="A1:E1"/>
    <mergeCell ref="B14:B18"/>
    <mergeCell ref="D14:D18"/>
    <mergeCell ref="A19:A23"/>
    <mergeCell ref="D19:D23"/>
    <mergeCell ref="B20:B21"/>
    <mergeCell ref="B22:B23"/>
    <mergeCell ref="A2:E2"/>
    <mergeCell ref="A3:E3"/>
    <mergeCell ref="A4:E4"/>
    <mergeCell ref="A5:E5"/>
    <mergeCell ref="A6:E6"/>
    <mergeCell ref="D9:D13"/>
    <mergeCell ref="B9:B13"/>
    <mergeCell ref="A9:A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dcc6fa3-9f4a-44be-8138-52b0a7714600" xsi:nil="true"/>
    <lcf76f155ced4ddcb4097134ff3c332f xmlns="6fc5a8ea-eaed-4de4-a4c1-bb274ab7d61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E1E7B6247FD234A9D5B6036ABF788CD" ma:contentTypeVersion="13" ma:contentTypeDescription="Create a new document." ma:contentTypeScope="" ma:versionID="b50dc4aa3594d91fde16775b8441a32e">
  <xsd:schema xmlns:xsd="http://www.w3.org/2001/XMLSchema" xmlns:xs="http://www.w3.org/2001/XMLSchema" xmlns:p="http://schemas.microsoft.com/office/2006/metadata/properties" xmlns:ns2="6fc5a8ea-eaed-4de4-a4c1-bb274ab7d611" xmlns:ns3="8dcc6fa3-9f4a-44be-8138-52b0a7714600" targetNamespace="http://schemas.microsoft.com/office/2006/metadata/properties" ma:root="true" ma:fieldsID="1877d62fc6685f2668d5ea3d4d9ea396" ns2:_="" ns3:_="">
    <xsd:import namespace="6fc5a8ea-eaed-4de4-a4c1-bb274ab7d611"/>
    <xsd:import namespace="8dcc6fa3-9f4a-44be-8138-52b0a77146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c5a8ea-eaed-4de4-a4c1-bb274ab7d6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cc6fa3-9f4a-44be-8138-52b0a771460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8e6159-c170-46ef-874c-a5c14db90d07}" ma:internalName="TaxCatchAll" ma:showField="CatchAllData" ma:web="8dcc6fa3-9f4a-44be-8138-52b0a77146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3835D263-546D-427D-9483-3486CF0DCF1C}"/>
</file>

<file path=customXml/itemProps2.xml><?xml version="1.0" encoding="utf-8"?>
<ds:datastoreItem xmlns:ds="http://schemas.openxmlformats.org/officeDocument/2006/customXml" ds:itemID="{C694BD6E-57E1-43CE-A873-F827DFBC29E0}"/>
</file>

<file path=customXml/itemProps3.xml><?xml version="1.0" encoding="utf-8"?>
<ds:datastoreItem xmlns:ds="http://schemas.openxmlformats.org/officeDocument/2006/customXml" ds:itemID="{BBAA9DAF-7E10-4AA3-BF3A-546054C6BBDF}"/>
</file>

<file path=customXml/itemProps4.xml><?xml version="1.0" encoding="utf-8"?>
<ds:datastoreItem xmlns:ds="http://schemas.openxmlformats.org/officeDocument/2006/customXml" ds:itemID="{76797AA7-C089-4BEE-83E8-80E0FD8826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dalemu</dc:creator>
  <cp:keywords/>
  <dc:description/>
  <cp:lastModifiedBy/>
  <cp:revision/>
  <dcterms:created xsi:type="dcterms:W3CDTF">2008-11-13T13:04:28Z</dcterms:created>
  <dcterms:modified xsi:type="dcterms:W3CDTF">2026-10-18T21:51:33Z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0x0101009E1E7B6247FD234A9D5B6036ABF788CD</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