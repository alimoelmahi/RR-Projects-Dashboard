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C:\Users\marrian.gebreselassi\Downloads\"/>
    </mc:Choice>
  </mc:AlternateContent>
  <xr:revisionPtr revIDLastSave="0" documentId="8_{92EDB21E-FD5A-4FB2-A854-3F3BAC36C9AE}" xr6:coauthVersionLast="47" xr6:coauthVersionMax="47" xr10:uidLastSave="{00000000-0000-0000-0000-000000000000}"/>
  <bookViews>
    <workbookView xWindow="28680" yWindow="-120" windowWidth="29040" windowHeight="15720" firstSheet="7" activeTab="7" xr2:uid="{849C5255-88E8-43B2-A9EF-EA9DE98C4FF8}"/>
  </bookViews>
  <sheets>
    <sheet name="Project_FactSheet" sheetId="1" r:id="rId1"/>
    <sheet name="JSB_Tracker" sheetId="2" r:id="rId2"/>
    <sheet name="Detailed_locations" sheetId="3" r:id="rId3"/>
    <sheet name="Weekly_Updates" sheetId="4" r:id="rId4"/>
    <sheet name="JSB_QuarterlyInputs" sheetId="5" r:id="rId5"/>
    <sheet name="ProjectReview_23.02" sheetId="6" r:id="rId6"/>
    <sheet name="WaterIrrigation" sheetId="7" r:id="rId7"/>
    <sheet name="SolarStreetLight" sheetId="8" r:id="rId8"/>
    <sheet name="IP_Locations" sheetId="9" r:id="rId9"/>
    <sheet name="FinalTable" sheetId="10" r:id="rId10"/>
  </sheets>
  <definedNames>
    <definedName name="_xlnm._FilterDatabase" localSheetId="7" hidden="1">SolarStreetLight!$A$1:$K$31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8" l="1"/>
  <c r="Z5" i="2"/>
  <c r="Z3" i="2"/>
  <c r="K19" i="2"/>
  <c r="X12" i="2"/>
  <c r="X5" i="2"/>
  <c r="X3" i="2"/>
  <c r="L5" i="5"/>
  <c r="J5" i="5"/>
  <c r="V9" i="2"/>
  <c r="U9" i="2"/>
  <c r="W9" i="2" s="1"/>
  <c r="V8" i="2"/>
  <c r="U8" i="2"/>
  <c r="W8" i="2" s="1"/>
  <c r="V7" i="2"/>
  <c r="U7" i="2"/>
  <c r="U6" i="2"/>
  <c r="W6" i="2" s="1"/>
  <c r="U5" i="2"/>
  <c r="W5" i="2" s="1"/>
  <c r="V4" i="2"/>
  <c r="U4" i="2"/>
  <c r="W4" i="2" s="1"/>
  <c r="V3" i="2"/>
  <c r="U3" i="2"/>
  <c r="W3" i="2" s="1"/>
  <c r="W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tc={3729F621-EC46-4FBE-9CB0-8ED2D4DF8693}</author>
  </authors>
  <commentList>
    <comment ref="K9" authorId="0" shapeId="0" xr:uid="{3729F621-EC46-4FBE-9CB0-8ED2D4DF8693}">
      <text>
        <t>[Threaded comment]
Your version of Excel allows you to read this threaded comment; however, any edits to it will get removed if the file is opened in a newer version of Excel. Learn more: https://go.microsoft.com/fwlink/?linkid=870924
Comment:
    @Faisal Sabir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tc={8C59C683-728D-4BBB-8E0C-12BD14C5D7AA}</author>
    <author>tc={0EF6699B-A6F4-4D88-A8EF-8CE5BA9D1BBB}</author>
  </authors>
  <commentList>
    <comment ref="B4" authorId="0" shapeId="0" xr:uid="{8C59C683-728D-4BBB-8E0C-12BD14C5D7AA}">
      <text>
        <t>[Threaded comment]
Your version of Excel allows you to read this threaded comment; however, any edits to it will get removed if the file is opened in a newer version of Excel. Learn more: https://go.microsoft.com/fwlink/?linkid=870924
Comment:
    @Faisal Sabir these are identical</t>
      </text>
    </comment>
    <comment ref="B9" authorId="1" shapeId="0" xr:uid="{0EF6699B-A6F4-4D88-A8EF-8CE5BA9D1BBB}">
      <text>
        <t>[Threaded comment]
Your version of Excel allows you to read this threaded comment; however, any edits to it will get removed if the file is opened in a newer version of Excel. Learn more: https://go.microsoft.com/fwlink/?linkid=870924
Comment:
    @Faisal Sabir Weekly updates for JSB were inconsistent in December. Please advise</t>
      </text>
    </comment>
  </commentList>
</comments>
</file>

<file path=xl/sharedStrings.xml><?xml version="1.0" encoding="utf-8"?>
<sst xmlns="http://schemas.openxmlformats.org/spreadsheetml/2006/main" count="838" uniqueCount="483">
  <si>
    <t>Project Name:</t>
  </si>
  <si>
    <t>Strengthening the Food Security and Livelihoods of IDPs and Host Communities in the Red Sea State, Sudan</t>
  </si>
  <si>
    <t>Donor:</t>
  </si>
  <si>
    <t>Government of Japan</t>
  </si>
  <si>
    <t>Total budget:</t>
  </si>
  <si>
    <t>Start date:</t>
  </si>
  <si>
    <t>End date:</t>
  </si>
  <si>
    <t>Duration:</t>
  </si>
  <si>
    <t>12 months</t>
  </si>
  <si>
    <t>Target locations:</t>
  </si>
  <si>
    <t>Red Sea state: Tokar, locality, Port Sudan Locality and Sinkat Locality</t>
  </si>
  <si>
    <t>Implementing Partners:</t>
  </si>
  <si>
    <t>JVC (PZU), RSO (Sinkat), BDO (Tokar)</t>
  </si>
  <si>
    <t>Last update to tracker:</t>
  </si>
  <si>
    <t>21/06/2026</t>
  </si>
  <si>
    <t>EXPECTED OUTPUTS</t>
  </si>
  <si>
    <t>Activity</t>
  </si>
  <si>
    <t>PIMS_ToI</t>
  </si>
  <si>
    <t>OUTPUT INDICATORS</t>
  </si>
  <si>
    <t>DATA SOURCE</t>
  </si>
  <si>
    <t>Location</t>
  </si>
  <si>
    <t>BASELINE</t>
  </si>
  <si>
    <t>TARGET</t>
  </si>
  <si>
    <t>FINAL Target</t>
  </si>
  <si>
    <t>BDO (Tokar)</t>
  </si>
  <si>
    <t>JVC (PZU)</t>
  </si>
  <si>
    <t>RSO (Sinkat)</t>
  </si>
  <si>
    <t>IP Target Totals</t>
  </si>
  <si>
    <t>IP LOP Target Total</t>
  </si>
  <si>
    <t>IP Actual_Nov</t>
  </si>
  <si>
    <t>IP Actual_04.05.26</t>
  </si>
  <si>
    <t>Value</t>
  </si>
  <si>
    <t>Year</t>
  </si>
  <si>
    <t>Target</t>
  </si>
  <si>
    <t>2025_Actual_13.11.25</t>
  </si>
  <si>
    <t>Total_Actual_04.05.26</t>
  </si>
  <si>
    <t>2025_Target</t>
  </si>
  <si>
    <t>2025_Actual_26.11</t>
  </si>
  <si>
    <t>Revised Achievement</t>
  </si>
  <si>
    <t>Comment</t>
  </si>
  <si>
    <r>
      <rPr>
        <b/>
        <sz val="10"/>
        <color rgb="FF000000"/>
        <rFont val="Calibri"/>
      </rPr>
      <t xml:space="preserve">Output 1: </t>
    </r>
    <r>
      <rPr>
        <sz val="10"/>
        <color rgb="FF000000"/>
        <rFont val="Calibri"/>
      </rPr>
      <t xml:space="preserve"> </t>
    </r>
    <r>
      <rPr>
        <b/>
        <sz val="10"/>
        <color rgb="FF000000"/>
        <rFont val="Calibri"/>
      </rPr>
      <t xml:space="preserve"> The food production (including crops, livestock, and fisheries) and income generation capacity of IDPs and Vulnerable Host Communities improved.</t>
    </r>
  </si>
  <si>
    <t>Activity 1.1: Provide agriculture and fishery inputs to framers and fishers (men and Women) with continuous technical extension support</t>
  </si>
  <si>
    <t>1.1 Number of households receiving inputs to undertake farming and/or fishery. Disaggregated by gender</t>
  </si>
  <si>
    <t>Annual Reports;</t>
  </si>
  <si>
    <t>Tokar, locality, Port Sudan Locality and Sinkat Locality</t>
  </si>
  <si>
    <t>500 (at least 52% women)</t>
  </si>
  <si>
    <t xml:space="preserve">1000P (166HH) </t>
  </si>
  <si>
    <t>1031 (1000 farmers; 31 fishermen)</t>
  </si>
  <si>
    <r>
      <rPr>
        <sz val="11"/>
        <color rgb="FF000000"/>
        <rFont val="Aptos Narrow"/>
        <scheme val="minor"/>
      </rPr>
      <t>1000 famers (</t>
    </r>
    <r>
      <rPr>
        <b/>
        <sz val="11"/>
        <color rgb="FF000000"/>
        <rFont val="Aptos Narrow"/>
        <scheme val="minor"/>
      </rPr>
      <t>166 HH</t>
    </r>
    <r>
      <rPr>
        <sz val="11"/>
        <color rgb="FF000000"/>
        <rFont val="Aptos Narrow"/>
        <scheme val="minor"/>
      </rPr>
      <t>) (6 Kgs seeds/pp) + 25 fishermen ( fishing nets and 
cooling fiber ice boxes)</t>
    </r>
  </si>
  <si>
    <t>415 HH (115 F; 300 M)</t>
  </si>
  <si>
    <t>438 farmers (198 F, 240 M) + 60 fishermen</t>
  </si>
  <si>
    <t>133 HH (68 female + 65 male)</t>
  </si>
  <si>
    <r>
      <rPr>
        <sz val="11"/>
        <color rgb="FF000000"/>
        <rFont val="Aptos Narrow"/>
        <scheme val="minor"/>
      </rPr>
      <t>1000 farmers (</t>
    </r>
    <r>
      <rPr>
        <b/>
        <sz val="11"/>
        <color rgb="FF000000"/>
        <rFont val="Aptos Narrow"/>
        <scheme val="minor"/>
      </rPr>
      <t>166</t>
    </r>
    <r>
      <rPr>
        <sz val="11"/>
        <color rgb="FF000000"/>
        <rFont val="Aptos Narrow"/>
        <scheme val="minor"/>
      </rPr>
      <t xml:space="preserve"> HH - 87 F and 79 M)</t>
    </r>
  </si>
  <si>
    <t>855 HH (85 fishermen)</t>
  </si>
  <si>
    <t>JVC farmers + fishermen</t>
  </si>
  <si>
    <t>Activity 1.2: Procure and deliver farm machinery, benefiting smallholder farmers with continuous technical follow-ups and support.</t>
  </si>
  <si>
    <t>1.2 Number of male and Female smallholder farmers who have access to farm machinery to support food production</t>
  </si>
  <si>
    <t>250 (at least 52% women)</t>
  </si>
  <si>
    <t>500 P
(83 HH)</t>
  </si>
  <si>
    <t>2 tractors with accessories received</t>
  </si>
  <si>
    <t>500 farmers (hoes, Rake 
and Axe)</t>
  </si>
  <si>
    <t>Not yet</t>
  </si>
  <si>
    <t>147 farmers-FFS (60 M, 87 F)</t>
  </si>
  <si>
    <t xml:space="preserve">not yet </t>
  </si>
  <si>
    <t>50 HH (technical follow up)</t>
  </si>
  <si>
    <t>197 received extension services + 2 tractors + 1 kiosk</t>
  </si>
  <si>
    <t>Activity 1.3:  Distribute small ruminants for vulnerable households, including female-headed households, with technical follow-ups</t>
  </si>
  <si>
    <t>1.3 Number of vulnerable households who received small ruminant support as part of their livestock re-stocking exercises for improved health and nutritional outcome disaggregated by gender.</t>
  </si>
  <si>
    <t>62 (at least 35% female-headed households)</t>
  </si>
  <si>
    <t>300 P 
(21 HH)</t>
  </si>
  <si>
    <t>62 HH  (13 M; 49 F)</t>
  </si>
  <si>
    <t>54 HH (163 goats; 3 goats/HH)</t>
  </si>
  <si>
    <t>Not yet - 37 HH selected</t>
  </si>
  <si>
    <t>37 W-HH (2 milking goats and 2 kids/HH)</t>
  </si>
  <si>
    <t>54 HH (3 goats perfamily) 43 female HH   and 11 male  HH</t>
  </si>
  <si>
    <t>54 HH (163 goats; 3 goats/HH) (34 F and 20 M)</t>
  </si>
  <si>
    <t>145 HH (474 goats)</t>
  </si>
  <si>
    <t>Only females of RSO and JVC</t>
  </si>
  <si>
    <t>Activity 1.4: Provide micro-grants and village lending schemes to vulnerable groups, associations, and micro-enterprises (including IDPs and host community members) to initiate business activities with technical support</t>
  </si>
  <si>
    <t xml:space="preserve">1.4 Number of women-led women groups, associations, and micro-enterprises receiving micro-grants to establish small businesses. </t>
  </si>
  <si>
    <t xml:space="preserve"> 4 
Women 
groups</t>
  </si>
  <si>
    <t>4 groups (40 women/ 10 per group)</t>
  </si>
  <si>
    <t>5 groups (10 women/group)</t>
  </si>
  <si>
    <t>4 groups formed but pending grant</t>
  </si>
  <si>
    <t>4 VSLA (102 F) + 80 (life skills training) + 106 (marketing training) + 107 (food processing + different toolkits)</t>
  </si>
  <si>
    <t>40 (10 per group ) (2groups IDPs and 2 groups host community</t>
  </si>
  <si>
    <t>4 groups (10 women/group; 2 groups IDPs, 2 groups HC)</t>
  </si>
  <si>
    <t>13 groups (192 women)</t>
  </si>
  <si>
    <t>Activity 1.5: Provide emergency employment focussing on young men and women through the construction and rehabilitation of critical community infrastructure</t>
  </si>
  <si>
    <t>1.5 Number of temporary emergency jobs created (for women and men)</t>
  </si>
  <si>
    <t>392 (at least 52% women)</t>
  </si>
  <si>
    <t>786 P
(131 HH)</t>
  </si>
  <si>
    <t>Not yet - 874 beneficiaries registered</t>
  </si>
  <si>
    <t>786 (all M)</t>
  </si>
  <si>
    <t>Not yet - 53 selected</t>
  </si>
  <si>
    <t>64 youth (4 F  60 M)</t>
  </si>
  <si>
    <t>This will start Tomorrow 150 (75 male and 75 female)</t>
  </si>
  <si>
    <t>157 (80 
F, 77 M)</t>
  </si>
  <si>
    <t>1/4th BDO + JVC + RSO</t>
  </si>
  <si>
    <t>Output 2: Access of conflict affected IDPs and host communities to critical infrastructure and services enhanced</t>
  </si>
  <si>
    <t>Activity 2.1: Establish and/or rehabilitate and solarize agricultural irrigation systems</t>
  </si>
  <si>
    <t>2.1 Number of households benefiting from agricultural irrigation systems, rehabilitated/established, and solarized. Disaggregated by gender.</t>
  </si>
  <si>
    <r>
      <t xml:space="preserve">900 </t>
    </r>
    <r>
      <rPr>
        <i/>
        <sz val="10"/>
        <color theme="1"/>
        <rFont val="Calibri"/>
        <family val="2"/>
      </rPr>
      <t>(at least 35% female-headed households)</t>
    </r>
  </si>
  <si>
    <t xml:space="preserve"> 300 P
(49 HH)</t>
  </si>
  <si>
    <t>Not yet - sites selected pending UNDP</t>
  </si>
  <si>
    <t>1 demonstration farm (5 feddan, with well and solar panels, 50 HH)</t>
  </si>
  <si>
    <t>50 HH</t>
  </si>
  <si>
    <t>Activity 2.2: Install solar streetlights and flood lights in IDP concentrations and major service hubs to enhance safety and security, especially for girls and women at night in consultation with communitie</t>
  </si>
  <si>
    <t>2.2 Number of men and women benefiting from solar streetlights installed to provide protection at IDP gathering points</t>
  </si>
  <si>
    <t>2,700 (at least 52% women)</t>
  </si>
  <si>
    <t>900 P
(150 HH)</t>
  </si>
  <si>
    <t>Not yet - 10 sites identified pending UNDP</t>
  </si>
  <si>
    <t>10 streetlights (13000)</t>
  </si>
  <si>
    <t>Not yet - sites selected pending solars</t>
  </si>
  <si>
    <t>10 solar streetlight (514)</t>
  </si>
  <si>
    <t>nominated  10 not started</t>
  </si>
  <si>
    <t>10 solar streelights (2250)</t>
  </si>
  <si>
    <t>30 streetlights</t>
  </si>
  <si>
    <t>3000 HH</t>
  </si>
  <si>
    <t>100/site</t>
  </si>
  <si>
    <t>Output 3: Capacity of Local Institutions and Communities improved:</t>
  </si>
  <si>
    <t>Activity 3.1: Provide technical and material support to Locality level Agricultural Extension and Veterinary officers and staff</t>
  </si>
  <si>
    <t>Number of institutions provided with technical support</t>
  </si>
  <si>
    <t>1 - vet office</t>
  </si>
  <si>
    <t>Vet office given seating</t>
  </si>
  <si>
    <t>NA</t>
  </si>
  <si>
    <t>9 agricultural extension and irrigation 
staff in rainwater harvesting</t>
  </si>
  <si>
    <t xml:space="preserve">Activity 3.2: Provide technical support to authorities and officers responsible for the functioning of irrigation schemes to expand production (including fuel, repair, and maintenance of critical agricultural equipment). </t>
  </si>
  <si>
    <t xml:space="preserve">Number of Government officials and staff benefiting from technical and material assistance. Segregated by male and female </t>
  </si>
  <si>
    <r>
      <t xml:space="preserve">0 </t>
    </r>
    <r>
      <rPr>
        <i/>
        <sz val="10"/>
        <color rgb="FFFF0000"/>
        <rFont val="Calibri"/>
        <family val="2"/>
      </rPr>
      <t>(5)</t>
    </r>
  </si>
  <si>
    <t>60 (at least 52% women)</t>
  </si>
  <si>
    <t>Supported local MOH with fuel to control mosquitos</t>
  </si>
  <si>
    <t>Supported malaria campaign</t>
  </si>
  <si>
    <t xml:space="preserve">20 males trained </t>
  </si>
  <si>
    <t>20 trained and local authority office given laptop, printer, two tables, and six office chairs</t>
  </si>
  <si>
    <t>20 + (Tokar - 1 laptop + fuel for malaria campaign)</t>
  </si>
  <si>
    <t>Activity 3.3: Establish Community Management Committee (CMC) and train members to ensure the voices of various community members are considered in the decision-making process of the project.</t>
  </si>
  <si>
    <t>Number of CMCs members trained with 50% women</t>
  </si>
  <si>
    <t>60 (at least 50% women)</t>
  </si>
  <si>
    <t>15 ( 8 F; 7 M)</t>
  </si>
  <si>
    <t>1 CMC (15 members; 8 F; 7 M)</t>
  </si>
  <si>
    <t>30 (1 CMC; 15 F; 15 M)</t>
  </si>
  <si>
    <t>30 (2 CMCs; 15 F; 15 M)</t>
  </si>
  <si>
    <t>21  ( 5 female and 16 male)</t>
  </si>
  <si>
    <t>1 CMC (21 members; 5 F, 16 M)</t>
  </si>
  <si>
    <t>4 CMCs (66 members; 28 F, 38 M)</t>
  </si>
  <si>
    <t>Partner</t>
  </si>
  <si>
    <t>Locality</t>
  </si>
  <si>
    <t>Locations</t>
  </si>
  <si>
    <t>JVC</t>
  </si>
  <si>
    <t>PZU/Oshari</t>
  </si>
  <si>
    <t>Gariya Jadeeda</t>
  </si>
  <si>
    <t>3 per location in CMC</t>
  </si>
  <si>
    <t>Gariya Gadeema (Oshari)</t>
  </si>
  <si>
    <t>12 members in female CMC; 15 members in male CMC</t>
  </si>
  <si>
    <t>Tuwar Alteet</t>
  </si>
  <si>
    <t>Gagloog</t>
  </si>
  <si>
    <t>Kobas</t>
  </si>
  <si>
    <t>Week Duration</t>
  </si>
  <si>
    <t>Undefined</t>
  </si>
  <si>
    <t>2nd Nov to 6th Nov</t>
  </si>
  <si>
    <t xml:space="preserve">•	Two tractors with implements have been delivered to local farmers. This support is expected to benefit approximately 1,000 farmers and contribute to the cultivation of around 10,000 feddans of land. The machinery 
•	The handover of the machinery was attended by representatives from the local authorities (Executive Director, Head of Police , community leaders, the Community Management Committee (CMC), and beneficiary representatives.
•	During the handover ceremony, some community leaders expressed concerns about the machinery being allocated to a limited number of individuals, emphasizing that the support should benefit all farmers in Tokar. In response, the Executive Director clarified that the selected beneficiaries had been identified through consultations with representatives from all community groups. Nevertheless, it was agreed to hold further discussions with the community leaders to find a more inclusive solution
</t>
  </si>
  <si>
    <r>
      <rPr>
        <sz val="11"/>
        <color rgb="FF000000"/>
        <rFont val="Aptos Narrow"/>
        <scheme val="minor"/>
      </rPr>
      <t xml:space="preserve">•	A field survey was conducted to verify and confirm the information of eligible beneficiaries for the goat distribution program, covering a total of 63 families within the targeted communities.
•	</t>
    </r>
    <r>
      <rPr>
        <b/>
        <sz val="11"/>
        <color rgb="FFFF0000"/>
        <rFont val="Aptos Narrow"/>
        <scheme val="minor"/>
      </rPr>
      <t xml:space="preserve">A youth needs assessment survey was carried out to identify interests and preferred types of vocational training, engaging 80 young men and 125 young women.
</t>
    </r>
    <r>
      <rPr>
        <sz val="11"/>
        <color rgb="FF000000"/>
        <rFont val="Aptos Narrow"/>
        <scheme val="minor"/>
      </rPr>
      <t xml:space="preserve">•	A leadership training workshop was organized for community committee members, with a focus on 15 women participants.
The training aimed to enhance leadership and community engagement capacities and covered the following key topics:
o	The concept and essential qualities of effective leadership
o	Communication and interpersonal skills
o	Teamwork and collaboration
o	Practical application of communication techniques
o	Leadership and decision-making processes
o	Identifying and responding to community needs
o	Group discussions and experience sharing
</t>
    </r>
  </si>
  <si>
    <t xml:space="preserve">JSB- (RSO):  Gabait
1.	Watermelon, pumpkin, arugula, Molokai and pepper seeds distributed to 10 households as they asked. 
These seeds is not much, it is taken from the sample which they had taken from the supplier.
2.	Two shops has been rented for the shops of women’s third and fourth groups as income generating activities.  
The second activity is conducted by following steps:
-	Meeting had been conducted with CMC to identify the beneficiaries.
-	A session made for women about teamwork, general business and how to run and manage commercial projects.
-	The beneficiary’s voice is heard and they themselves showed their priorities. 
-	First market survey made, then procurement process made after that, the shops are handed for them in attendance of CMC , local government , their staff and I as community mobilizer of UNDP. 
3.	All Street solar lights points are identified by close coordination with the Gabait administration Unit officer to enhance the governmental engagement in project implementation.
4.	Today I transfer 560 solar kits from the store house of Red Sea Organization to DPI . 
</t>
  </si>
  <si>
    <t>9th Nov to 13th Nov</t>
  </si>
  <si>
    <t>NONE</t>
  </si>
  <si>
    <t xml:space="preserve">(RSO):  Gabait
•	Four representatives from the organization participated in a meeting with the United Nations Development Programme (UNDP).
•	An internal meeting was held to discuss and evaluate the progress of the project and the remaining activities.
•	The implementation plan for the Cash for Work activity, which focuses on the cleaning campaign in Gebiet City will be implemented next week. 
•	The plan for training agricultural staff and technicians was also reviewed as part of the upcoming project activities.
</t>
  </si>
  <si>
    <t>16th Nov to 20th Nov</t>
  </si>
  <si>
    <t xml:space="preserve">Betay: 
•	IP has conducted meeting with CMC to finalize the list of the  cash for work beneficiaries which targeted 120 individuals.  The activity will start next week.  
•	 Conduct meeting with CMC to agree upon type of work for youth cash for work  
•	Facilitate Tractor accessories receiving (Disc)
•	Identify type of machinery suited with smallholder (meet farmers).
</t>
  </si>
  <si>
    <t xml:space="preserve">•	A field survey was conducted to verify and confirm the information of eligible beneficiaries for the goat distribution program, covering a total of 63 families within the targeted communities.
•	A leadership training workshop was organized for community committee members, with a focus on 15 women participants.
The training aimed to enhance leadership and community engagement capacities and covered the following key topics:
•	agricultural extension training for women targeted 25 women. 
</t>
  </si>
  <si>
    <t xml:space="preserve">(RSO):  Gabait
•	 To conduct the activity of cash for work as city cleaning project which targeting 150 youth, they made meeting with CMC to discuss the items which is needed , and to put criteria for the  selection of the  beneficiaries . 
•	 Community engagement session has been made with restaurant owners, slaughters, vegetable sellers and community leaders to rise their awareness and to prepare them for the coming activities.
•	A meeting was conducted with the Gabait administrative unit officers and environmental sanitation officers to identify the existing needs and gaps related to activity to fill it. 
</t>
  </si>
  <si>
    <t>23rd Nov to 27th Nov</t>
  </si>
  <si>
    <t xml:space="preserve">•	IP has conducted meeting with CMC to finalize the list of the  cash for work beneficiaries which targeted 120 individuals.  The activity will start next week.  
•	 Conduct meeting with CMC to agree upon type of work for youth cash for work  
•	Facilitate Tractor accessories receiving (Disc)
•	Identify type of machinery suited with smallholder (meet farmers).
</t>
  </si>
  <si>
    <t xml:space="preserve">•	A field survey was conducted to verify and confirm the information of eligible beneficiaries for the goat distribution program, covering a total of 63 families within the targeted communities.
•	A leadership training workshop was organized for community committee members, with a focus on 15 women participants.
The training aimed to enhance leadership and community engagement capacities and covered the following key topics:
•	agricultural extension training for women targeted 25 women. </t>
  </si>
  <si>
    <t xml:space="preserve"> JSB- (RSO):  Gabait
•	under the activity 1-5 which is Cash for work : with close coordination  with CMC criteria for beneficiary selection made, media campaign made in mosques and social media to announce for the registration , work tools have been purchased , the tractors of locality received fuels and environmental sanitation campaign has begun with high enthusiasm .The number of the participants 150 (75 male and 75 female).
</t>
  </si>
  <si>
    <t>30th Nov to 4th Dec</t>
  </si>
  <si>
    <t xml:space="preserve">JSB: Betay: 
•	Conduct meeting Tokar locality executive manager to allocate place for fish market to fishermen supported BDO.   
•	Attend HAC meeting with  Tokar locality executive manager to monitor and evaluate  local and international NGOs performance 
•	Tokar locality executive manager, HAC monitoring team and companion NGOs   visited tow samples from BDO implemented activities namely yoked women group and perfume women group.
•	Conduct meeting with boutique women group to solve misunderstand between women and explained the purpose of the grand and meanwhile identify gabs.
•	Follow up of event sheets group to identify the gabs if there. Result the group need more.
•	Conduct meet with Tokar social welfare manager to negotiate the registration of CMC.   
</t>
  </si>
  <si>
    <t xml:space="preserve">JSB: JVC:
•	JVC has submitted the FACE and financial report for Liquidation of the remaining balance of the 1st tranche (80%).
</t>
  </si>
  <si>
    <t xml:space="preserve"> JSB: RSO
•	The seventh day of the environmental sanitation campaign which employed 150 youth (75 male and 75 female ) and it will be extended to Two weeks.
•	Liquidation of the remaining balance of the 1st tranche has been completed, RSO working to liquidate 80% of the 2nd tranche by end of Dec. 
CM-Update:
They are in the continuation of the activity 1-5 which is cash for work. Today is the Seventh day of the  environmental sanitation campaign which employed 150 youth (75 male and 75 female ) and it will be extended to Two weeks.
2. Good engagement is made with the locality and Sudanese Army as they participate by their people in the campaign.
3. Concerning the expenditure of the second installment , they said according to their plan , they can expend 100 Million SDG up to 10 December 2025.</t>
  </si>
  <si>
    <t>7th Dec to 11th Dec</t>
  </si>
  <si>
    <r>
      <rPr>
        <sz val="11"/>
        <color rgb="FF000000"/>
        <rFont val="Aptos Narrow"/>
        <scheme val="minor"/>
      </rPr>
      <t>JSB-Betay Development Organization BDO
1- 300 members are selected to clean Tokar city in the activity of cash for work.
2- BDO is in the process of making a fish market by starting to make shelter and tables.
3- Betay have challenges of accessing their money by transferring it from Mashrag bank to bank of khartoum this cause delay in achieving activities
4- The misunderstanding of the boutique women group is not solved yet it becomes  the general opinion and city talk there is likely or probability of fraud smell. {your advice</t>
    </r>
    <r>
      <rPr>
        <b/>
        <sz val="11"/>
        <color rgb="FF000000"/>
        <rFont val="Aptos Narrow"/>
        <scheme val="minor"/>
      </rPr>
      <t xml:space="preserve"> is needed}
</t>
    </r>
  </si>
  <si>
    <t xml:space="preserve">JSB: JVC:
•	Construction of a community building in the Hushairi area to benefit the local population.
•	Procurement of 32 goats, each accompanied by its kid, to ensure high milk production.
•	The goats were vaccinated by a veterinary doctor.
•	Training of community committee members on leadership skills.15 men
•	Coordination for training fishermen to equip them with skills that enhance their efficiency and productivity targeting 60 .
</t>
  </si>
  <si>
    <t>CM-Update:
(1) 7 male and 3 female (the representative of ministry of agriculture at  locality level) received  
training on vegetables production,  post harvesting operation and climate change.
They come across such topics like the impact of climate change on natural resources and mitigation measures and others. 
(2) Today marks the 13th day of the Environmental Sanitation Campaign. The team will complete their work next week, on Saturday and Sunday.
(3) At the beginning of the week, the Minister of Human Resources and Social Development, accompanied by the Governor of the Red Sea State, visited the organization, reviewed its activities, praised the Environmental Sanitation Campaign, and confirmed their full readiness to cooperate and facilitate any challenges facing the organization.
(4) Yesterday, there was also a visit by Sovereign Council member Dr. Nawara Bafli, along with the Governor of the Red Sea State and a number of security, police, military, executive, and community leaders. They witnessed the large number of young men and women from the area actively participating in the Environmental Sanitation Campaign. They commended the organization, its projects, and its significant role in serving and developing the people of the  Sinkatlocality.</t>
  </si>
  <si>
    <t>14th Dec to 18th Dec</t>
  </si>
  <si>
    <t xml:space="preserve">1-BDO {Betay Development organization (JSB)
a-The names of 300 hundred people who will clean Tokar city under activity cash for work identified and completed the registration by their national numbers, but all of them do not have bank accounts except two of them which makes it difficult for their payments.
b- procurement of 20 fishing nets and 20 fish fridges are completed but still not handed over to the fishing groups
c- fixing of the fish market is not completed yet.
</t>
  </si>
  <si>
    <r>
      <rPr>
        <sz val="11"/>
        <color rgb="FF000000"/>
        <rFont val="Aptos Narrow"/>
        <scheme val="minor"/>
      </rPr>
      <t xml:space="preserve">JSB: JVC:
•	Goats’ distribution: Blood samples were taken for testing, and faecal samples were collected to examine internal parasites. Animals were vaccinated against common diseases and treated with anti-parasitic medications to protect them from diseases.
•	Animals were also numbered for follow-up purposes.
•	Distribution of goats to 15 households, with each household receiving two goats, each accompanied by its kid.
•	Continued procurement of goats.
•	Ongoing construction and maintenance works carried out by the youth Hosheri 
</t>
    </r>
    <r>
      <rPr>
        <sz val="11"/>
        <color rgb="FFFF0000"/>
        <rFont val="Aptos Narrow"/>
        <scheme val="minor"/>
      </rPr>
      <t xml:space="preserve">•	Coordination for training fishermen to equip them with skills that enhance their efficiency and productivity targeting 60Procurement of 32 goats, each accompanied by its kid, to ensure high milk production.
•	The goats were vaccinated by a veterinary doctor.
•	Training of community committee members on leadership skills.15 men
•	Coordination for training fishermen to equip them with skills that enhance their efficiency and productivity targeting 60 .
</t>
    </r>
  </si>
  <si>
    <t xml:space="preserve">Red Sea Org – JSB: 
•	The Saturday was last day of the activity of cash for work.
•	UNDP visited our partner and reviewed the activities and its budgets. And how to conclude the remaining activities.
•	The representative of the company of assessment visited our partner.
•	 the board of the organization held a meeting to review the plan of the organization.
•	a meeting held with the CMC to identify the beneficiaries of workshop of small farmers of Gabait which will be conducted next week.
</t>
  </si>
  <si>
    <t>21st Dec to 25th Dec</t>
  </si>
  <si>
    <t>NO UPDATE</t>
  </si>
  <si>
    <t xml:space="preserve">Red Sea Org – JSB: 
1. Under the activity 3.1 Capacity Building training conducted for 30 Smallholder Farmers (13 females and 17 males).
The facilitators of this training was the agricultural officers from Sinkat Locality who were trained by RSO two weeks ago.  They facilitate training on vegetable cultivation. 
The training combined both theoretical sessions and practical field visits, including on-site demonstrations in agricultural fields, which enhanced participants’ understanding of modern and sustainable vegetable farming practices.
Notably, the trainees took a proactive initiative by establishing an agricultural association under the umbrella of RSO, aiming to ensure sustainability, , and continuity of agricultural activities after the end of the project. This initiative demonstrates strong community ownership and commitment to long-term impact.
2. Procurement of Agricultural Seedlings
As part of the preparation for the proposed farming program, the following seedlings were procured this week:
150 mango seedlings
100 guava seedlings
100 lemon seedlings
25 date palm seedlings.
</t>
  </si>
  <si>
    <r>
      <rPr>
        <sz val="11"/>
        <color rgb="FF000000"/>
        <rFont val="Aptos Narrow"/>
        <scheme val="minor"/>
      </rPr>
      <t xml:space="preserve">CM-Update:
1. Under the activity 3.1 Capacity Building training conducted for 30 Smallholder Farmers(13 females and 17 males)
The facilitators of this training was the agricultural officers from Sinkat Locality who were trained by RSO two weeks ago.  They facilitate training on vegetable cultivation. 
The training combined both theoretical sessions and practical field visits, including on-site demonstrations in agricultural fields, which enhanced participants’ understanding of modern and sustainable vegetable farming practices.
Notably, the trainees took a proactive initiative by establishing an agricultural association under the umbrella of RSO, aiming to ensure sustainability, , and continuity of agricultural activities after the end of the project. This initiative demonstrates strong community ownership and commitment to long-term impact.
2. Procurement of Agricultural Seedlings
As part of the preparation for the proposed farming program, the following seedlings were procured this week:
150 mango seedlings
100 guava seedlings
100 lemon seedlings
25 date palm seedlings.
</t>
    </r>
    <r>
      <rPr>
        <b/>
        <sz val="11"/>
        <color rgb="FFFF0000"/>
        <rFont val="Aptos Narrow"/>
        <scheme val="minor"/>
      </rPr>
      <t xml:space="preserve">
</t>
    </r>
  </si>
  <si>
    <t>28th Dec to 31st Dec</t>
  </si>
  <si>
    <t xml:space="preserve">Betay Org (JSB: 
•	Emergency youth employment activity initiated  the day before yesterday 
•	Fiber glass boxes and fishing nets for fishery groups will be transfer next week 
•	 Perfume group war materials will be dispatch  next week
•	Event ceremony shade manufacturing finished and it will be  received today and will be transmitted next.
</t>
  </si>
  <si>
    <t>4th Jan to 8th Jan</t>
  </si>
  <si>
    <t xml:space="preserve">Our partner RSO,  the executive officer of Gabait administrative Unit and the supplier has identified 10  locations for installing solar streets lights, the lighting poles have arrived, but the solar have not arrived yet.
2. The General Assembly meeting was held at the beginning of the week, during which more than 12 policies which  had approved by general manager subjected to them. </t>
  </si>
  <si>
    <t>11th Jan to 15th Jan</t>
  </si>
  <si>
    <t xml:space="preserve">Betay – Tokar (JSB):
•	Distribution of 20 fiber cooling boxes and 20 fishing nets for fishery group (20 fishermen) completed.
•	Kushok for Tokar fish market installed with big fiber cooling boxes received by five group of fish market.
</t>
  </si>
  <si>
    <t xml:space="preserve">JVC (JSB):
•	10 streetlights has been installed in Hosheri (PS).
</t>
  </si>
  <si>
    <t>18th Jan to 22nd Jan</t>
  </si>
  <si>
    <t xml:space="preserve">Toker Locality – Betay Development Organization
Activity 1.1 – Agricultural Support to Host Communities
•	A package of agricultural tools (hoes, shovels, and axes) was distributed to 100 male farmers from host communities to strengthen agricultural productivity and field preparation.
Activity 1.4 – Women’s Economic Empowerment
1. Office Based Income Generation Group (8 Women)
•	A group of 8 women received: 
o	Photocopier
o	Printer
o	Computer
•	This support will enable the group to launch a documentation and printing service, creating a sustainable income generation opportunity.
2. Tent Rental Business Group (10 Women)
•	A second group of 10 women received five water barrels.
•	This group had previously received tents and has already initiated a tent rental business.
•	The additional water barrels enhance their operational capacity and service delivery.
</t>
  </si>
  <si>
    <t xml:space="preserve">1. Distribution of Food Processing Inputs and Tools – Hoshiri Center Area
•	Women’s groups successfully received food production inputs and processing equipment, enabling them to start production activities immediately.
•	A joint production and work plan was developed, emphasizing collective effort. A selected subgroup of women was assigned responsibility for marketing the products.
•	The groups agreed to hold weekly meetings to discuss income management and monitor sales performance.
•	Initial manufactured products include: 
o	Balah Al Sham
o	Biscuits
•	A structured sales schedule was developed to organize production and distribution.
•	Products are marketed through multiple channels, such as: 
o	Home based sales
o	Sales at events, schools, and local markets
•	Feedback from the groups indicates that sales are faster and more profitable at gatherings compared to home-based sales.
2. Distribution of Food Processing Inputs and Tools – Village Area
•	Food processing inputs and equipment have been prepared for distribution to women’s groups in the village, with plans to launch production activities soon.
3. Distribution of Small Ruminants to Vulnerable Households
Milk Production and Household Impact
•	Follow-up with beneficiary households shows that sheep and goats provide approximately 3–3.5 pounds of milk per day, offering a valuable source of nutrition.
•	Productivity levels are reported as high and consistent.
Household Benefits
•	Household A: 
o	The mother, father, and four children benefit from daily milk that is sufficient for preparing dinner, morning tea, and producing yogurt.
•	Household B: 
o	Milk production exceeds the household’s own needs and also supports the sister’s family, demonstrating strong nutritional and social value
</t>
  </si>
  <si>
    <t xml:space="preserve">Sinkat Locality – Gabait (RSO )
Activity 2.1 – Establishment and Solarization of Agricultural Irrigation Systems
•	UNDP conducted the official project site handover to the supplier this week.
•	This action enables the contractor to begin work on the solarized agricultural irrigation systems, marking the transition from planning to implementation.
</t>
  </si>
  <si>
    <t>25th Jan to 29th Jan</t>
  </si>
  <si>
    <t xml:space="preserve">Toker Locality – Betay Development Organization
•	1. Under the activity 1- 4 The women group who had received office equipment last week , this week they received TOT practical  training on how to operate computer , photocopier and printer to run their  business of income generation. All are from host community their total number 7 women.
•	2- As preparation to conduct the second round of cash for work , a process of verification for 400 listed young men is made. All are male and from host community.
</t>
  </si>
  <si>
    <t xml:space="preserve">Port Sudan locality - JVC:
•	Under the activity 1-4 the needs of women groups of Hoshiri Village identified and procured to run their business of income generation BUT not distributed up to now. 
•	(ToT) had been conducted for the farmers to improve their agricultural practices during harvest and post-harvest periods.
•	 A communication made with livestock suppliers for the provision of additional goats for HH.
</t>
  </si>
  <si>
    <t xml:space="preserve">Sinkat Locality – Gabait (RSO )
•	1- Under activity 2-1 The supplier of pumps and solar system has started his work by conducting A geophysical study for a well at Gabait Farm, the results showed an abundant quantity of fresh sweet water. Moreover, the supplier informed us that the fencing material will arrive today.
</t>
  </si>
  <si>
    <t>1st Feb to 5th Feb</t>
  </si>
  <si>
    <t xml:space="preserve">Toker Locality – Betay Development Organization
•	a process of digging 10 sites is completed for installing solar poles for street lighting.
</t>
  </si>
  <si>
    <t xml:space="preserve">Sinkat Locality – Gabait (RSO )
•	Under activity   2-1 the supplier made a field visit to the farm of Gabait to plan and mark the borders of the farm for doing fencing. 
</t>
  </si>
  <si>
    <t>8th Feb to 12th Feb</t>
  </si>
  <si>
    <t xml:space="preserve">Toker Locality – Betay Development Organization
• Ten previously identified locations for solar lighting have been successfully illuminated.
</t>
  </si>
  <si>
    <t xml:space="preserve">Sinkat locality - RSO
• Fencing of the Gabait Demonstrative Farm underway. 
• Borehole digging is progressing well
</t>
  </si>
  <si>
    <t>15th Feb to 19th Feb</t>
  </si>
  <si>
    <t xml:space="preserve">Toker Locality – Betay Development Organization
• Ten solar street lights has handed over from suppliers to the civil engineer of UNDP. 
</t>
  </si>
  <si>
    <t xml:space="preserve">Port Sudan locality- JVC
•	Three days agricultural TOT  training had been conducting to 15 farmers who represent six agricultural groups , After completing the training , they divided into Six groups and made Two days practical sessions in the demonstrative field to allow other farmers to learn from them.
•	under the activity 1-4 which is supporting saving and lending : 
 productive materials  and equipment have been distributed to 7 groups of women in Hoshiri village, their total  numbers are 40 women;
•	Under the activity 1-3 a total of 84 goats are purchased and Transported to Hoshiri village. After that communication and coordination made with veterinary department to conduct health inspection and vaccination. They are not distributed up to now.
</t>
  </si>
  <si>
    <t xml:space="preserve">Sinkat locality - RSO
• Fencing of the Gabait Demonstrative Farm completed by 90% and the Borehole digging is progressing well (99%).
</t>
  </si>
  <si>
    <t>22nd Feb to 26th Feb</t>
  </si>
  <si>
    <t>1st Mar to 5th Mar</t>
  </si>
  <si>
    <r>
      <rPr>
        <sz val="11"/>
        <color rgb="FF000000"/>
        <rFont val="Aptos Narrow"/>
        <scheme val="minor"/>
      </rPr>
      <t xml:space="preserve">Tokar: 
•	</t>
    </r>
    <r>
      <rPr>
        <b/>
        <sz val="11"/>
        <color rgb="FF000000"/>
        <rFont val="Aptos Narrow"/>
        <scheme val="minor"/>
      </rPr>
      <t>Baseline survey</t>
    </r>
    <r>
      <rPr>
        <sz val="11"/>
        <color rgb="FF000000"/>
        <rFont val="Aptos Narrow"/>
        <scheme val="minor"/>
      </rPr>
      <t xml:space="preserve">: Data collection in Tokar has been completed, for the targeted 25 beneficiaries (13 males and 12 females). 
•	A meeting was held with the local authorities (deputy of Executive Director) to finalize the issue concerning the two tractors handed over to the targeted beneficiaries. Challenges remain regarding their operation and management. The team will organize a follow up meeting this week with the Executive Director of the locality and the Director General of the State Ministry of Agriculture in Port Sudan to resolve the outstanding issues.
</t>
    </r>
  </si>
  <si>
    <r>
      <rPr>
        <sz val="11"/>
        <color rgb="FF000000"/>
        <rFont val="Aptos Narrow"/>
        <scheme val="minor"/>
      </rPr>
      <t xml:space="preserve">Sinkat locality – RSO:
•	The demonstration farm in Gabait is approximately 80% completed. 
•	UNDP team (Eng. Tarig, Yagoub and Faisal they are currently conducting monitoring and evaluation for the activities that have already been implemented, also to ensure that all activities implanted before 15th March. 
•	</t>
    </r>
    <r>
      <rPr>
        <b/>
        <sz val="11"/>
        <color rgb="FF000000"/>
        <rFont val="Aptos Narrow"/>
        <scheme val="minor"/>
      </rPr>
      <t>Baseline survey:</t>
    </r>
    <r>
      <rPr>
        <sz val="11"/>
        <color rgb="FF000000"/>
        <rFont val="Aptos Narrow"/>
        <scheme val="minor"/>
      </rPr>
      <t xml:space="preserve"> Data collection in Sinkat has been completed for 13 beneficiaries out of 25 (6 males and 7 females). The remaining (12) is in progress supposed to be completed by Sunday 7th March.  
</t>
    </r>
  </si>
  <si>
    <t xml:space="preserve">Port Sudan:
•	Baseline survey: Data collection in Port Sudan has been completed, for the targeted 30 beneficiaries (12 males and 18 females).
</t>
  </si>
  <si>
    <t>8th Mar to 12th Mar</t>
  </si>
  <si>
    <t xml:space="preserve">Tokar: 
•	The UNDP Red Sea State team convened a state level meeting with the Director General of the Ministry of Agriculture (MOA), the Director of Delta Tokar, implementing partners (SRCS and Betay), and a representative of the Community Management Committee (CMC). The discussion followed up on the earlier meeting held in Tokar with the Locality Representative regarding the operation and management of the five tractors and accessories recently delivered by UNDP. All participants agreed on the need to register all beneficiaries under agricultural cooperatives. This step will ensure proper documentation, accountability, and the formal handover of the equipment to the rightful user groups.
</t>
  </si>
  <si>
    <t xml:space="preserve">Port Sudan: (JVC):
•	The training on marketing skills and perfume‑making commenced this week in Hoshiri. A total of 30 participants, representing the five groups previously established—are taking part in the sessions. The trainees include 6 males and 24 females, reflecting strong women’s engagement in livelihood and skills‑development activities.
</t>
  </si>
  <si>
    <t xml:space="preserve">Sinkat locality – RSO:
•	As part of support for local authority (technical department) A new laptop and printer were procured for the Agriculture Office in Sinkat locality, along with 2 imported desks (140 cm each) 6 comfortable office chairs.
•	The Gabait demonstration farm, aimed at supporting 50 families, is approximately 90% completed.
•	The Red Sea Organization (RSO) has signed a technical agreement with the Ministry of Agriculture to supervise and provide technical support for the demonstration farm for three months.
•	Installation of the water pump for the demonstration farm’s well is expected to be completed by tomorrow.
•	A service agreement was finalized with a local contractor to provide a loader and tractor for land preparation and operational activities at the demonstration farm for three months.
•	The supplier confirmed that six wells have been cleaned, including: 3 wells in Gabait
3 wells in Sinkat.
•	Cement bases for the solar energy systems for four wells in Sinkat have been successfully completed.
•	Baseline survey: Data collection in Sinkat has been completed for the remaining (12)  beneficiaries now the target 25 (13 females and 12 male) completed.  
</t>
  </si>
  <si>
    <t>15th Mar to 19th Mar</t>
  </si>
  <si>
    <t xml:space="preserve">Tokar locality – BDO  JSB Project: 
•	Start-up kits have been distributed for five women groups. 
</t>
  </si>
  <si>
    <t xml:space="preserve">Sinkat locality- SDC- project
•	Cash for work activities are ongoing in Sinkat locality, targeted 50 HH
</t>
  </si>
  <si>
    <t>22nd Mar to 26th Mar</t>
  </si>
  <si>
    <t>No.</t>
  </si>
  <si>
    <t>RB</t>
  </si>
  <si>
    <t>CO</t>
  </si>
  <si>
    <t>Project Title (ENG)</t>
  </si>
  <si>
    <t>Budget</t>
  </si>
  <si>
    <t>Q3 November/December</t>
  </si>
  <si>
    <t>Financial delivery rate by "UNDP Project Resources Overview" in Sep</t>
  </si>
  <si>
    <t>Financial delivery rate by "UNDP Project Resources Overview" in Nov/Dec</t>
  </si>
  <si>
    <t>Financial delivery rate by "Executive snapshot" in Sep</t>
  </si>
  <si>
    <t>Financial delivery rate by "Executive snapshot" in Nov/Dec</t>
  </si>
  <si>
    <t>Project number</t>
  </si>
  <si>
    <t>Focal points in CO</t>
  </si>
  <si>
    <t>DRR in CO</t>
  </si>
  <si>
    <t>JU-PMJ</t>
  </si>
  <si>
    <t>Challenges</t>
  </si>
  <si>
    <t>Deadline</t>
  </si>
  <si>
    <t>Status</t>
  </si>
  <si>
    <t>Follow-up actions</t>
  </si>
  <si>
    <t>Example</t>
  </si>
  <si>
    <t>RBX</t>
  </si>
  <si>
    <t>XXX</t>
  </si>
  <si>
    <t>XXXXX</t>
  </si>
  <si>
    <t>(Output 1) Procurement of X</t>
  </si>
  <si>
    <t>On time</t>
  </si>
  <si>
    <t>Monitor</t>
  </si>
  <si>
    <t>(Output 2) Construction of Y</t>
  </si>
  <si>
    <t>Delayed for 1 months (Jan 2026)</t>
  </si>
  <si>
    <r>
      <rPr>
        <sz val="11"/>
        <color rgb="FF000000"/>
        <rFont val="Aptos Narrow"/>
      </rPr>
      <t>1) Decide on NCE request in the 3</t>
    </r>
    <r>
      <rPr>
        <vertAlign val="superscript"/>
        <sz val="11"/>
        <color rgb="FF000000"/>
        <rFont val="Aptos Narrow"/>
      </rPr>
      <t>rd</t>
    </r>
    <r>
      <rPr>
        <sz val="11"/>
        <color rgb="FF000000"/>
        <rFont val="Aptos Narrow"/>
      </rPr>
      <t xml:space="preserve"> week of January
2) Share the draft NCE request with JU on the 4th week of Jan
3) Submit the NCE request in the 1st week of Feb</t>
    </r>
  </si>
  <si>
    <t>RBAS</t>
  </si>
  <si>
    <t>Sudan</t>
  </si>
  <si>
    <t>Strengthening the Food Security and Livelihoods of IDPs and Host Communities in Sudan</t>
  </si>
  <si>
    <t>Yui Arai Suzuki &lt;yui.arai@undp.org&gt;
Faisal Sabir &lt;faisal.sabir@undp.org&gt;
Arvind Kumar &lt;arvind.kumar@undp.org&gt;</t>
  </si>
  <si>
    <t> </t>
  </si>
  <si>
    <t>Approved total budget as per PD</t>
  </si>
  <si>
    <t xml:space="preserve">Actual Target </t>
  </si>
  <si>
    <t>Amount to be charged per activity</t>
  </si>
  <si>
    <t xml:space="preserve">Actual Expenditure </t>
  </si>
  <si>
    <t>Balance</t>
  </si>
  <si>
    <t>%</t>
  </si>
  <si>
    <t>Activity # as in AWP</t>
  </si>
  <si>
    <t>HH</t>
  </si>
  <si>
    <t xml:space="preserve">HH  </t>
  </si>
  <si>
    <t>Responsible Parties</t>
  </si>
  <si>
    <t>Task (Activity)</t>
  </si>
  <si>
    <r>
      <t>1</t>
    </r>
    <r>
      <rPr>
        <b/>
        <vertAlign val="superscript"/>
        <sz val="11"/>
        <color rgb="FF000000"/>
        <rFont val="Aptos"/>
        <family val="2"/>
      </rPr>
      <t>st</t>
    </r>
    <r>
      <rPr>
        <b/>
        <sz val="11"/>
        <color rgb="FF000000"/>
        <rFont val="Aptos"/>
        <family val="2"/>
      </rPr>
      <t xml:space="preserve"> payment (50%)</t>
    </r>
  </si>
  <si>
    <t>POs</t>
  </si>
  <si>
    <t xml:space="preserve">Red Sea </t>
  </si>
  <si>
    <t xml:space="preserve">Betay </t>
  </si>
  <si>
    <t>ACTIVITY -16</t>
  </si>
  <si>
    <r>
      <t xml:space="preserve"> 1.1</t>
    </r>
    <r>
      <rPr>
        <sz val="10"/>
        <color rgb="FF000000"/>
        <rFont val="Calibri"/>
        <family val="2"/>
      </rPr>
      <t xml:space="preserve">: Provide of agriculture and fishery inputs to beneficiaries with technical support. </t>
    </r>
  </si>
  <si>
    <t>N/A</t>
  </si>
  <si>
    <r>
      <t xml:space="preserve"> 1.2</t>
    </r>
    <r>
      <rPr>
        <sz val="10"/>
        <color rgb="FF000000"/>
        <rFont val="Calibri"/>
        <family val="2"/>
      </rPr>
      <t xml:space="preserve">: Follow-up farmers provide farm machinery that benefiting smallholder farmers with continuous technical follow-ups. </t>
    </r>
  </si>
  <si>
    <r>
      <t>1.3</t>
    </r>
    <r>
      <rPr>
        <sz val="10"/>
        <color rgb="FF000000"/>
        <rFont val="Calibri"/>
        <family val="2"/>
      </rPr>
      <t xml:space="preserve">: Provide and distribute small ruminants for vulnerable households, including female-headed households with technical follow-ups. </t>
    </r>
  </si>
  <si>
    <r>
      <t>1.4</t>
    </r>
    <r>
      <rPr>
        <sz val="10"/>
        <color rgb="FF000000"/>
        <rFont val="Calibri"/>
        <family val="2"/>
      </rPr>
      <t xml:space="preserve">: Support Savings and Lending scheme for IDPs and host communities to enhance self-help and income generation. </t>
    </r>
  </si>
  <si>
    <r>
      <t xml:space="preserve"> 1.5:</t>
    </r>
    <r>
      <rPr>
        <sz val="12"/>
        <color rgb="FF000000"/>
        <rFont val="Aptos"/>
        <family val="2"/>
      </rPr>
      <t xml:space="preserve"> </t>
    </r>
    <r>
      <rPr>
        <sz val="10"/>
        <color rgb="FF000000"/>
        <rFont val="Calibri"/>
        <family val="2"/>
      </rPr>
      <t>Provide emergency employment to youth through construction and rehabilitation of critical community infrastructure.</t>
    </r>
  </si>
  <si>
    <r>
      <t>1.6 C</t>
    </r>
    <r>
      <rPr>
        <sz val="10"/>
        <color rgb="FF000000"/>
        <rFont val="Calibri"/>
        <family val="2"/>
      </rPr>
      <t>onduct baseline Survey</t>
    </r>
  </si>
  <si>
    <t>Sub-total ACTIVITY -16 RPAs</t>
  </si>
  <si>
    <r>
      <t>2.1</t>
    </r>
    <r>
      <rPr>
        <sz val="10"/>
        <color rgb="FF000000"/>
        <rFont val="Calibri"/>
        <family val="2"/>
      </rPr>
      <t xml:space="preserve">: Establish and/or rehabilitate and solarize agriculture irrigation systems. </t>
    </r>
  </si>
  <si>
    <t>ACTIVITY -17</t>
  </si>
  <si>
    <r>
      <t xml:space="preserve">2.2: </t>
    </r>
    <r>
      <rPr>
        <sz val="10"/>
        <color rgb="FF000000"/>
        <rFont val="Calibri"/>
        <family val="2"/>
      </rPr>
      <t xml:space="preserve"> installation  of 5 solar streetlights and/or flood lights in IDP concentrations and/or major service hubs to enhance safety and security especially girls and women at night in consultation with communities. </t>
    </r>
  </si>
  <si>
    <t>Sub-total ACTIVITY -17</t>
  </si>
  <si>
    <t>TOTAL ACTIVITY -17</t>
  </si>
  <si>
    <r>
      <t>3.1:</t>
    </r>
    <r>
      <rPr>
        <sz val="9"/>
        <color rgb="FF000000"/>
        <rFont val="Calibri"/>
        <family val="2"/>
      </rPr>
      <t xml:space="preserve"> Provide technical and material support to Locality level Agricultural Extension and Veterinary officers and staff. </t>
    </r>
  </si>
  <si>
    <t>6 Gov Staff</t>
  </si>
  <si>
    <t>5 Gov staff</t>
  </si>
  <si>
    <t>ACTIVITY - 18</t>
  </si>
  <si>
    <r>
      <t>3.2:</t>
    </r>
    <r>
      <rPr>
        <sz val="9"/>
        <color rgb="FF000000"/>
        <rFont val="Calibri"/>
        <family val="2"/>
      </rPr>
      <t xml:space="preserve"> Provide technical and material support to locality and State authorities and officers  </t>
    </r>
  </si>
  <si>
    <r>
      <t>3.3:</t>
    </r>
    <r>
      <rPr>
        <sz val="9"/>
        <color rgb="FF000000"/>
        <rFont val="Calibri"/>
        <family val="2"/>
      </rPr>
      <t xml:space="preserve"> Establish and train Community Management Committee (CMC) members. </t>
    </r>
  </si>
  <si>
    <t xml:space="preserve">60 Members </t>
  </si>
  <si>
    <t>66 Members</t>
  </si>
  <si>
    <t>Sub-total ACTIVITY -18</t>
  </si>
  <si>
    <t>Programme monitoring and Implementation IP</t>
  </si>
  <si>
    <t xml:space="preserve">                    Total</t>
  </si>
  <si>
    <t xml:space="preserve">TOTAL budget </t>
  </si>
  <si>
    <t>State</t>
  </si>
  <si>
    <t>Site Name/ Association</t>
  </si>
  <si>
    <t>Irrigated Area</t>
  </si>
  <si>
    <t>Scope of Work</t>
  </si>
  <si>
    <t>Rehabilition/New</t>
  </si>
  <si>
    <t>GPS coordinates</t>
  </si>
  <si>
    <t>Expected Drawdown (m)</t>
  </si>
  <si>
    <t>Pumping Setting Depth (F)</t>
  </si>
  <si>
    <t>Pump Selection Type &amp; Model</t>
  </si>
  <si>
    <t>Nominal Power (kW)</t>
  </si>
  <si>
    <t>Number of Panels</t>
  </si>
  <si>
    <t>N. of hours it operates on solar system for borehole</t>
  </si>
  <si>
    <t>Water production rate per hour</t>
  </si>
  <si>
    <t>Water productivity rate (m³/day) of the borehole</t>
  </si>
  <si>
    <t>Water productivity per liter/day</t>
  </si>
  <si>
    <t>Number of beneficiaries of water stations (persons)</t>
  </si>
  <si>
    <t>project starting Date</t>
  </si>
  <si>
    <t>Duration</t>
  </si>
  <si>
    <t>Ready for Handover</t>
  </si>
  <si>
    <t>Handed Over</t>
  </si>
  <si>
    <t>Handover Date</t>
  </si>
  <si>
    <t>Red Sea</t>
  </si>
  <si>
    <t>Sinkat</t>
  </si>
  <si>
    <t>Construction of Demonstration farm in Gabit</t>
  </si>
  <si>
    <t>5 Feddan</t>
  </si>
  <si>
    <t>Geophysical survey-Borehole Drilling works-
Supply,delivey and installation  of Submersible pump 
3inch HDPE/UPVC pipes from elevated tan to distribution or main water pipe line من المواسير 3 بوصة
Steel Fence سور
Water Tank
Signboard
Solar system and the accessories:</t>
  </si>
  <si>
    <t>New</t>
  </si>
  <si>
    <t>N18.937048    E36.841209</t>
  </si>
  <si>
    <t>panelli 95PR6 N/13 2 HP 2INCH</t>
  </si>
  <si>
    <t xml:space="preserve">1.5kw </t>
  </si>
  <si>
    <t>6 m3</t>
  </si>
  <si>
    <t>48m3</t>
  </si>
  <si>
    <t>30-1-2026</t>
  </si>
  <si>
    <t>3 months</t>
  </si>
  <si>
    <t>yes</t>
  </si>
  <si>
    <t>YES</t>
  </si>
  <si>
    <t>13-5-2026</t>
  </si>
  <si>
    <t xml:space="preserve">Targeted area/Community </t>
  </si>
  <si>
    <t>Solar Light capacity (Watts)</t>
  </si>
  <si>
    <t>No. of Hours operating</t>
  </si>
  <si>
    <t>Approximate Beneficiaries (individuals)</t>
  </si>
  <si>
    <t>Coordinates</t>
  </si>
  <si>
    <t>Handed over</t>
  </si>
  <si>
    <t>Handover date</t>
  </si>
  <si>
    <t>Redsae State</t>
  </si>
  <si>
    <t xml:space="preserve"> Gebeit Bridge</t>
  </si>
  <si>
    <t>1000 WATT</t>
  </si>
  <si>
    <t>12 hour</t>
  </si>
  <si>
    <t>N: 18.952448  E:  36.838223</t>
  </si>
  <si>
    <t>Yes</t>
  </si>
  <si>
    <t>Gebeit Industrial Area</t>
  </si>
  <si>
    <t>N: 18.950092  E:  36.836902</t>
  </si>
  <si>
    <t>Railway Crossing Entrance, Gebeit</t>
  </si>
  <si>
    <t>N: 18.954106  E:  36.840530</t>
  </si>
  <si>
    <t>Dalab Square, South Gebeit</t>
  </si>
  <si>
    <t>N: 18.954517  E:  36.838493</t>
  </si>
  <si>
    <t>Bus Station, Gebeit</t>
  </si>
  <si>
    <t>N: 18.956445  E:  36.835387</t>
  </si>
  <si>
    <t>Cemetery, Gebeit</t>
  </si>
  <si>
    <t>N: 18.960243  E:  36.825864</t>
  </si>
  <si>
    <t>Boundary between Market Neighborhood and Al‑Salam Neighborhood, Gebeit</t>
  </si>
  <si>
    <t>N: 18.956210  E:  36.831621</t>
  </si>
  <si>
    <t>Butchery, Gebeit Market</t>
  </si>
  <si>
    <t>N: 18.954506  E:  36.833368</t>
  </si>
  <si>
    <t>Gebeit Hospital</t>
  </si>
  <si>
    <t>N: 18.952155  E:  36.833928</t>
  </si>
  <si>
    <t>West of the Public Works Rest House-Gebeit</t>
  </si>
  <si>
    <t>N: 18.951779  E:  36.839447</t>
  </si>
  <si>
    <t>Toker</t>
  </si>
  <si>
    <t>Al-Zahra School</t>
  </si>
  <si>
    <t>N: 18.427695  E:  37.721918</t>
  </si>
  <si>
    <t>The Stadium</t>
  </si>
  <si>
    <t>N: 18.422406  E:  37.729795</t>
  </si>
  <si>
    <t>Tokar Youth Center</t>
  </si>
  <si>
    <t>N: 18.424314  E:  37.732776</t>
  </si>
  <si>
    <t>Al-Ansar Mosque</t>
  </si>
  <si>
    <t>N: 18.423701  E:  37.736592</t>
  </si>
  <si>
    <t>Al-Farouq School</t>
  </si>
  <si>
    <t>N: 18.426657  E:  37.739716</t>
  </si>
  <si>
    <t>Arowitai Shop</t>
  </si>
  <si>
    <t>N: 18.429302  E:  37.741430</t>
  </si>
  <si>
    <t>Girls’ Secondary School</t>
  </si>
  <si>
    <t>N: 18.431201  E:  37.737465</t>
  </si>
  <si>
    <t>Al-Ahli Square</t>
  </si>
  <si>
    <t>N: 18.430205  E:  37.737758</t>
  </si>
  <si>
    <t>Nimeiry Stand</t>
  </si>
  <si>
    <t>N: 18.430217  E:  37.734272</t>
  </si>
  <si>
    <t>City Entrance</t>
  </si>
  <si>
    <t>N: 18.432412  E:  37.722599</t>
  </si>
  <si>
    <t>Portsudan</t>
  </si>
  <si>
    <t>Tuwaritit – School-Hosherri</t>
  </si>
  <si>
    <t>N: 19.455735  E:  37.268781</t>
  </si>
  <si>
    <t xml:space="preserve">  Tuwaritit – Club-Hosherri</t>
  </si>
  <si>
    <t>N: 19.457818   E:  37.270873</t>
  </si>
  <si>
    <t>Hoshiri Centre-Hosherri</t>
  </si>
  <si>
    <t>N: 19.421968    E:  37.278613</t>
  </si>
  <si>
    <t xml:space="preserve">  Qalilob-Hosherri</t>
  </si>
  <si>
    <t>N: 19.342963    E:  37.275062</t>
  </si>
  <si>
    <t xml:space="preserve">  Haqluq-Hosherri</t>
  </si>
  <si>
    <t>N: 19.370285    E:  37.280312</t>
  </si>
  <si>
    <t xml:space="preserve"> Kuwabas – Inside the Neighbourhood-Hosherri</t>
  </si>
  <si>
    <t>N: 19.398349    E:  37.274394</t>
  </si>
  <si>
    <t xml:space="preserve"> Kuwabas – Inside the Neighbourhood (repeated)-Hosherri</t>
  </si>
  <si>
    <t>N: 19.397042   E:  37.273037</t>
  </si>
  <si>
    <t xml:space="preserve">  Al-Qariya – Western Neighbourhood-Hosherri</t>
  </si>
  <si>
    <t>N: 19.432472    E:  37.272298</t>
  </si>
  <si>
    <t xml:space="preserve"> Al-Qariya – School-Hosherri</t>
  </si>
  <si>
    <t>N: 19.435772    N: 19.435772</t>
  </si>
  <si>
    <t xml:space="preserve"> Al-Qariya – Eastern Neighbourhood-Hosherri</t>
  </si>
  <si>
    <t>N: 19.433807    E:  37.276223</t>
  </si>
  <si>
    <t>IP</t>
  </si>
  <si>
    <t>Communities</t>
  </si>
  <si>
    <t>Port Sudan</t>
  </si>
  <si>
    <t>Hosheri, Gariya Jadeeda,Gariya Gadeema (Oshari), Tuwar Alteet, Gagloog, Kobas</t>
  </si>
  <si>
    <t>Betay</t>
  </si>
  <si>
    <t>Tokar</t>
  </si>
  <si>
    <t>RSO</t>
  </si>
  <si>
    <t>Outputs </t>
  </si>
  <si>
    <t>Activities </t>
  </si>
  <si>
    <t>Indicators </t>
  </si>
  <si>
    <t>Target </t>
  </si>
  <si>
    <t>Achievement </t>
  </si>
  <si>
    <t>Remark </t>
  </si>
  <si>
    <r>
      <rPr>
        <sz val="10"/>
        <color rgb="FF1F2937"/>
        <rFont val="Arial"/>
      </rPr>
      <t>Output 1:</t>
    </r>
    <r>
      <rPr>
        <b/>
        <sz val="10"/>
        <color rgb="FF1F2937"/>
        <rFont val="Arial"/>
      </rPr>
      <t xml:space="preserve"> The food production (including crops, livestock, and fisheries) and income generation capacity of IDPs and Vulnerable Host Communities improved. </t>
    </r>
  </si>
  <si>
    <r>
      <t>Activity 1.1:</t>
    </r>
    <r>
      <rPr>
        <sz val="9"/>
        <color rgb="FF1F2937"/>
        <rFont val="Arial"/>
        <charset val="1"/>
      </rPr>
      <t xml:space="preserve"> Provide agriculture and fishery inputs to framers and fishers (men and Women) with continuous technical extension support </t>
    </r>
  </si>
  <si>
    <t>1.1 Number of households receiving inputs to undertake farming and/or fishery. Disaggregated by gender </t>
  </si>
  <si>
    <t>0 </t>
  </si>
  <si>
    <t>500 HHs (at least 52% women) </t>
  </si>
  <si>
    <t>855 HHs supported (33% female-headed HH) </t>
  </si>
  <si>
    <t>The original target was set conservatively to account for the high inflation and price volatility in Sudan. Through efficient procurement and cost management, the project was able to support more beneficiaries than initially planned without compromising the quality of assistance. This enabled inclusion of additional beneficiaries to ensure adequate representation of various ethnic groups in the target area as part of UNDP’s “Do no harm” principles. </t>
  </si>
  <si>
    <t>(770 HHs supported with agriculture inputs, such as seeds and tool; 37% were female-headed HH. Also, 85 HHs fishermen supported with fishing tools.) </t>
  </si>
  <si>
    <r>
      <t>Activity 1.2:</t>
    </r>
    <r>
      <rPr>
        <sz val="9"/>
        <color rgb="FF1F2937"/>
        <rFont val="Arial"/>
        <charset val="1"/>
      </rPr>
      <t xml:space="preserve"> Procure and deliver farm machinery, benefiting smallholder farmers with continuous technical follow-ups and support. </t>
    </r>
  </si>
  <si>
    <t>1.2 Number of male and Female smallholder farmers who have access to farm machinery to support food production </t>
  </si>
  <si>
    <t>250 HHs (at least 52% women) </t>
  </si>
  <si>
    <t>The machinery was allocated exclusively to Tokar following an assessment of land characteristics and local needs. The other target localities received support tailored to their contexts, including community farms, solar irrigation systems, and technical assistance. The CMC plans to expand mechanization services in the upcoming season to reach over 1,000 households in Tokar, which is within the seasonal service capacity of the two tractors. The expansion will be implemented by the CMC through its own operational guidelines, ensuring that services are extended beyond the original project beneficiaries.  </t>
  </si>
  <si>
    <t>197 HH heads </t>
  </si>
  <si>
    <t>(44% female) </t>
  </si>
  <si>
    <r>
      <t>Activity 1.3:</t>
    </r>
    <r>
      <rPr>
        <sz val="9"/>
        <color rgb="FF1F2937"/>
        <rFont val="Arial"/>
        <charset val="1"/>
      </rPr>
      <t xml:space="preserve"> Distribute small ruminants for vulnerable households, including female-headed households, with technical follow-ups. </t>
    </r>
  </si>
  <si>
    <t>1.3 Number of vulnerable households who received small ruminant support as part of their livestock re-stocking exercises for improved health and nutritional outcome disaggregated by gender. </t>
  </si>
  <si>
    <t>62 HHs (at least 35% female-headed households) </t>
  </si>
  <si>
    <t>145 HH heads (86% female and 14% male)  </t>
  </si>
  <si>
    <t>The target was established conservatively considering the significant inflation risk and anticipated fluctuations in livestock prices. Favorable procurement conditions and efficient budget utilization enabled the project to reach additional vulnerable households while maintaining the planned support package. </t>
  </si>
  <si>
    <t>1.4 Number of women-led women groups, associations, and micro-enterprises receiving micro-grants to establish small businesses.  </t>
  </si>
  <si>
    <t>12 groups </t>
  </si>
  <si>
    <t>13 groups (192 women; 100% female)  </t>
  </si>
  <si>
    <t>Low-cost of small-scale businesses enabled the support of an additional women’s group in Tokar locality. This was achieved without any additional costs. </t>
  </si>
  <si>
    <r>
      <t>Activity 1.4:</t>
    </r>
    <r>
      <rPr>
        <sz val="9"/>
        <color rgb="FF1F2937"/>
        <rFont val="Arial"/>
        <charset val="1"/>
      </rPr>
      <t xml:space="preserve"> Provide micro-grants and village lending schemes to vulnerable groups, associations, and micro-enterprises (including IDPs and host community members) to initiate business activities with technical support. </t>
    </r>
  </si>
  <si>
    <r>
      <t>Activity 1.5:</t>
    </r>
    <r>
      <rPr>
        <sz val="9"/>
        <color rgb="FF1F2937"/>
        <rFont val="Arial"/>
        <charset val="1"/>
      </rPr>
      <t xml:space="preserve"> Provide emergency employment focusing on young men and women through the construction and rehabilitation of critical community infrastructure. </t>
    </r>
  </si>
  <si>
    <t>1.5 Number of temporary emergency jobs created (for women and men) </t>
  </si>
  <si>
    <t>392 HHs (at least 52% women) </t>
  </si>
  <si>
    <t>1,007 HH heads (8.5% female and 81.5% male) </t>
  </si>
  <si>
    <t>The project intentionally expanded beneficiary coverage in response to the high demand for emergency employment and the need to promote social cohesion among different ethnic groups, IDPs, returnees, and host communities. Efficient implementation also enabled the project to accommodate additional participants within the available budget. </t>
  </si>
  <si>
    <t>The types of work carried out mainly involved labor-intensive tasks, such as cleaning and rehabilitation activities, which were traditionally considered men’s work. Additionally, due to cultural norms in East Sudan, women are generally not permitted to work alongside men. However, IDPs were able to participate and benefit from these activities, allowing for some level of female inclusion despite these cultural constraints. </t>
  </si>
  <si>
    <r>
      <rPr>
        <sz val="10"/>
        <color rgb="FF1F2937"/>
        <rFont val="Arial"/>
      </rPr>
      <t>Output 2:</t>
    </r>
    <r>
      <rPr>
        <b/>
        <sz val="10"/>
        <color rgb="FF1F2937"/>
        <rFont val="Arial"/>
      </rPr>
      <t xml:space="preserve"> Access of conflict affected IDPs and host communities to critical infrastructure and services enhanced </t>
    </r>
  </si>
  <si>
    <r>
      <t>Activity 2.1:</t>
    </r>
    <r>
      <rPr>
        <sz val="9"/>
        <color rgb="FF1F2937"/>
        <rFont val="Arial"/>
        <charset val="1"/>
      </rPr>
      <t xml:space="preserve"> Establish and/or rehabilitate and solarize agricultural irrigation systems </t>
    </r>
  </si>
  <si>
    <t>2.1 Number of households benefiting from agricultural irrigation systems, rehabilitated/established, and solarized. Disaggregated by gender. </t>
  </si>
  <si>
    <r>
      <t xml:space="preserve">150 HHs </t>
    </r>
    <r>
      <rPr>
        <i/>
        <sz val="10"/>
        <color rgb="FF1F2937"/>
        <rFont val="Arial"/>
        <charset val="1"/>
      </rPr>
      <t>(at least 35% female-headed households)</t>
    </r>
    <r>
      <rPr>
        <sz val="10"/>
        <color rgb="FF1F2937"/>
        <rFont val="Arial"/>
        <charset val="1"/>
      </rPr>
      <t> </t>
    </r>
  </si>
  <si>
    <t>50 HHs (52% female and 48% male)  </t>
  </si>
  <si>
    <t>Demonstration plot supported 50 families (300 individuals). The demonstration plot will be used in a rotating basis with different households participating in different agricultural seasons. In the next season, a different set of 50 vulnerable families (300 individuals) will benefit from the farm to improve their livelihoods. Cumulatively, the farm will reach more than 150 HHs over time. </t>
  </si>
  <si>
    <t>2.2 Number of men and women benefiting from solar streetlights installed to provide protection at IDP gathering points </t>
  </si>
  <si>
    <t>2,700 individuals (at least 52% women) </t>
  </si>
  <si>
    <t>3,000 individuals (50% female) </t>
  </si>
  <si>
    <t>Strategic locations of 30 solar streetlights combined with increased residents resulted in higher beneficiaries. </t>
  </si>
  <si>
    <r>
      <t>Activity 2.2:</t>
    </r>
    <r>
      <rPr>
        <sz val="9"/>
        <color rgb="FF1F2937"/>
        <rFont val="Arial"/>
        <charset val="1"/>
      </rPr>
      <t xml:space="preserve"> Install solar streetlights and flood lights in IDP concentrations and major service hubs to enhance safety and security, especially for girls and women at night in consultation with communities </t>
    </r>
  </si>
  <si>
    <r>
      <rPr>
        <sz val="10"/>
        <color rgb="FF1F2937"/>
        <rFont val="Arial"/>
      </rPr>
      <t>Output 3:</t>
    </r>
    <r>
      <rPr>
        <b/>
        <sz val="10"/>
        <color rgb="FF1F2937"/>
        <rFont val="Arial"/>
      </rPr>
      <t xml:space="preserve"> Capacity of Local Institutions and Communities improved </t>
    </r>
  </si>
  <si>
    <t>3.1 Number of institutions provided with technical support </t>
  </si>
  <si>
    <t>6 institutions </t>
  </si>
  <si>
    <t>4 core offices with multiple branches </t>
  </si>
  <si>
    <t>Agricultural extension office and Locality Veterinary office have multiple branches that function as separate offices. </t>
  </si>
  <si>
    <r>
      <t>Activity 3.1:</t>
    </r>
    <r>
      <rPr>
        <sz val="9"/>
        <color rgb="FF1F2937"/>
        <rFont val="Arial"/>
        <charset val="1"/>
      </rPr>
      <t xml:space="preserve"> Provide technical and material support to Locality level Agricultural Extension and Veterinary officers and staff </t>
    </r>
  </si>
  <si>
    <t>3.2 Number of Government officials and staff benefiting from technical and material assistance. Segregated by male and female  </t>
  </si>
  <si>
    <t>60 individuals (at least 52% women) </t>
  </si>
  <si>
    <t>65 individuals (50 women) </t>
  </si>
  <si>
    <t>This is the estimated number of officers, specialists and interns who will benefit from office equipment provided by the Project. </t>
  </si>
  <si>
    <r>
      <t>Activity 3.2:</t>
    </r>
    <r>
      <rPr>
        <sz val="9"/>
        <color rgb="FF1F2937"/>
        <rFont val="Arial"/>
        <charset val="1"/>
      </rPr>
      <t xml:space="preserve"> Provide technical support to authorities and officers responsible for the functioning of irrigation schemes to expand production (including fuel, repair, and maintenance of critical agricultural equipment).  </t>
    </r>
  </si>
  <si>
    <t>3.3 Number of CMCs members trained with 50% women </t>
  </si>
  <si>
    <t>60 members (at least 50% women) </t>
  </si>
  <si>
    <t>66 members (42% women) </t>
  </si>
  <si>
    <t>Rigid gender norms in target localities required the creation of gender segregated CMCs in Hosheri and limited increased participation of women in CMCs. </t>
  </si>
  <si>
    <r>
      <t>Activity 3.3:</t>
    </r>
    <r>
      <rPr>
        <sz val="9"/>
        <color rgb="FF1F2937"/>
        <rFont val="Arial"/>
        <charset val="1"/>
      </rPr>
      <t xml:space="preserve"> Establish Community Management Committee (CMC) and train members to ensure the voices of various community members are considered in the decision-making process of the project.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</si>
</sst>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60">
    <font>
      <sz val="11"/>
      <color theme="1"/>
      <name val="Aptos Narrow"/>
      <family val="2"/>
      <scheme val="minor"/>
    </font>
    <font>
      <sz val="11"/>
      <color theme="1"/>
      <name val="Aptos Narrow"/>
      <family val="2"/>
      <scheme val="minor"/>
    </font>
    <font>
      <b/>
      <sz val="11"/>
      <color theme="1"/>
      <name val="Aptos Narrow"/>
      <family val="2"/>
      <scheme val="minor"/>
    </font>
    <font>
      <b/>
      <sz val="11"/>
      <color rgb="FF000000"/>
      <name val="Aptos Narrow"/>
      <family val="2"/>
      <scheme val="minor"/>
    </font>
    <font>
      <b/>
      <sz val="10"/>
      <color rgb="FF000000"/>
      <name val="Calibri"/>
      <family val="2"/>
    </font>
    <font>
      <b/>
      <sz val="10"/>
      <color theme="1"/>
      <name val="Calibri"/>
      <family val="2"/>
    </font>
    <font>
      <sz val="10"/>
      <color theme="1"/>
      <name val="Calibri"/>
      <family val="2"/>
    </font>
    <font>
      <i/>
      <sz val="10"/>
      <color theme="1"/>
      <name val="Calibri"/>
      <family val="2"/>
    </font>
    <font>
      <i/>
      <sz val="10"/>
      <color rgb="FFFF0000"/>
      <name val="Calibri"/>
      <family val="2"/>
    </font>
    <font>
      <b/>
      <sz val="12"/>
      <color theme="1"/>
      <name val="Aptos Narrow"/>
      <family val="2"/>
      <scheme val="minor"/>
    </font>
    <font>
      <sz val="11"/>
      <color rgb="FF000000"/>
      <name val="Aptos Narrow"/>
      <scheme val="minor"/>
    </font>
    <font>
      <b/>
      <sz val="11"/>
      <color rgb="FFFF0000"/>
      <name val="Aptos Narrow"/>
      <scheme val="minor"/>
    </font>
    <font>
      <sz val="11"/>
      <color theme="1"/>
      <name val="Aptos Narrow"/>
      <scheme val="minor"/>
    </font>
    <font>
      <b/>
      <sz val="11"/>
      <color rgb="FFFF0000"/>
      <name val="Aptos Narrow"/>
      <family val="2"/>
      <scheme val="minor"/>
    </font>
    <font>
      <b/>
      <sz val="11"/>
      <name val="Calibri"/>
      <family val="2"/>
    </font>
    <font>
      <b/>
      <sz val="11"/>
      <color rgb="FF000000"/>
      <name val="Aptos Narrow"/>
      <family val="2"/>
    </font>
    <font>
      <sz val="16"/>
      <color rgb="FF000000"/>
      <name val="Aptos Narrow"/>
      <family val="2"/>
    </font>
    <font>
      <sz val="12"/>
      <color rgb="FF000000"/>
      <name val="Aptos Narrow"/>
      <family val="2"/>
    </font>
    <font>
      <b/>
      <sz val="11"/>
      <color rgb="FF000000"/>
      <name val="Calibri"/>
      <family val="2"/>
    </font>
    <font>
      <sz val="11"/>
      <name val="Calibri"/>
      <family val="2"/>
    </font>
    <font>
      <sz val="11"/>
      <color rgb="FF000000"/>
      <name val="Calibri"/>
      <family val="2"/>
    </font>
    <font>
      <sz val="24"/>
      <color rgb="FFFF0000"/>
      <name val="Aptos Narrow"/>
      <family val="2"/>
      <scheme val="minor"/>
    </font>
    <font>
      <sz val="11"/>
      <color rgb="FF000000"/>
      <name val="Aptos Narrow"/>
      <family val="2"/>
    </font>
    <font>
      <sz val="11"/>
      <color rgb="FF000000"/>
      <name val="Aptos Narrow"/>
    </font>
    <font>
      <vertAlign val="superscript"/>
      <sz val="11"/>
      <color rgb="FF000000"/>
      <name val="Aptos Narrow"/>
    </font>
    <font>
      <sz val="12"/>
      <color theme="1"/>
      <name val="Aptos Narrow"/>
      <family val="2"/>
      <scheme val="minor"/>
    </font>
    <font>
      <sz val="12"/>
      <color rgb="FFFF0000"/>
      <name val="Aptos Narrow"/>
      <family val="2"/>
      <scheme val="minor"/>
    </font>
    <font>
      <b/>
      <sz val="10"/>
      <color rgb="FF000000"/>
      <name val="Calibri"/>
    </font>
    <font>
      <sz val="10"/>
      <color rgb="FF000000"/>
      <name val="Calibri"/>
    </font>
    <font>
      <sz val="11"/>
      <color rgb="FFFF0000"/>
      <name val="Aptos Narrow"/>
      <scheme val="minor"/>
    </font>
    <font>
      <b/>
      <sz val="11"/>
      <color rgb="FF000000"/>
      <name val="Aptos Narrow"/>
      <scheme val="minor"/>
    </font>
    <font>
      <b/>
      <sz val="11"/>
      <color rgb="FF0070C0"/>
      <name val="Calibri"/>
      <family val="2"/>
    </font>
    <font>
      <b/>
      <sz val="11"/>
      <color rgb="FF000000"/>
      <name val="Aptos"/>
      <family val="2"/>
    </font>
    <font>
      <b/>
      <vertAlign val="superscript"/>
      <sz val="11"/>
      <color rgb="FF000000"/>
      <name val="Aptos"/>
      <family val="2"/>
    </font>
    <font>
      <b/>
      <sz val="12"/>
      <color rgb="FF000000"/>
      <name val="Aptos"/>
      <family val="2"/>
    </font>
    <font>
      <sz val="10"/>
      <color rgb="FF000000"/>
      <name val="Calibri"/>
      <family val="2"/>
    </font>
    <font>
      <sz val="12"/>
      <color rgb="FF000000"/>
      <name val="Aptos"/>
      <family val="2"/>
    </font>
    <font>
      <b/>
      <sz val="12"/>
      <color rgb="FF000000"/>
      <name val="Calibri"/>
      <family val="2"/>
    </font>
    <font>
      <sz val="12"/>
      <color rgb="FF000000"/>
      <name val="Calibri"/>
      <family val="2"/>
    </font>
    <font>
      <b/>
      <sz val="12"/>
      <color rgb="FF000000"/>
      <name val="Aptos Narrow"/>
      <family val="2"/>
    </font>
    <font>
      <sz val="9"/>
      <color rgb="FF000000"/>
      <name val="Calibri"/>
      <family val="2"/>
    </font>
    <font>
      <b/>
      <sz val="9"/>
      <color rgb="FF000000"/>
      <name val="Calibri"/>
      <family val="2"/>
    </font>
    <font>
      <b/>
      <sz val="14"/>
      <color rgb="FF000000"/>
      <name val="Calibri"/>
      <family val="2"/>
    </font>
    <font>
      <sz val="10"/>
      <color rgb="FF000000"/>
      <name val="Aptos"/>
      <family val="2"/>
      <charset val="1"/>
    </font>
    <font>
      <sz val="10"/>
      <color theme="1"/>
      <name val="Aptos Narrow"/>
      <family val="2"/>
      <scheme val="minor"/>
    </font>
    <font>
      <sz val="11"/>
      <color rgb="FF000000"/>
      <name val="Aptos"/>
    </font>
    <font>
      <sz val="10"/>
      <color rgb="FF000000"/>
      <name val="Aptos"/>
      <family val="2"/>
    </font>
    <font>
      <sz val="10.5"/>
      <color rgb="FF000000"/>
      <name val="Segoe UI"/>
    </font>
    <font>
      <sz val="11"/>
      <color rgb="FF000000"/>
      <name val="Aptos Narrow"/>
      <charset val="1"/>
    </font>
    <font>
      <sz val="11"/>
      <color theme="1"/>
      <name val="Segoe UI"/>
      <charset val="1"/>
    </font>
    <font>
      <sz val="11"/>
      <color rgb="FFFF0000"/>
      <name val="Aptos Narrow"/>
      <family val="2"/>
      <scheme val="minor"/>
    </font>
    <font>
      <sz val="12"/>
      <color rgb="FF000000"/>
      <name val="Aptos"/>
      <family val="2"/>
      <charset val="1"/>
    </font>
    <font>
      <b/>
      <sz val="10"/>
      <color rgb="FFFFFFFF"/>
      <name val="Arial"/>
      <charset val="1"/>
    </font>
    <font>
      <b/>
      <sz val="9"/>
      <color rgb="FFFFFFFF"/>
      <name val="Arial"/>
      <charset val="1"/>
    </font>
    <font>
      <sz val="10"/>
      <color rgb="FF1F2937"/>
      <name val="Arial"/>
      <charset val="1"/>
    </font>
    <font>
      <sz val="9"/>
      <color rgb="FF1F2937"/>
      <name val="Arial"/>
      <charset val="1"/>
    </font>
    <font>
      <b/>
      <sz val="9"/>
      <color rgb="FF1F2937"/>
      <name val="Arial"/>
      <charset val="1"/>
    </font>
    <font>
      <i/>
      <sz val="10"/>
      <color rgb="FF1F2937"/>
      <name val="Arial"/>
      <charset val="1"/>
    </font>
    <font>
      <sz val="10"/>
      <color rgb="FF1F2937"/>
      <name val="Arial"/>
    </font>
    <font>
      <b/>
      <sz val="10"/>
      <color rgb="FF1F2937"/>
      <name val="Arial"/>
    </font>
  </fonts>
  <fills count="25">
    <fill>
      <patternFill patternType="none"/>
    </fill>
    <fill>
      <patternFill patternType="gray125"/>
    </fill>
    <fill>
      <patternFill patternType="solid">
        <fgColor rgb="FFFFFF99"/>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rgb="FFF2F2F2"/>
        <bgColor rgb="FF000000"/>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theme="0"/>
        <bgColor rgb="FF000000"/>
      </patternFill>
    </fill>
    <fill>
      <patternFill patternType="solid">
        <fgColor rgb="FFFFFFFF"/>
        <bgColor rgb="FF000000"/>
      </patternFill>
    </fill>
    <fill>
      <patternFill patternType="solid">
        <fgColor theme="5" tint="0.59999389629810485"/>
        <bgColor indexed="64"/>
      </patternFill>
    </fill>
    <fill>
      <patternFill patternType="solid">
        <fgColor rgb="FF60CAF3"/>
        <bgColor rgb="FF000000"/>
      </patternFill>
    </fill>
    <fill>
      <patternFill patternType="solid">
        <fgColor rgb="FFFFFF00"/>
        <bgColor rgb="FF000000"/>
      </patternFill>
    </fill>
    <fill>
      <patternFill patternType="solid">
        <fgColor rgb="FFFFC000"/>
        <bgColor rgb="FF000000"/>
      </patternFill>
    </fill>
    <fill>
      <patternFill patternType="solid">
        <fgColor rgb="FFFAE2D5"/>
        <bgColor rgb="FF000000"/>
      </patternFill>
    </fill>
    <fill>
      <patternFill patternType="solid">
        <fgColor rgb="FFF1A983"/>
        <bgColor rgb="FF000000"/>
      </patternFill>
    </fill>
    <fill>
      <patternFill patternType="solid">
        <fgColor rgb="FFDAE9F7"/>
        <bgColor rgb="FF000000"/>
      </patternFill>
    </fill>
    <fill>
      <patternFill patternType="solid">
        <fgColor theme="2" tint="-9.9978637043366805E-2"/>
        <bgColor indexed="64"/>
      </patternFill>
    </fill>
    <fill>
      <patternFill patternType="solid">
        <fgColor rgb="FF1F5AA6"/>
        <bgColor indexed="64"/>
      </patternFill>
    </fill>
    <fill>
      <patternFill patternType="solid">
        <fgColor rgb="FFFFFFFF"/>
        <bgColor indexed="64"/>
      </patternFill>
    </fill>
    <fill>
      <patternFill patternType="solid">
        <fgColor rgb="FFF4F8FC"/>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rgb="FF000000"/>
      </left>
      <right style="medium">
        <color rgb="FF000000"/>
      </right>
      <top style="medium">
        <color rgb="FF000000"/>
      </top>
      <bottom style="medium">
        <color rgb="FF000000"/>
      </bottom>
      <diagonal/>
    </border>
    <border>
      <left/>
      <right/>
      <top/>
      <bottom style="thin">
        <color indexed="64"/>
      </bottom>
      <diagonal/>
    </border>
    <border>
      <left style="medium">
        <color indexed="64"/>
      </left>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bottom/>
      <diagonal/>
    </border>
    <border>
      <left style="medium">
        <color indexed="64"/>
      </left>
      <right/>
      <top/>
      <bottom/>
      <diagonal/>
    </border>
    <border>
      <left/>
      <right style="medium">
        <color rgb="FF000000"/>
      </right>
      <top/>
      <bottom/>
      <diagonal/>
    </border>
    <border>
      <left style="medium">
        <color indexed="64"/>
      </left>
      <right/>
      <top/>
      <bottom style="medium">
        <color rgb="FF000000"/>
      </bottom>
      <diagonal/>
    </border>
    <border>
      <left/>
      <right/>
      <top/>
      <bottom style="medium">
        <color indexed="64"/>
      </bottom>
      <diagonal/>
    </border>
    <border>
      <left/>
      <right style="medium">
        <color rgb="FF000000"/>
      </right>
      <top/>
      <bottom style="medium">
        <color rgb="FF000000"/>
      </bottom>
      <diagonal/>
    </border>
    <border>
      <left style="medium">
        <color indexed="64"/>
      </left>
      <right style="medium">
        <color indexed="64"/>
      </right>
      <top/>
      <bottom style="medium">
        <color rgb="FF000000"/>
      </bottom>
      <diagonal/>
    </border>
    <border>
      <left style="medium">
        <color indexed="64"/>
      </left>
      <right style="medium">
        <color indexed="64"/>
      </right>
      <top/>
      <bottom style="medium">
        <color indexed="64"/>
      </bottom>
      <diagonal/>
    </border>
    <border>
      <left/>
      <right style="medium">
        <color rgb="FF000000"/>
      </right>
      <top/>
      <bottom style="medium">
        <color indexed="64"/>
      </bottom>
      <diagonal/>
    </border>
    <border>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bottom style="medium">
        <color rgb="FF000000"/>
      </bottom>
      <diagonal/>
    </border>
    <border>
      <left style="thin">
        <color rgb="FF000000"/>
      </left>
      <right style="thin">
        <color rgb="FFB7C9DA"/>
      </right>
      <top style="thin">
        <color rgb="FF000000"/>
      </top>
      <bottom style="thin">
        <color rgb="FFB7C9DA"/>
      </bottom>
      <diagonal/>
    </border>
    <border>
      <left style="thin">
        <color rgb="FFB7C9DA"/>
      </left>
      <right style="thin">
        <color rgb="FFB7C9DA"/>
      </right>
      <top style="thin">
        <color rgb="FF000000"/>
      </top>
      <bottom style="thin">
        <color rgb="FFB7C9DA"/>
      </bottom>
      <diagonal/>
    </border>
    <border>
      <left style="thin">
        <color rgb="FFB7C9DA"/>
      </left>
      <right style="thin">
        <color rgb="FF000000"/>
      </right>
      <top style="thin">
        <color rgb="FF000000"/>
      </top>
      <bottom style="thin">
        <color rgb="FFB7C9DA"/>
      </bottom>
      <diagonal/>
    </border>
    <border>
      <left style="thin">
        <color rgb="FF000000"/>
      </left>
      <right style="thin">
        <color rgb="FFB7C9DA"/>
      </right>
      <top style="thin">
        <color rgb="FFB7C9DA"/>
      </top>
      <bottom/>
      <diagonal/>
    </border>
    <border>
      <left style="thin">
        <color rgb="FF000000"/>
      </left>
      <right style="thin">
        <color rgb="FFB7C9DA"/>
      </right>
      <top/>
      <bottom/>
      <diagonal/>
    </border>
    <border>
      <left style="thin">
        <color rgb="FF000000"/>
      </left>
      <right style="thin">
        <color rgb="FFB7C9DA"/>
      </right>
      <top/>
      <bottom style="thin">
        <color rgb="FFB7C9DA"/>
      </bottom>
      <diagonal/>
    </border>
    <border>
      <left style="thin">
        <color rgb="FFB7C9DA"/>
      </left>
      <right style="thin">
        <color rgb="FFB7C9DA"/>
      </right>
      <top style="thin">
        <color rgb="FFB7C9DA"/>
      </top>
      <bottom/>
      <diagonal/>
    </border>
    <border>
      <left style="thin">
        <color rgb="FFB7C9DA"/>
      </left>
      <right style="thin">
        <color rgb="FF000000"/>
      </right>
      <top style="thin">
        <color rgb="FFB7C9DA"/>
      </top>
      <bottom/>
      <diagonal/>
    </border>
    <border>
      <left style="thin">
        <color rgb="FFB7C9DA"/>
      </left>
      <right style="thin">
        <color rgb="FFB7C9DA"/>
      </right>
      <top/>
      <bottom style="thin">
        <color rgb="FFB7C9DA"/>
      </bottom>
      <diagonal/>
    </border>
    <border>
      <left style="thin">
        <color rgb="FFB7C9DA"/>
      </left>
      <right style="thin">
        <color rgb="FF000000"/>
      </right>
      <top/>
      <bottom style="thin">
        <color rgb="FFB7C9DA"/>
      </bottom>
      <diagonal/>
    </border>
    <border>
      <left style="thin">
        <color rgb="FFB7C9DA"/>
      </left>
      <right style="thin">
        <color rgb="FFB7C9DA"/>
      </right>
      <top/>
      <bottom/>
      <diagonal/>
    </border>
    <border>
      <left style="thin">
        <color rgb="FFB7C9DA"/>
      </left>
      <right style="thin">
        <color rgb="FF000000"/>
      </right>
      <top/>
      <bottom/>
      <diagonal/>
    </border>
    <border>
      <left style="thin">
        <color rgb="FFB7C9DA"/>
      </left>
      <right style="thin">
        <color rgb="FFB7C9DA"/>
      </right>
      <top style="thin">
        <color rgb="FFB7C9DA"/>
      </top>
      <bottom style="thin">
        <color rgb="FFB7C9DA"/>
      </bottom>
      <diagonal/>
    </border>
    <border>
      <left style="thin">
        <color rgb="FFB7C9DA"/>
      </left>
      <right style="thin">
        <color rgb="FF000000"/>
      </right>
      <top style="thin">
        <color rgb="FFB7C9DA"/>
      </top>
      <bottom style="thin">
        <color rgb="FFB7C9DA"/>
      </bottom>
      <diagonal/>
    </border>
    <border>
      <left style="thin">
        <color rgb="FF000000"/>
      </left>
      <right style="thin">
        <color rgb="FFB7C9DA"/>
      </right>
      <top/>
      <bottom style="thin">
        <color rgb="FF000000"/>
      </bottom>
      <diagonal/>
    </border>
    <border>
      <left style="thin">
        <color rgb="FFB7C9DA"/>
      </left>
      <right style="thin">
        <color rgb="FFB7C9DA"/>
      </right>
      <top/>
      <bottom style="thin">
        <color rgb="FF000000"/>
      </bottom>
      <diagonal/>
    </border>
    <border>
      <left style="thin">
        <color rgb="FFB7C9DA"/>
      </left>
      <right style="thin">
        <color rgb="FF000000"/>
      </right>
      <top/>
      <bottom style="thin">
        <color rgb="FF000000"/>
      </bottom>
      <diagonal/>
    </border>
  </borders>
  <cellStyleXfs count="2">
    <xf numFmtId="0" fontId="0" fillId="0" borderId="0"/>
    <xf numFmtId="44" fontId="1" fillId="0" borderId="0" applyFont="0" applyFill="0" applyBorder="0" applyAlignment="0" applyProtection="0"/>
  </cellStyleXfs>
  <cellXfs count="372">
    <xf numFmtId="0" fontId="0" fillId="0" borderId="0" xfId="0"/>
    <xf numFmtId="0" fontId="3" fillId="0" borderId="0" xfId="0" applyFont="1"/>
    <xf numFmtId="44" fontId="0" fillId="0" borderId="0" xfId="1" applyFont="1"/>
    <xf numFmtId="15" fontId="0" fillId="0" borderId="0" xfId="0" applyNumberFormat="1"/>
    <xf numFmtId="0" fontId="4" fillId="3" borderId="1" xfId="0" applyFont="1" applyFill="1" applyBorder="1" applyAlignment="1">
      <alignment horizontal="center" vertical="center" wrapText="1"/>
    </xf>
    <xf numFmtId="0" fontId="2" fillId="0" borderId="0" xfId="0" applyFont="1"/>
    <xf numFmtId="0" fontId="0" fillId="4" borderId="1" xfId="0" applyFill="1" applyBorder="1" applyAlignment="1">
      <alignment wrapText="1"/>
    </xf>
    <xf numFmtId="0" fontId="0" fillId="5" borderId="1" xfId="0" applyFill="1" applyBorder="1" applyAlignment="1">
      <alignment wrapText="1"/>
    </xf>
    <xf numFmtId="0" fontId="0" fillId="6" borderId="1" xfId="0" applyFill="1" applyBorder="1" applyAlignment="1">
      <alignment wrapText="1"/>
    </xf>
    <xf numFmtId="0" fontId="2" fillId="3" borderId="1" xfId="0" applyFont="1" applyFill="1" applyBorder="1"/>
    <xf numFmtId="0" fontId="6" fillId="0" borderId="1" xfId="0" applyFont="1" applyBorder="1" applyAlignment="1">
      <alignment vertical="center" wrapText="1"/>
    </xf>
    <xf numFmtId="0" fontId="7" fillId="0" borderId="1" xfId="0" applyFont="1" applyBorder="1" applyAlignment="1">
      <alignment horizontal="left" vertical="center" wrapText="1"/>
    </xf>
    <xf numFmtId="0" fontId="6" fillId="0" borderId="1" xfId="0" applyFont="1" applyBorder="1" applyAlignment="1">
      <alignment horizontal="left" vertical="center" wrapText="1"/>
    </xf>
    <xf numFmtId="0" fontId="0" fillId="0" borderId="1" xfId="0" applyBorder="1" applyAlignment="1">
      <alignment wrapText="1"/>
    </xf>
    <xf numFmtId="0" fontId="0" fillId="0" borderId="1" xfId="0" applyBorder="1"/>
    <xf numFmtId="0" fontId="2" fillId="0" borderId="0" xfId="0" applyFont="1" applyAlignment="1">
      <alignment wrapText="1"/>
    </xf>
    <xf numFmtId="0" fontId="9" fillId="0" borderId="0" xfId="0" applyFont="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6" borderId="1" xfId="0" applyFont="1" applyFill="1" applyBorder="1" applyAlignment="1">
      <alignment wrapText="1"/>
    </xf>
    <xf numFmtId="0" fontId="2" fillId="0" borderId="1" xfId="0" applyFont="1" applyBorder="1" applyAlignment="1">
      <alignment wrapText="1"/>
    </xf>
    <xf numFmtId="0" fontId="0" fillId="0" borderId="0" xfId="0" applyAlignment="1">
      <alignment wrapText="1"/>
    </xf>
    <xf numFmtId="0" fontId="12" fillId="0" borderId="0" xfId="0" applyFont="1" applyAlignment="1">
      <alignment wrapText="1"/>
    </xf>
    <xf numFmtId="0" fontId="13" fillId="0" borderId="0" xfId="0" applyFont="1"/>
    <xf numFmtId="0" fontId="2" fillId="0" borderId="0" xfId="0" applyFont="1" applyAlignment="1">
      <alignment horizontal="center" vertical="center"/>
    </xf>
    <xf numFmtId="0" fontId="14" fillId="7" borderId="2" xfId="0" applyFont="1" applyFill="1" applyBorder="1" applyAlignment="1">
      <alignment horizontal="center" vertical="center" wrapText="1"/>
    </xf>
    <xf numFmtId="0" fontId="15" fillId="8" borderId="6" xfId="0" applyFont="1" applyFill="1" applyBorder="1" applyAlignment="1">
      <alignment horizontal="center" vertical="center" wrapText="1"/>
    </xf>
    <xf numFmtId="0" fontId="15" fillId="8" borderId="6" xfId="0" applyFont="1" applyFill="1" applyBorder="1" applyAlignment="1">
      <alignment horizontal="center" vertical="center"/>
    </xf>
    <xf numFmtId="0" fontId="15" fillId="8" borderId="7" xfId="0" applyFont="1" applyFill="1" applyBorder="1" applyAlignment="1">
      <alignment horizontal="center" vertical="center"/>
    </xf>
    <xf numFmtId="10" fontId="17" fillId="9" borderId="1" xfId="0" applyNumberFormat="1" applyFont="1" applyFill="1" applyBorder="1" applyAlignment="1">
      <alignment vertical="center"/>
    </xf>
    <xf numFmtId="10" fontId="17" fillId="10" borderId="1" xfId="0" applyNumberFormat="1" applyFont="1" applyFill="1" applyBorder="1" applyAlignment="1">
      <alignment horizontal="center" vertical="center"/>
    </xf>
    <xf numFmtId="10" fontId="17" fillId="9" borderId="1" xfId="0" applyNumberFormat="1" applyFont="1" applyFill="1" applyBorder="1" applyAlignment="1">
      <alignment horizontal="center" vertical="center"/>
    </xf>
    <xf numFmtId="0" fontId="16" fillId="9" borderId="1" xfId="0" applyFont="1" applyFill="1" applyBorder="1" applyAlignment="1">
      <alignment horizontal="left" vertical="center"/>
    </xf>
    <xf numFmtId="0" fontId="2" fillId="0" borderId="1" xfId="0" applyFont="1" applyBorder="1" applyAlignment="1">
      <alignment horizontal="center" vertical="center"/>
    </xf>
    <xf numFmtId="0" fontId="2" fillId="9" borderId="1" xfId="0" applyFont="1" applyFill="1" applyBorder="1" applyAlignment="1">
      <alignment horizontal="center" vertical="center"/>
    </xf>
    <xf numFmtId="0" fontId="0" fillId="9" borderId="0" xfId="0" applyFill="1" applyAlignment="1">
      <alignment vertical="center"/>
    </xf>
    <xf numFmtId="0" fontId="18" fillId="11" borderId="11"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19" fillId="9" borderId="2" xfId="0" applyFont="1" applyFill="1" applyBorder="1" applyAlignment="1">
      <alignment vertical="center" wrapText="1"/>
    </xf>
    <xf numFmtId="8" fontId="20" fillId="9" borderId="10" xfId="0" applyNumberFormat="1" applyFont="1" applyFill="1" applyBorder="1" applyAlignment="1">
      <alignment horizontal="right" vertical="center"/>
    </xf>
    <xf numFmtId="0" fontId="0" fillId="10" borderId="1" xfId="0" applyFill="1" applyBorder="1" applyAlignment="1">
      <alignment vertical="center" wrapText="1"/>
    </xf>
    <xf numFmtId="0" fontId="0" fillId="10" borderId="1" xfId="0" applyFill="1" applyBorder="1" applyAlignment="1">
      <alignment vertical="center"/>
    </xf>
    <xf numFmtId="0" fontId="0" fillId="9" borderId="1" xfId="0" applyFill="1" applyBorder="1" applyAlignment="1">
      <alignment vertical="center" wrapText="1"/>
    </xf>
    <xf numFmtId="0" fontId="22" fillId="13" borderId="11" xfId="0" applyFont="1" applyFill="1" applyBorder="1"/>
    <xf numFmtId="8" fontId="0" fillId="9" borderId="0" xfId="0" applyNumberFormat="1" applyFill="1" applyAlignment="1">
      <alignment vertical="center"/>
    </xf>
    <xf numFmtId="0" fontId="22" fillId="3" borderId="2" xfId="0" applyFont="1" applyFill="1" applyBorder="1" applyAlignment="1">
      <alignment horizontal="center" vertical="center" wrapText="1"/>
    </xf>
    <xf numFmtId="17" fontId="22" fillId="3" borderId="2" xfId="0" applyNumberFormat="1" applyFont="1" applyFill="1" applyBorder="1" applyAlignment="1">
      <alignment vertical="center"/>
    </xf>
    <xf numFmtId="0" fontId="22" fillId="3" borderId="2" xfId="0" applyFont="1" applyFill="1" applyBorder="1" applyAlignment="1">
      <alignment vertical="center"/>
    </xf>
    <xf numFmtId="0" fontId="22" fillId="3" borderId="10" xfId="0" applyFont="1" applyFill="1" applyBorder="1" applyAlignment="1">
      <alignment horizontal="left" vertical="center"/>
    </xf>
    <xf numFmtId="0" fontId="22" fillId="3" borderId="2" xfId="0" applyFont="1" applyFill="1" applyBorder="1" applyAlignment="1">
      <alignment vertical="center" wrapText="1"/>
    </xf>
    <xf numFmtId="0" fontId="23" fillId="3" borderId="10" xfId="0" applyFont="1" applyFill="1" applyBorder="1" applyAlignment="1">
      <alignment horizontal="left" vertical="center" wrapText="1"/>
    </xf>
    <xf numFmtId="0" fontId="0" fillId="10" borderId="3" xfId="0" applyFill="1" applyBorder="1" applyAlignment="1">
      <alignment vertical="center"/>
    </xf>
    <xf numFmtId="10" fontId="17" fillId="9" borderId="6" xfId="0" applyNumberFormat="1" applyFont="1" applyFill="1" applyBorder="1" applyAlignment="1">
      <alignment vertical="center"/>
    </xf>
    <xf numFmtId="9" fontId="21" fillId="10" borderId="14" xfId="0" applyNumberFormat="1" applyFont="1" applyFill="1" applyBorder="1" applyAlignment="1">
      <alignment vertical="center"/>
    </xf>
    <xf numFmtId="10" fontId="17" fillId="9" borderId="6" xfId="0" applyNumberFormat="1" applyFont="1" applyFill="1" applyBorder="1" applyAlignment="1">
      <alignment horizontal="center" vertical="center"/>
    </xf>
    <xf numFmtId="9" fontId="25" fillId="9" borderId="13" xfId="0" applyNumberFormat="1" applyFont="1" applyFill="1" applyBorder="1" applyAlignment="1">
      <alignment vertical="center"/>
    </xf>
    <xf numFmtId="9" fontId="25" fillId="10" borderId="14" xfId="0" applyNumberFormat="1" applyFont="1" applyFill="1" applyBorder="1" applyAlignment="1">
      <alignment vertical="center"/>
    </xf>
    <xf numFmtId="9" fontId="26" fillId="9" borderId="13" xfId="0" applyNumberFormat="1" applyFont="1" applyFill="1" applyBorder="1" applyAlignment="1">
      <alignment vertical="center"/>
    </xf>
    <xf numFmtId="0" fontId="17" fillId="12" borderId="12" xfId="0" applyFont="1" applyFill="1" applyBorder="1" applyAlignment="1">
      <alignment horizontal="right" vertical="center"/>
    </xf>
    <xf numFmtId="0" fontId="22" fillId="0" borderId="1" xfId="0" applyFont="1" applyBorder="1" applyAlignment="1">
      <alignment wrapText="1"/>
    </xf>
    <xf numFmtId="0" fontId="22" fillId="0" borderId="11" xfId="0" applyFont="1" applyBorder="1" applyAlignment="1">
      <alignment wrapText="1"/>
    </xf>
    <xf numFmtId="0" fontId="0" fillId="0" borderId="2" xfId="0" applyBorder="1"/>
    <xf numFmtId="0" fontId="2" fillId="3" borderId="3" xfId="0" applyFont="1" applyFill="1" applyBorder="1"/>
    <xf numFmtId="0" fontId="0" fillId="0" borderId="3" xfId="0" applyBorder="1"/>
    <xf numFmtId="0" fontId="0" fillId="14" borderId="0" xfId="0" applyFill="1" applyAlignment="1">
      <alignment wrapText="1"/>
    </xf>
    <xf numFmtId="0" fontId="6" fillId="10" borderId="1" xfId="0" applyFont="1" applyFill="1" applyBorder="1" applyAlignment="1">
      <alignment horizontal="left" vertical="center" wrapText="1"/>
    </xf>
    <xf numFmtId="0" fontId="11" fillId="0" borderId="0" xfId="0" applyFont="1" applyAlignment="1">
      <alignment wrapText="1"/>
    </xf>
    <xf numFmtId="0" fontId="10" fillId="0" borderId="0" xfId="0" applyFont="1" applyAlignment="1">
      <alignment wrapText="1"/>
    </xf>
    <xf numFmtId="0" fontId="0" fillId="10" borderId="0" xfId="0" applyFill="1"/>
    <xf numFmtId="0" fontId="0" fillId="10" borderId="0" xfId="0" applyFill="1" applyAlignment="1">
      <alignment wrapText="1"/>
    </xf>
    <xf numFmtId="0" fontId="13" fillId="10" borderId="0" xfId="0" applyFont="1" applyFill="1"/>
    <xf numFmtId="0" fontId="0" fillId="10" borderId="2" xfId="0" applyFill="1" applyBorder="1"/>
    <xf numFmtId="0" fontId="7" fillId="10" borderId="1" xfId="0" applyFont="1" applyFill="1" applyBorder="1" applyAlignment="1">
      <alignment horizontal="left" vertical="center" wrapText="1"/>
    </xf>
    <xf numFmtId="0" fontId="0" fillId="10" borderId="1" xfId="0" applyFill="1" applyBorder="1" applyAlignment="1">
      <alignment wrapText="1"/>
    </xf>
    <xf numFmtId="0" fontId="32" fillId="15" borderId="17" xfId="0" applyFont="1" applyFill="1" applyBorder="1" applyAlignment="1">
      <alignment wrapText="1"/>
    </xf>
    <xf numFmtId="0" fontId="32" fillId="15" borderId="20" xfId="0" applyFont="1" applyFill="1" applyBorder="1" applyAlignment="1">
      <alignment wrapText="1"/>
    </xf>
    <xf numFmtId="0" fontId="32" fillId="15" borderId="21" xfId="0" applyFont="1" applyFill="1" applyBorder="1" applyAlignment="1">
      <alignment wrapText="1"/>
    </xf>
    <xf numFmtId="0" fontId="32" fillId="15" borderId="0" xfId="0" applyFont="1" applyFill="1" applyAlignment="1">
      <alignment wrapText="1"/>
    </xf>
    <xf numFmtId="0" fontId="32" fillId="15" borderId="22" xfId="0" applyFont="1" applyFill="1" applyBorder="1" applyAlignment="1">
      <alignment wrapText="1"/>
    </xf>
    <xf numFmtId="0" fontId="22" fillId="0" borderId="0" xfId="0" applyFont="1"/>
    <xf numFmtId="0" fontId="22" fillId="15" borderId="22" xfId="0" applyFont="1" applyFill="1" applyBorder="1" applyAlignment="1">
      <alignment wrapText="1"/>
    </xf>
    <xf numFmtId="0" fontId="22" fillId="15" borderId="0" xfId="0" applyFont="1" applyFill="1" applyAlignment="1">
      <alignment wrapText="1"/>
    </xf>
    <xf numFmtId="0" fontId="34" fillId="0" borderId="19" xfId="0" applyFont="1" applyBorder="1" applyAlignment="1">
      <alignment wrapText="1"/>
    </xf>
    <xf numFmtId="0" fontId="22" fillId="0" borderId="19" xfId="0" applyFont="1" applyBorder="1" applyAlignment="1">
      <alignment wrapText="1"/>
    </xf>
    <xf numFmtId="0" fontId="22" fillId="0" borderId="29" xfId="0" applyFont="1" applyBorder="1" applyAlignment="1">
      <alignment wrapText="1"/>
    </xf>
    <xf numFmtId="0" fontId="36" fillId="0" borderId="29" xfId="0" applyFont="1" applyBorder="1" applyAlignment="1">
      <alignment wrapText="1"/>
    </xf>
    <xf numFmtId="0" fontId="35" fillId="0" borderId="32" xfId="0" applyFont="1" applyBorder="1" applyAlignment="1">
      <alignment wrapText="1"/>
    </xf>
    <xf numFmtId="0" fontId="35" fillId="0" borderId="33" xfId="0" applyFont="1" applyBorder="1" applyAlignment="1">
      <alignment wrapText="1"/>
    </xf>
    <xf numFmtId="0" fontId="35" fillId="0" borderId="26" xfId="0" applyFont="1" applyBorder="1" applyAlignment="1">
      <alignment wrapText="1"/>
    </xf>
    <xf numFmtId="0" fontId="36" fillId="0" borderId="26" xfId="0" applyFont="1" applyBorder="1" applyAlignment="1">
      <alignment wrapText="1"/>
    </xf>
    <xf numFmtId="0" fontId="22" fillId="0" borderId="26" xfId="0" applyFont="1" applyBorder="1" applyAlignment="1">
      <alignment wrapText="1"/>
    </xf>
    <xf numFmtId="0" fontId="22" fillId="0" borderId="32" xfId="0" applyFont="1" applyBorder="1" applyAlignment="1">
      <alignment wrapText="1"/>
    </xf>
    <xf numFmtId="0" fontId="22" fillId="0" borderId="33" xfId="0" applyFont="1" applyBorder="1" applyAlignment="1">
      <alignment wrapText="1"/>
    </xf>
    <xf numFmtId="0" fontId="37" fillId="18" borderId="32" xfId="0" applyFont="1" applyFill="1" applyBorder="1" applyAlignment="1">
      <alignment wrapText="1"/>
    </xf>
    <xf numFmtId="3" fontId="37" fillId="18" borderId="32" xfId="0" applyNumberFormat="1" applyFont="1" applyFill="1" applyBorder="1" applyAlignment="1">
      <alignment wrapText="1"/>
    </xf>
    <xf numFmtId="0" fontId="38" fillId="18" borderId="33" xfId="0" applyFont="1" applyFill="1" applyBorder="1" applyAlignment="1">
      <alignment wrapText="1"/>
    </xf>
    <xf numFmtId="3" fontId="18" fillId="18" borderId="26" xfId="0" applyNumberFormat="1" applyFont="1" applyFill="1" applyBorder="1" applyAlignment="1">
      <alignment wrapText="1"/>
    </xf>
    <xf numFmtId="4" fontId="34" fillId="18" borderId="26" xfId="0" applyNumberFormat="1" applyFont="1" applyFill="1" applyBorder="1" applyAlignment="1">
      <alignment wrapText="1"/>
    </xf>
    <xf numFmtId="4" fontId="34" fillId="18" borderId="32" xfId="0" applyNumberFormat="1" applyFont="1" applyFill="1" applyBorder="1" applyAlignment="1">
      <alignment wrapText="1"/>
    </xf>
    <xf numFmtId="0" fontId="34" fillId="18" borderId="33" xfId="0" applyFont="1" applyFill="1" applyBorder="1" applyAlignment="1">
      <alignment wrapText="1"/>
    </xf>
    <xf numFmtId="0" fontId="36" fillId="0" borderId="19" xfId="0" applyFont="1" applyBorder="1" applyAlignment="1">
      <alignment wrapText="1"/>
    </xf>
    <xf numFmtId="3" fontId="35" fillId="0" borderId="32" xfId="0" applyNumberFormat="1" applyFont="1" applyBorder="1" applyAlignment="1">
      <alignment wrapText="1"/>
    </xf>
    <xf numFmtId="3" fontId="35" fillId="0" borderId="33" xfId="0" applyNumberFormat="1" applyFont="1" applyBorder="1" applyAlignment="1">
      <alignment wrapText="1"/>
    </xf>
    <xf numFmtId="0" fontId="20" fillId="0" borderId="26" xfId="0" applyFont="1" applyBorder="1" applyAlignment="1">
      <alignment wrapText="1"/>
    </xf>
    <xf numFmtId="4" fontId="20" fillId="0" borderId="26" xfId="0" applyNumberFormat="1" applyFont="1" applyBorder="1" applyAlignment="1">
      <alignment wrapText="1"/>
    </xf>
    <xf numFmtId="3" fontId="20" fillId="0" borderId="32" xfId="0" applyNumberFormat="1" applyFont="1" applyBorder="1" applyAlignment="1">
      <alignment wrapText="1"/>
    </xf>
    <xf numFmtId="9" fontId="20" fillId="0" borderId="33" xfId="0" applyNumberFormat="1" applyFont="1" applyBorder="1" applyAlignment="1">
      <alignment wrapText="1"/>
    </xf>
    <xf numFmtId="0" fontId="37" fillId="18" borderId="33" xfId="0" applyFont="1" applyFill="1" applyBorder="1" applyAlignment="1">
      <alignment wrapText="1"/>
    </xf>
    <xf numFmtId="0" fontId="37" fillId="18" borderId="26" xfId="0" applyFont="1" applyFill="1" applyBorder="1" applyAlignment="1">
      <alignment wrapText="1"/>
    </xf>
    <xf numFmtId="3" fontId="37" fillId="18" borderId="26" xfId="0" applyNumberFormat="1" applyFont="1" applyFill="1" applyBorder="1" applyAlignment="1">
      <alignment wrapText="1"/>
    </xf>
    <xf numFmtId="0" fontId="20" fillId="18" borderId="32" xfId="0" applyFont="1" applyFill="1" applyBorder="1" applyAlignment="1">
      <alignment wrapText="1"/>
    </xf>
    <xf numFmtId="0" fontId="20" fillId="18" borderId="33" xfId="0" applyFont="1" applyFill="1" applyBorder="1" applyAlignment="1">
      <alignment wrapText="1"/>
    </xf>
    <xf numFmtId="0" fontId="39" fillId="18" borderId="26" xfId="0" applyFont="1" applyFill="1" applyBorder="1" applyAlignment="1">
      <alignment wrapText="1"/>
    </xf>
    <xf numFmtId="0" fontId="39" fillId="18" borderId="32" xfId="0" applyFont="1" applyFill="1" applyBorder="1" applyAlignment="1">
      <alignment wrapText="1"/>
    </xf>
    <xf numFmtId="0" fontId="39" fillId="18" borderId="33" xfId="0" applyFont="1" applyFill="1" applyBorder="1" applyAlignment="1">
      <alignment wrapText="1"/>
    </xf>
    <xf numFmtId="3" fontId="35" fillId="0" borderId="26" xfId="0" applyNumberFormat="1" applyFont="1" applyBorder="1" applyAlignment="1">
      <alignment wrapText="1"/>
    </xf>
    <xf numFmtId="9" fontId="35" fillId="0" borderId="33" xfId="0" applyNumberFormat="1" applyFont="1" applyBorder="1" applyAlignment="1">
      <alignment wrapText="1"/>
    </xf>
    <xf numFmtId="3" fontId="34" fillId="18" borderId="26" xfId="0" applyNumberFormat="1" applyFont="1" applyFill="1" applyBorder="1" applyAlignment="1">
      <alignment wrapText="1"/>
    </xf>
    <xf numFmtId="3" fontId="15" fillId="19" borderId="32" xfId="0" applyNumberFormat="1" applyFont="1" applyFill="1" applyBorder="1" applyAlignment="1">
      <alignment wrapText="1"/>
    </xf>
    <xf numFmtId="0" fontId="36" fillId="19" borderId="33" xfId="0" applyFont="1" applyFill="1" applyBorder="1" applyAlignment="1">
      <alignment wrapText="1"/>
    </xf>
    <xf numFmtId="3" fontId="34" fillId="19" borderId="29" xfId="0" applyNumberFormat="1" applyFont="1" applyFill="1" applyBorder="1" applyAlignment="1">
      <alignment wrapText="1"/>
    </xf>
    <xf numFmtId="0" fontId="34" fillId="19" borderId="33" xfId="0" applyFont="1" applyFill="1" applyBorder="1" applyAlignment="1">
      <alignment wrapText="1"/>
    </xf>
    <xf numFmtId="0" fontId="5" fillId="0" borderId="1" xfId="0" applyFont="1" applyBorder="1" applyAlignment="1">
      <alignment vertical="center" wrapText="1"/>
    </xf>
    <xf numFmtId="0" fontId="43" fillId="5" borderId="2" xfId="0" applyFont="1" applyFill="1" applyBorder="1" applyAlignment="1">
      <alignment horizontal="center" vertical="center"/>
    </xf>
    <xf numFmtId="0" fontId="44" fillId="0" borderId="0" xfId="0" applyFont="1"/>
    <xf numFmtId="0" fontId="45" fillId="20" borderId="2" xfId="0" applyFont="1" applyFill="1" applyBorder="1" applyAlignment="1">
      <alignment wrapText="1" readingOrder="1"/>
    </xf>
    <xf numFmtId="0" fontId="46" fillId="20" borderId="2" xfId="0" applyFont="1" applyFill="1" applyBorder="1" applyAlignment="1">
      <alignment wrapText="1" readingOrder="1"/>
    </xf>
    <xf numFmtId="0" fontId="48" fillId="0" borderId="0" xfId="0" applyFont="1"/>
    <xf numFmtId="9" fontId="0" fillId="0" borderId="0" xfId="0" applyNumberFormat="1"/>
    <xf numFmtId="0" fontId="49" fillId="0" borderId="0" xfId="0" applyFont="1"/>
    <xf numFmtId="0" fontId="47" fillId="0" borderId="0" xfId="0" applyFont="1"/>
    <xf numFmtId="14" fontId="0" fillId="0" borderId="0" xfId="0" applyNumberFormat="1"/>
    <xf numFmtId="0" fontId="23" fillId="17" borderId="1" xfId="0" applyFont="1" applyFill="1" applyBorder="1"/>
    <xf numFmtId="0" fontId="23" fillId="0" borderId="1" xfId="0" applyFont="1" applyBorder="1"/>
    <xf numFmtId="0" fontId="31" fillId="0" borderId="1" xfId="0" applyFont="1" applyBorder="1" applyAlignment="1">
      <alignment wrapText="1"/>
    </xf>
    <xf numFmtId="0" fontId="2" fillId="21" borderId="2" xfId="0" applyFont="1" applyFill="1" applyBorder="1"/>
    <xf numFmtId="0" fontId="13" fillId="0" borderId="1" xfId="0" applyFont="1" applyBorder="1" applyAlignment="1">
      <alignment wrapText="1"/>
    </xf>
    <xf numFmtId="0" fontId="10" fillId="0" borderId="1" xfId="0" applyFont="1" applyBorder="1" applyAlignment="1">
      <alignment wrapText="1"/>
    </xf>
    <xf numFmtId="0" fontId="50" fillId="0" borderId="1" xfId="0" applyFont="1" applyBorder="1" applyAlignment="1">
      <alignment wrapText="1"/>
    </xf>
    <xf numFmtId="0" fontId="51" fillId="0" borderId="0" xfId="0" applyFont="1"/>
    <xf numFmtId="0" fontId="52" fillId="22" borderId="37" xfId="0" applyFont="1" applyFill="1" applyBorder="1" applyAlignment="1">
      <alignment readingOrder="1"/>
    </xf>
    <xf numFmtId="0" fontId="54" fillId="23" borderId="42" xfId="0" applyFont="1" applyFill="1" applyBorder="1" applyAlignment="1">
      <alignment readingOrder="1"/>
    </xf>
    <xf numFmtId="0" fontId="54" fillId="24" borderId="42" xfId="0" applyFont="1" applyFill="1" applyBorder="1" applyAlignment="1">
      <alignment readingOrder="1"/>
    </xf>
    <xf numFmtId="0" fontId="54" fillId="23" borderId="48" xfId="0" applyFont="1" applyFill="1" applyBorder="1" applyAlignment="1">
      <alignment readingOrder="1"/>
    </xf>
    <xf numFmtId="0" fontId="52" fillId="22" borderId="36" xfId="0" applyFont="1" applyFill="1" applyBorder="1" applyAlignment="1">
      <alignment wrapText="1" readingOrder="1"/>
    </xf>
    <xf numFmtId="0" fontId="53" fillId="22" borderId="37" xfId="0" applyFont="1" applyFill="1" applyBorder="1" applyAlignment="1">
      <alignment wrapText="1" readingOrder="1"/>
    </xf>
    <xf numFmtId="0" fontId="52" fillId="22" borderId="37" xfId="0" applyFont="1" applyFill="1" applyBorder="1" applyAlignment="1">
      <alignment wrapText="1" readingOrder="1"/>
    </xf>
    <xf numFmtId="0" fontId="52" fillId="22" borderId="38" xfId="0" applyFont="1" applyFill="1" applyBorder="1" applyAlignment="1">
      <alignment wrapText="1" readingOrder="1"/>
    </xf>
    <xf numFmtId="0" fontId="56" fillId="23" borderId="42" xfId="0" applyFont="1" applyFill="1" applyBorder="1" applyAlignment="1">
      <alignment wrapText="1" readingOrder="1"/>
    </xf>
    <xf numFmtId="0" fontId="54" fillId="23" borderId="42" xfId="0" applyFont="1" applyFill="1" applyBorder="1" applyAlignment="1">
      <alignment wrapText="1" readingOrder="1"/>
    </xf>
    <xf numFmtId="0" fontId="54" fillId="23" borderId="42" xfId="0" applyFont="1" applyFill="1" applyBorder="1" applyAlignment="1">
      <alignment wrapText="1"/>
    </xf>
    <xf numFmtId="0" fontId="54" fillId="23" borderId="43" xfId="0" applyFont="1" applyFill="1" applyBorder="1" applyAlignment="1">
      <alignment wrapText="1" readingOrder="1"/>
    </xf>
    <xf numFmtId="0" fontId="0" fillId="23" borderId="44" xfId="0" applyFill="1" applyBorder="1" applyAlignment="1">
      <alignment wrapText="1"/>
    </xf>
    <xf numFmtId="0" fontId="54" fillId="23" borderId="44" xfId="0" applyFont="1" applyFill="1" applyBorder="1" applyAlignment="1">
      <alignment wrapText="1"/>
    </xf>
    <xf numFmtId="0" fontId="0" fillId="23" borderId="45" xfId="0" applyFill="1" applyBorder="1" applyAlignment="1">
      <alignment wrapText="1"/>
    </xf>
    <xf numFmtId="0" fontId="56" fillId="24" borderId="42" xfId="0" applyFont="1" applyFill="1" applyBorder="1" applyAlignment="1">
      <alignment wrapText="1" readingOrder="1"/>
    </xf>
    <xf numFmtId="0" fontId="54" fillId="24" borderId="42" xfId="0" applyFont="1" applyFill="1" applyBorder="1" applyAlignment="1">
      <alignment wrapText="1" readingOrder="1"/>
    </xf>
    <xf numFmtId="0" fontId="54" fillId="24" borderId="42" xfId="0" applyFont="1" applyFill="1" applyBorder="1" applyAlignment="1">
      <alignment wrapText="1"/>
    </xf>
    <xf numFmtId="0" fontId="54" fillId="24" borderId="43" xfId="0" applyFont="1" applyFill="1" applyBorder="1" applyAlignment="1">
      <alignment wrapText="1" readingOrder="1"/>
    </xf>
    <xf numFmtId="0" fontId="0" fillId="24" borderId="46" xfId="0" applyFill="1" applyBorder="1" applyAlignment="1">
      <alignment wrapText="1"/>
    </xf>
    <xf numFmtId="0" fontId="54" fillId="24" borderId="46" xfId="0" applyFont="1" applyFill="1" applyBorder="1" applyAlignment="1">
      <alignment wrapText="1"/>
    </xf>
    <xf numFmtId="0" fontId="0" fillId="24" borderId="47" xfId="0" applyFill="1" applyBorder="1" applyAlignment="1">
      <alignment wrapText="1"/>
    </xf>
    <xf numFmtId="0" fontId="0" fillId="24" borderId="44" xfId="0" applyFill="1" applyBorder="1" applyAlignment="1">
      <alignment wrapText="1"/>
    </xf>
    <xf numFmtId="0" fontId="54" fillId="24" borderId="44" xfId="0" applyFont="1" applyFill="1" applyBorder="1" applyAlignment="1">
      <alignment wrapText="1"/>
    </xf>
    <xf numFmtId="0" fontId="0" fillId="24" borderId="45" xfId="0" applyFill="1" applyBorder="1" applyAlignment="1">
      <alignment wrapText="1"/>
    </xf>
    <xf numFmtId="0" fontId="56" fillId="23" borderId="48" xfId="0" applyFont="1" applyFill="1" applyBorder="1" applyAlignment="1">
      <alignment wrapText="1" readingOrder="1"/>
    </xf>
    <xf numFmtId="0" fontId="54" fillId="23" borderId="48" xfId="0" applyFont="1" applyFill="1" applyBorder="1" applyAlignment="1">
      <alignment wrapText="1" readingOrder="1"/>
    </xf>
    <xf numFmtId="0" fontId="54" fillId="23" borderId="49" xfId="0" applyFont="1" applyFill="1" applyBorder="1" applyAlignment="1">
      <alignment wrapText="1" readingOrder="1"/>
    </xf>
    <xf numFmtId="0" fontId="55" fillId="24" borderId="42" xfId="0" applyFont="1" applyFill="1" applyBorder="1" applyAlignment="1">
      <alignment wrapText="1"/>
    </xf>
    <xf numFmtId="0" fontId="56" fillId="24" borderId="46" xfId="0" applyFont="1" applyFill="1" applyBorder="1" applyAlignment="1">
      <alignment wrapText="1"/>
    </xf>
    <xf numFmtId="0" fontId="55" fillId="24" borderId="44" xfId="0" applyFont="1" applyFill="1" applyBorder="1" applyAlignment="1">
      <alignment wrapText="1"/>
    </xf>
    <xf numFmtId="0" fontId="54" fillId="23" borderId="43" xfId="0" applyFont="1" applyFill="1" applyBorder="1" applyAlignment="1">
      <alignment wrapText="1"/>
    </xf>
    <xf numFmtId="0" fontId="54" fillId="23" borderId="45" xfId="0" applyFont="1" applyFill="1" applyBorder="1" applyAlignment="1">
      <alignment wrapText="1"/>
    </xf>
    <xf numFmtId="0" fontId="55" fillId="23" borderId="42" xfId="0" applyFont="1" applyFill="1" applyBorder="1" applyAlignment="1">
      <alignment wrapText="1"/>
    </xf>
    <xf numFmtId="0" fontId="56" fillId="23" borderId="46" xfId="0" applyFont="1" applyFill="1" applyBorder="1" applyAlignment="1">
      <alignment wrapText="1"/>
    </xf>
    <xf numFmtId="0" fontId="0" fillId="23" borderId="46" xfId="0" applyFill="1" applyBorder="1" applyAlignment="1">
      <alignment wrapText="1"/>
    </xf>
    <xf numFmtId="0" fontId="0" fillId="23" borderId="47" xfId="0" applyFill="1" applyBorder="1" applyAlignment="1">
      <alignment wrapText="1"/>
    </xf>
    <xf numFmtId="0" fontId="55" fillId="23" borderId="44" xfId="0" applyFont="1" applyFill="1" applyBorder="1" applyAlignment="1">
      <alignment wrapText="1"/>
    </xf>
    <xf numFmtId="0" fontId="56" fillId="24" borderId="51" xfId="0" applyFont="1" applyFill="1" applyBorder="1" applyAlignment="1">
      <alignment wrapText="1"/>
    </xf>
    <xf numFmtId="0" fontId="0" fillId="24" borderId="51" xfId="0" applyFill="1" applyBorder="1" applyAlignment="1">
      <alignment wrapText="1"/>
    </xf>
    <xf numFmtId="0" fontId="0" fillId="24" borderId="52" xfId="0" applyFill="1" applyBorder="1" applyAlignment="1">
      <alignment wrapText="1"/>
    </xf>
    <xf numFmtId="0" fontId="0" fillId="23" borderId="44" xfId="0" applyFill="1" applyBorder="1"/>
    <xf numFmtId="0" fontId="0" fillId="24" borderId="46" xfId="0" applyFill="1" applyBorder="1"/>
    <xf numFmtId="0" fontId="0" fillId="24" borderId="44" xfId="0" applyFill="1" applyBorder="1"/>
    <xf numFmtId="0" fontId="0" fillId="23" borderId="46" xfId="0" applyFill="1" applyBorder="1"/>
    <xf numFmtId="0" fontId="0" fillId="24" borderId="51" xfId="0" applyFill="1" applyBorder="1"/>
    <xf numFmtId="0" fontId="23" fillId="0" borderId="1" xfId="0" applyFont="1" applyBorder="1" applyAlignment="1">
      <alignment wrapText="1"/>
    </xf>
    <xf numFmtId="0" fontId="23" fillId="0" borderId="11" xfId="0" applyFont="1" applyBorder="1" applyAlignment="1">
      <alignment wrapText="1"/>
    </xf>
    <xf numFmtId="0" fontId="23" fillId="0" borderId="11" xfId="0" applyFont="1" applyBorder="1"/>
    <xf numFmtId="0" fontId="23" fillId="13" borderId="11" xfId="0" applyFont="1" applyFill="1" applyBorder="1" applyAlignment="1">
      <alignment wrapText="1"/>
    </xf>
    <xf numFmtId="4" fontId="23" fillId="0" borderId="11" xfId="0" applyNumberFormat="1" applyFont="1" applyBorder="1" applyAlignment="1">
      <alignment wrapText="1"/>
    </xf>
    <xf numFmtId="9" fontId="23" fillId="0" borderId="11" xfId="0" applyNumberFormat="1" applyFont="1" applyBorder="1" applyAlignment="1">
      <alignment wrapText="1"/>
    </xf>
    <xf numFmtId="0" fontId="49" fillId="10" borderId="0" xfId="0" applyFont="1" applyFill="1"/>
    <xf numFmtId="0" fontId="5" fillId="0" borderId="1" xfId="0" applyFont="1" applyBorder="1" applyAlignment="1">
      <alignment horizontal="left"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2" fillId="4" borderId="1" xfId="0" applyFont="1" applyFill="1" applyBorder="1" applyAlignment="1">
      <alignment horizontal="center" wrapText="1"/>
    </xf>
    <xf numFmtId="0" fontId="2" fillId="5" borderId="1" xfId="0" applyFont="1" applyFill="1" applyBorder="1" applyAlignment="1">
      <alignment horizontal="center" wrapText="1"/>
    </xf>
    <xf numFmtId="0" fontId="4" fillId="2" borderId="1" xfId="0" applyFont="1" applyFill="1" applyBorder="1" applyAlignment="1">
      <alignment horizontal="left" vertical="center" wrapText="1"/>
    </xf>
    <xf numFmtId="0" fontId="4" fillId="3" borderId="6"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2" fillId="0" borderId="2" xfId="0" applyFont="1" applyBorder="1" applyAlignment="1">
      <alignment horizontal="center" wrapText="1"/>
    </xf>
    <xf numFmtId="0" fontId="2" fillId="3" borderId="2" xfId="0" applyFont="1" applyFill="1" applyBorder="1" applyAlignment="1">
      <alignment horizontal="center" wrapText="1"/>
    </xf>
    <xf numFmtId="0" fontId="27" fillId="0" borderId="1" xfId="0" applyFont="1" applyBorder="1" applyAlignment="1">
      <alignment horizontal="left" vertical="center" wrapText="1"/>
    </xf>
    <xf numFmtId="0" fontId="2" fillId="6" borderId="1" xfId="0" applyFont="1" applyFill="1" applyBorder="1" applyAlignment="1">
      <alignment horizontal="center" wrapText="1"/>
    </xf>
    <xf numFmtId="0" fontId="2" fillId="3" borderId="1" xfId="0" applyFont="1" applyFill="1" applyBorder="1" applyAlignment="1">
      <alignment horizontal="center"/>
    </xf>
    <xf numFmtId="0" fontId="2" fillId="3" borderId="3" xfId="0" applyFont="1" applyFill="1" applyBorder="1" applyAlignment="1">
      <alignment horizontal="center"/>
    </xf>
    <xf numFmtId="0" fontId="14" fillId="3" borderId="9"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3" borderId="9" xfId="0" applyFont="1" applyFill="1" applyBorder="1" applyAlignment="1">
      <alignment horizontal="center" vertical="center"/>
    </xf>
    <xf numFmtId="0" fontId="14" fillId="3" borderId="2" xfId="0" applyFont="1" applyFill="1" applyBorder="1" applyAlignment="1">
      <alignment horizontal="center" vertical="center"/>
    </xf>
    <xf numFmtId="0" fontId="2" fillId="0" borderId="5" xfId="0" applyFont="1" applyBorder="1" applyAlignment="1">
      <alignment horizontal="center" vertical="center"/>
    </xf>
    <xf numFmtId="0" fontId="2" fillId="0" borderId="8" xfId="0" applyFont="1" applyBorder="1" applyAlignment="1">
      <alignment horizontal="center" vertical="center"/>
    </xf>
    <xf numFmtId="0" fontId="14" fillId="7" borderId="2" xfId="0" applyFont="1" applyFill="1" applyBorder="1" applyAlignment="1">
      <alignment horizontal="center" vertical="center"/>
    </xf>
    <xf numFmtId="0" fontId="14" fillId="7" borderId="2" xfId="0" applyFont="1" applyFill="1" applyBorder="1" applyAlignment="1">
      <alignment horizontal="center" vertical="center" wrapText="1"/>
    </xf>
    <xf numFmtId="0" fontId="2" fillId="8" borderId="3" xfId="0" applyFont="1" applyFill="1" applyBorder="1" applyAlignment="1">
      <alignment horizontal="center" vertical="center"/>
    </xf>
    <xf numFmtId="0" fontId="2" fillId="8" borderId="4" xfId="0" applyFont="1" applyFill="1" applyBorder="1" applyAlignment="1">
      <alignment horizontal="center" vertical="center"/>
    </xf>
    <xf numFmtId="9" fontId="9" fillId="9" borderId="5" xfId="0" applyNumberFormat="1" applyFont="1" applyFill="1" applyBorder="1" applyAlignment="1">
      <alignment horizontal="center" vertical="center" wrapText="1"/>
    </xf>
    <xf numFmtId="9" fontId="9" fillId="9" borderId="8" xfId="0" applyNumberFormat="1" applyFont="1" applyFill="1" applyBorder="1" applyAlignment="1">
      <alignment horizontal="center" vertical="center" wrapText="1"/>
    </xf>
    <xf numFmtId="9" fontId="9" fillId="10" borderId="5" xfId="0" applyNumberFormat="1" applyFont="1" applyFill="1" applyBorder="1" applyAlignment="1">
      <alignment horizontal="center" vertical="center" wrapText="1"/>
    </xf>
    <xf numFmtId="9" fontId="9" fillId="10" borderId="8" xfId="0" applyNumberFormat="1" applyFont="1" applyFill="1" applyBorder="1" applyAlignment="1">
      <alignment horizontal="center" vertical="center" wrapText="1"/>
    </xf>
    <xf numFmtId="0" fontId="15" fillId="8" borderId="5" xfId="0" applyFont="1" applyFill="1" applyBorder="1" applyAlignment="1">
      <alignment horizontal="center" vertical="center"/>
    </xf>
    <xf numFmtId="0" fontId="15" fillId="8" borderId="8" xfId="0" applyFont="1" applyFill="1" applyBorder="1" applyAlignment="1">
      <alignment horizontal="center" vertical="center"/>
    </xf>
    <xf numFmtId="0" fontId="31" fillId="15" borderId="15" xfId="0" applyFont="1" applyFill="1" applyBorder="1" applyAlignment="1">
      <alignment wrapText="1"/>
    </xf>
    <xf numFmtId="0" fontId="31" fillId="15" borderId="16" xfId="0" applyFont="1" applyFill="1" applyBorder="1" applyAlignment="1">
      <alignment wrapText="1"/>
    </xf>
    <xf numFmtId="0" fontId="32" fillId="16" borderId="18" xfId="0" applyFont="1" applyFill="1" applyBorder="1" applyAlignment="1">
      <alignment wrapText="1"/>
    </xf>
    <xf numFmtId="0" fontId="32" fillId="16" borderId="19" xfId="0" applyFont="1" applyFill="1" applyBorder="1" applyAlignment="1">
      <alignment wrapText="1"/>
    </xf>
    <xf numFmtId="0" fontId="32" fillId="15" borderId="21" xfId="0" applyFont="1" applyFill="1" applyBorder="1" applyAlignment="1">
      <alignment wrapText="1"/>
    </xf>
    <xf numFmtId="0" fontId="32" fillId="15" borderId="17" xfId="0" applyFont="1" applyFill="1" applyBorder="1" applyAlignment="1">
      <alignment wrapText="1"/>
    </xf>
    <xf numFmtId="0" fontId="32" fillId="15" borderId="0" xfId="0" applyFont="1" applyFill="1" applyAlignment="1">
      <alignment wrapText="1"/>
    </xf>
    <xf numFmtId="0" fontId="32" fillId="15" borderId="20" xfId="0" applyFont="1" applyFill="1" applyBorder="1" applyAlignment="1">
      <alignment wrapText="1"/>
    </xf>
    <xf numFmtId="0" fontId="32" fillId="15" borderId="22" xfId="0" applyFont="1" applyFill="1" applyBorder="1" applyAlignment="1">
      <alignment wrapText="1"/>
    </xf>
    <xf numFmtId="0" fontId="32" fillId="15" borderId="18" xfId="0" applyFont="1" applyFill="1" applyBorder="1" applyAlignment="1">
      <alignment wrapText="1"/>
    </xf>
    <xf numFmtId="0" fontId="32" fillId="15" borderId="19" xfId="0" applyFont="1" applyFill="1" applyBorder="1" applyAlignment="1">
      <alignment wrapText="1"/>
    </xf>
    <xf numFmtId="0" fontId="31" fillId="15" borderId="23" xfId="0" applyFont="1" applyFill="1" applyBorder="1" applyAlignment="1">
      <alignment wrapText="1"/>
    </xf>
    <xf numFmtId="0" fontId="31" fillId="15" borderId="24" xfId="0" applyFont="1" applyFill="1" applyBorder="1" applyAlignment="1">
      <alignment wrapText="1"/>
    </xf>
    <xf numFmtId="0" fontId="32" fillId="15" borderId="23" xfId="0" applyFont="1" applyFill="1" applyBorder="1" applyAlignment="1">
      <alignment wrapText="1"/>
    </xf>
    <xf numFmtId="0" fontId="32" fillId="15" borderId="25" xfId="0" applyFont="1" applyFill="1" applyBorder="1" applyAlignment="1">
      <alignment wrapText="1"/>
    </xf>
    <xf numFmtId="0" fontId="18" fillId="15" borderId="23" xfId="0" applyFont="1" applyFill="1" applyBorder="1" applyAlignment="1">
      <alignment wrapText="1"/>
    </xf>
    <xf numFmtId="0" fontId="18" fillId="15" borderId="24" xfId="0" applyFont="1" applyFill="1" applyBorder="1" applyAlignment="1">
      <alignment wrapText="1"/>
    </xf>
    <xf numFmtId="0" fontId="4" fillId="0" borderId="15" xfId="0" applyFont="1" applyBorder="1" applyAlignment="1">
      <alignment wrapText="1"/>
    </xf>
    <xf numFmtId="0" fontId="4" fillId="0" borderId="16" xfId="0" applyFont="1" applyBorder="1" applyAlignment="1">
      <alignment wrapText="1"/>
    </xf>
    <xf numFmtId="0" fontId="4" fillId="0" borderId="23" xfId="0" applyFont="1" applyBorder="1" applyAlignment="1">
      <alignment wrapText="1"/>
    </xf>
    <xf numFmtId="0" fontId="4" fillId="0" borderId="24" xfId="0" applyFont="1" applyBorder="1" applyAlignment="1">
      <alignment wrapText="1"/>
    </xf>
    <xf numFmtId="3" fontId="4" fillId="0" borderId="20" xfId="0" applyNumberFormat="1" applyFont="1" applyBorder="1" applyAlignment="1">
      <alignment wrapText="1"/>
    </xf>
    <xf numFmtId="0" fontId="4" fillId="0" borderId="22" xfId="0" applyFont="1" applyBorder="1" applyAlignment="1">
      <alignment wrapText="1"/>
    </xf>
    <xf numFmtId="0" fontId="35" fillId="0" borderId="19" xfId="0" applyFont="1" applyBorder="1" applyAlignment="1">
      <alignment wrapText="1"/>
    </xf>
    <xf numFmtId="0" fontId="35" fillId="0" borderId="23" xfId="0" applyFont="1" applyBorder="1" applyAlignment="1">
      <alignment wrapText="1"/>
    </xf>
    <xf numFmtId="0" fontId="32" fillId="15" borderId="26" xfId="0" applyFont="1" applyFill="1" applyBorder="1" applyAlignment="1">
      <alignment wrapText="1"/>
    </xf>
    <xf numFmtId="0" fontId="22" fillId="15" borderId="23" xfId="0" applyFont="1" applyFill="1" applyBorder="1" applyAlignment="1">
      <alignment wrapText="1"/>
    </xf>
    <xf numFmtId="0" fontId="22" fillId="15" borderId="24" xfId="0" applyFont="1" applyFill="1" applyBorder="1" applyAlignment="1">
      <alignment wrapText="1"/>
    </xf>
    <xf numFmtId="0" fontId="32" fillId="15" borderId="16" xfId="0" applyFont="1" applyFill="1" applyBorder="1" applyAlignment="1">
      <alignment wrapText="1"/>
    </xf>
    <xf numFmtId="0" fontId="34" fillId="0" borderId="19" xfId="0" applyFont="1" applyBorder="1" applyAlignment="1">
      <alignment wrapText="1"/>
    </xf>
    <xf numFmtId="3" fontId="35" fillId="0" borderId="23" xfId="0" applyNumberFormat="1" applyFont="1" applyBorder="1" applyAlignment="1">
      <alignment wrapText="1"/>
    </xf>
    <xf numFmtId="3" fontId="35" fillId="0" borderId="15" xfId="0" applyNumberFormat="1" applyFont="1" applyBorder="1" applyAlignment="1">
      <alignment wrapText="1"/>
    </xf>
    <xf numFmtId="0" fontId="35" fillId="0" borderId="16" xfId="0" applyFont="1" applyBorder="1" applyAlignment="1">
      <alignment wrapText="1"/>
    </xf>
    <xf numFmtId="0" fontId="35" fillId="0" borderId="24" xfId="0" applyFont="1" applyBorder="1" applyAlignment="1">
      <alignment wrapText="1"/>
    </xf>
    <xf numFmtId="0" fontId="35" fillId="0" borderId="15" xfId="0" applyFont="1" applyBorder="1" applyAlignment="1">
      <alignment wrapText="1"/>
    </xf>
    <xf numFmtId="4" fontId="35" fillId="0" borderId="23" xfId="0" applyNumberFormat="1" applyFont="1" applyBorder="1" applyAlignment="1">
      <alignment wrapText="1"/>
    </xf>
    <xf numFmtId="4" fontId="4" fillId="0" borderId="15" xfId="0" applyNumberFormat="1" applyFont="1" applyBorder="1" applyAlignment="1">
      <alignment wrapText="1"/>
    </xf>
    <xf numFmtId="3" fontId="35" fillId="0" borderId="20" xfId="0" applyNumberFormat="1" applyFont="1" applyBorder="1" applyAlignment="1">
      <alignment wrapText="1"/>
    </xf>
    <xf numFmtId="0" fontId="35" fillId="0" borderId="22" xfId="0" applyFont="1" applyBorder="1" applyAlignment="1">
      <alignment wrapText="1"/>
    </xf>
    <xf numFmtId="9" fontId="35" fillId="0" borderId="19" xfId="0" applyNumberFormat="1" applyFont="1" applyBorder="1" applyAlignment="1">
      <alignment wrapText="1"/>
    </xf>
    <xf numFmtId="3" fontId="4" fillId="0" borderId="15" xfId="0" applyNumberFormat="1" applyFont="1" applyBorder="1" applyAlignment="1">
      <alignment wrapText="1"/>
    </xf>
    <xf numFmtId="0" fontId="4" fillId="0" borderId="25" xfId="0" applyFont="1" applyBorder="1" applyAlignment="1">
      <alignment wrapText="1"/>
    </xf>
    <xf numFmtId="0" fontId="4" fillId="0" borderId="27" xfId="0" applyFont="1" applyBorder="1" applyAlignment="1">
      <alignment wrapText="1"/>
    </xf>
    <xf numFmtId="0" fontId="35" fillId="0" borderId="28" xfId="0" applyFont="1" applyBorder="1" applyAlignment="1">
      <alignment wrapText="1"/>
    </xf>
    <xf numFmtId="0" fontId="35" fillId="0" borderId="25" xfId="0" applyFont="1" applyBorder="1" applyAlignment="1">
      <alignment wrapText="1"/>
    </xf>
    <xf numFmtId="3" fontId="4" fillId="13" borderId="22" xfId="0" applyNumberFormat="1" applyFont="1" applyFill="1" applyBorder="1" applyAlignment="1">
      <alignment wrapText="1"/>
    </xf>
    <xf numFmtId="0" fontId="4" fillId="13" borderId="22" xfId="0" applyFont="1" applyFill="1" applyBorder="1" applyAlignment="1">
      <alignment wrapText="1"/>
    </xf>
    <xf numFmtId="0" fontId="35" fillId="0" borderId="27" xfId="0" applyFont="1" applyBorder="1" applyAlignment="1">
      <alignment wrapText="1"/>
    </xf>
    <xf numFmtId="3" fontId="20" fillId="0" borderId="20" xfId="0" applyNumberFormat="1" applyFont="1" applyBorder="1" applyAlignment="1">
      <alignment wrapText="1"/>
    </xf>
    <xf numFmtId="0" fontId="20" fillId="0" borderId="22" xfId="0" applyFont="1" applyBorder="1" applyAlignment="1">
      <alignment wrapText="1"/>
    </xf>
    <xf numFmtId="9" fontId="20" fillId="0" borderId="19" xfId="0" applyNumberFormat="1" applyFont="1" applyBorder="1" applyAlignment="1">
      <alignment wrapText="1"/>
    </xf>
    <xf numFmtId="0" fontId="20" fillId="0" borderId="19" xfId="0" applyFont="1" applyBorder="1" applyAlignment="1">
      <alignment wrapText="1"/>
    </xf>
    <xf numFmtId="0" fontId="20" fillId="0" borderId="28" xfId="0" applyFont="1" applyBorder="1" applyAlignment="1">
      <alignment wrapText="1"/>
    </xf>
    <xf numFmtId="0" fontId="36" fillId="17" borderId="20" xfId="0" applyFont="1" applyFill="1" applyBorder="1" applyAlignment="1">
      <alignment wrapText="1"/>
    </xf>
    <xf numFmtId="0" fontId="36" fillId="17" borderId="22" xfId="0" applyFont="1" applyFill="1" applyBorder="1" applyAlignment="1">
      <alignment wrapText="1"/>
    </xf>
    <xf numFmtId="0" fontId="36" fillId="17" borderId="19" xfId="0" applyFont="1" applyFill="1" applyBorder="1" applyAlignment="1">
      <alignment wrapText="1"/>
    </xf>
    <xf numFmtId="0" fontId="36" fillId="17" borderId="28" xfId="0" applyFont="1" applyFill="1" applyBorder="1" applyAlignment="1">
      <alignment wrapText="1"/>
    </xf>
    <xf numFmtId="3" fontId="35" fillId="17" borderId="26" xfId="0" applyNumberFormat="1" applyFont="1" applyFill="1" applyBorder="1" applyAlignment="1">
      <alignment wrapText="1"/>
    </xf>
    <xf numFmtId="0" fontId="35" fillId="17" borderId="30" xfId="0" applyFont="1" applyFill="1" applyBorder="1" applyAlignment="1">
      <alignment wrapText="1"/>
    </xf>
    <xf numFmtId="0" fontId="4" fillId="17" borderId="15" xfId="0" applyFont="1" applyFill="1" applyBorder="1" applyAlignment="1">
      <alignment wrapText="1"/>
    </xf>
    <xf numFmtId="0" fontId="4" fillId="17" borderId="16" xfId="0" applyFont="1" applyFill="1" applyBorder="1" applyAlignment="1">
      <alignment wrapText="1"/>
    </xf>
    <xf numFmtId="0" fontId="4" fillId="17" borderId="25" xfId="0" applyFont="1" applyFill="1" applyBorder="1" applyAlignment="1">
      <alignment wrapText="1"/>
    </xf>
    <xf numFmtId="0" fontId="4" fillId="17" borderId="27" xfId="0" applyFont="1" applyFill="1" applyBorder="1" applyAlignment="1">
      <alignment wrapText="1"/>
    </xf>
    <xf numFmtId="3" fontId="4" fillId="17" borderId="20" xfId="0" applyNumberFormat="1" applyFont="1" applyFill="1" applyBorder="1" applyAlignment="1">
      <alignment wrapText="1"/>
    </xf>
    <xf numFmtId="0" fontId="4" fillId="17" borderId="22" xfId="0" applyFont="1" applyFill="1" applyBorder="1" applyAlignment="1">
      <alignment wrapText="1"/>
    </xf>
    <xf numFmtId="0" fontId="35" fillId="17" borderId="19" xfId="0" applyFont="1" applyFill="1" applyBorder="1" applyAlignment="1">
      <alignment wrapText="1"/>
    </xf>
    <xf numFmtId="0" fontId="35" fillId="17" borderId="28" xfId="0" applyFont="1" applyFill="1" applyBorder="1" applyAlignment="1">
      <alignment wrapText="1"/>
    </xf>
    <xf numFmtId="0" fontId="35" fillId="17" borderId="23" xfId="0" applyFont="1" applyFill="1" applyBorder="1" applyAlignment="1">
      <alignment wrapText="1"/>
    </xf>
    <xf numFmtId="0" fontId="35" fillId="17" borderId="25" xfId="0" applyFont="1" applyFill="1" applyBorder="1" applyAlignment="1">
      <alignment wrapText="1"/>
    </xf>
    <xf numFmtId="0" fontId="4" fillId="0" borderId="21" xfId="0" applyFont="1" applyBorder="1" applyAlignment="1">
      <alignment wrapText="1"/>
    </xf>
    <xf numFmtId="0" fontId="4" fillId="0" borderId="31" xfId="0" applyFont="1" applyBorder="1" applyAlignment="1">
      <alignment wrapText="1"/>
    </xf>
    <xf numFmtId="0" fontId="20" fillId="0" borderId="21" xfId="0" applyFont="1" applyBorder="1" applyAlignment="1">
      <alignment wrapText="1"/>
    </xf>
    <xf numFmtId="0" fontId="20" fillId="0" borderId="31" xfId="0" applyFont="1" applyBorder="1" applyAlignment="1">
      <alignment wrapText="1"/>
    </xf>
    <xf numFmtId="0" fontId="22" fillId="0" borderId="21" xfId="0" applyFont="1" applyBorder="1" applyAlignment="1">
      <alignment wrapText="1"/>
    </xf>
    <xf numFmtId="0" fontId="22" fillId="0" borderId="31" xfId="0" applyFont="1" applyBorder="1" applyAlignment="1">
      <alignment wrapText="1"/>
    </xf>
    <xf numFmtId="0" fontId="37" fillId="18" borderId="34" xfId="0" applyFont="1" applyFill="1" applyBorder="1" applyAlignment="1">
      <alignment wrapText="1"/>
    </xf>
    <xf numFmtId="0" fontId="37" fillId="18" borderId="21" xfId="0" applyFont="1" applyFill="1" applyBorder="1" applyAlignment="1">
      <alignment wrapText="1"/>
    </xf>
    <xf numFmtId="0" fontId="37" fillId="18" borderId="31" xfId="0" applyFont="1" applyFill="1" applyBorder="1" applyAlignment="1">
      <alignment wrapText="1"/>
    </xf>
    <xf numFmtId="3" fontId="18" fillId="18" borderId="21" xfId="0" applyNumberFormat="1" applyFont="1" applyFill="1" applyBorder="1" applyAlignment="1">
      <alignment wrapText="1"/>
    </xf>
    <xf numFmtId="0" fontId="18" fillId="18" borderId="31" xfId="0" applyFont="1" applyFill="1" applyBorder="1" applyAlignment="1">
      <alignment wrapText="1"/>
    </xf>
    <xf numFmtId="4" fontId="34" fillId="18" borderId="21" xfId="0" applyNumberFormat="1" applyFont="1" applyFill="1" applyBorder="1" applyAlignment="1">
      <alignment wrapText="1"/>
    </xf>
    <xf numFmtId="0" fontId="34" fillId="18" borderId="31" xfId="0" applyFont="1" applyFill="1" applyBorder="1" applyAlignment="1">
      <alignment wrapText="1"/>
    </xf>
    <xf numFmtId="0" fontId="35" fillId="17" borderId="15" xfId="0" applyFont="1" applyFill="1" applyBorder="1" applyAlignment="1">
      <alignment wrapText="1"/>
    </xf>
    <xf numFmtId="0" fontId="35" fillId="17" borderId="16" xfId="0" applyFont="1" applyFill="1" applyBorder="1" applyAlignment="1">
      <alignment wrapText="1"/>
    </xf>
    <xf numFmtId="0" fontId="35" fillId="17" borderId="27" xfId="0" applyFont="1" applyFill="1" applyBorder="1" applyAlignment="1">
      <alignment wrapText="1"/>
    </xf>
    <xf numFmtId="0" fontId="36" fillId="17" borderId="23" xfId="0" applyFont="1" applyFill="1" applyBorder="1" applyAlignment="1">
      <alignment wrapText="1"/>
    </xf>
    <xf numFmtId="0" fontId="36" fillId="17" borderId="25" xfId="0" applyFont="1" applyFill="1" applyBorder="1" applyAlignment="1">
      <alignment wrapText="1"/>
    </xf>
    <xf numFmtId="0" fontId="36" fillId="17" borderId="17" xfId="0" applyFont="1" applyFill="1" applyBorder="1" applyAlignment="1">
      <alignment wrapText="1"/>
    </xf>
    <xf numFmtId="0" fontId="36" fillId="17" borderId="16" xfId="0" applyFont="1" applyFill="1" applyBorder="1" applyAlignment="1">
      <alignment wrapText="1"/>
    </xf>
    <xf numFmtId="3" fontId="20" fillId="0" borderId="21" xfId="0" applyNumberFormat="1" applyFont="1" applyBorder="1" applyAlignment="1">
      <alignment wrapText="1"/>
    </xf>
    <xf numFmtId="0" fontId="20" fillId="0" borderId="15" xfId="0" applyFont="1" applyBorder="1" applyAlignment="1">
      <alignment wrapText="1"/>
    </xf>
    <xf numFmtId="0" fontId="20" fillId="0" borderId="16" xfId="0" applyFont="1" applyBorder="1" applyAlignment="1">
      <alignment wrapText="1"/>
    </xf>
    <xf numFmtId="0" fontId="20" fillId="0" borderId="23" xfId="0" applyFont="1" applyBorder="1" applyAlignment="1">
      <alignment wrapText="1"/>
    </xf>
    <xf numFmtId="0" fontId="20" fillId="0" borderId="24" xfId="0" applyFont="1" applyBorder="1" applyAlignment="1">
      <alignment wrapText="1"/>
    </xf>
    <xf numFmtId="3" fontId="37" fillId="18" borderId="21" xfId="0" applyNumberFormat="1" applyFont="1" applyFill="1" applyBorder="1" applyAlignment="1">
      <alignment wrapText="1"/>
    </xf>
    <xf numFmtId="3" fontId="39" fillId="18" borderId="21" xfId="0" applyNumberFormat="1" applyFont="1" applyFill="1" applyBorder="1" applyAlignment="1">
      <alignment wrapText="1"/>
    </xf>
    <xf numFmtId="0" fontId="39" fillId="18" borderId="21" xfId="0" applyFont="1" applyFill="1" applyBorder="1" applyAlignment="1">
      <alignment wrapText="1"/>
    </xf>
    <xf numFmtId="0" fontId="39" fillId="18" borderId="31" xfId="0" applyFont="1" applyFill="1" applyBorder="1" applyAlignment="1">
      <alignment wrapText="1"/>
    </xf>
    <xf numFmtId="3" fontId="20" fillId="0" borderId="23" xfId="0" applyNumberFormat="1" applyFont="1" applyBorder="1" applyAlignment="1">
      <alignment wrapText="1"/>
    </xf>
    <xf numFmtId="3" fontId="18" fillId="0" borderId="15" xfId="0" applyNumberFormat="1" applyFont="1" applyBorder="1" applyAlignment="1">
      <alignment wrapText="1"/>
    </xf>
    <xf numFmtId="0" fontId="18" fillId="0" borderId="16" xfId="0" applyFont="1" applyBorder="1" applyAlignment="1">
      <alignment wrapText="1"/>
    </xf>
    <xf numFmtId="0" fontId="18" fillId="0" borderId="23" xfId="0" applyFont="1" applyBorder="1" applyAlignment="1">
      <alignment wrapText="1"/>
    </xf>
    <xf numFmtId="0" fontId="18" fillId="0" borderId="24" xfId="0" applyFont="1" applyBorder="1" applyAlignment="1">
      <alignment wrapText="1"/>
    </xf>
    <xf numFmtId="0" fontId="41" fillId="0" borderId="21" xfId="0" applyFont="1" applyBorder="1" applyAlignment="1">
      <alignment wrapText="1"/>
    </xf>
    <xf numFmtId="0" fontId="41" fillId="0" borderId="31" xfId="0" applyFont="1" applyBorder="1" applyAlignment="1">
      <alignment wrapText="1"/>
    </xf>
    <xf numFmtId="3" fontId="35" fillId="0" borderId="21" xfId="0" applyNumberFormat="1" applyFont="1" applyBorder="1" applyAlignment="1">
      <alignment wrapText="1"/>
    </xf>
    <xf numFmtId="0" fontId="35" fillId="0" borderId="31" xfId="0" applyFont="1" applyBorder="1" applyAlignment="1">
      <alignment wrapText="1"/>
    </xf>
    <xf numFmtId="0" fontId="41" fillId="0" borderId="15" xfId="0" applyFont="1" applyBorder="1" applyAlignment="1">
      <alignment wrapText="1"/>
    </xf>
    <xf numFmtId="0" fontId="41" fillId="0" borderId="16" xfId="0" applyFont="1" applyBorder="1" applyAlignment="1">
      <alignment wrapText="1"/>
    </xf>
    <xf numFmtId="0" fontId="41" fillId="0" borderId="23" xfId="0" applyFont="1" applyBorder="1" applyAlignment="1">
      <alignment wrapText="1"/>
    </xf>
    <xf numFmtId="0" fontId="41" fillId="0" borderId="24" xfId="0" applyFont="1" applyBorder="1" applyAlignment="1">
      <alignment wrapText="1"/>
    </xf>
    <xf numFmtId="0" fontId="34" fillId="19" borderId="20" xfId="0" applyFont="1" applyFill="1" applyBorder="1" applyAlignment="1">
      <alignment wrapText="1"/>
    </xf>
    <xf numFmtId="0" fontId="34" fillId="19" borderId="22" xfId="0" applyFont="1" applyFill="1" applyBorder="1" applyAlignment="1">
      <alignment wrapText="1"/>
    </xf>
    <xf numFmtId="0" fontId="34" fillId="19" borderId="17" xfId="0" applyFont="1" applyFill="1" applyBorder="1" applyAlignment="1">
      <alignment wrapText="1"/>
    </xf>
    <xf numFmtId="0" fontId="34" fillId="19" borderId="35" xfId="0" applyFont="1" applyFill="1" applyBorder="1" applyAlignment="1">
      <alignment wrapText="1"/>
    </xf>
    <xf numFmtId="0" fontId="34" fillId="19" borderId="19" xfId="0" applyFont="1" applyFill="1" applyBorder="1" applyAlignment="1">
      <alignment wrapText="1"/>
    </xf>
    <xf numFmtId="0" fontId="34" fillId="19" borderId="28" xfId="0" applyFont="1" applyFill="1" applyBorder="1" applyAlignment="1">
      <alignment wrapText="1"/>
    </xf>
    <xf numFmtId="0" fontId="42" fillId="19" borderId="34" xfId="0" applyFont="1" applyFill="1" applyBorder="1" applyAlignment="1">
      <alignment wrapText="1"/>
    </xf>
    <xf numFmtId="0" fontId="42" fillId="19" borderId="21" xfId="0" applyFont="1" applyFill="1" applyBorder="1" applyAlignment="1">
      <alignment wrapText="1"/>
    </xf>
    <xf numFmtId="0" fontId="42" fillId="19" borderId="31" xfId="0" applyFont="1" applyFill="1" applyBorder="1" applyAlignment="1">
      <alignment wrapText="1"/>
    </xf>
    <xf numFmtId="3" fontId="34" fillId="19" borderId="21" xfId="0" applyNumberFormat="1" applyFont="1" applyFill="1" applyBorder="1" applyAlignment="1">
      <alignment wrapText="1"/>
    </xf>
    <xf numFmtId="0" fontId="34" fillId="19" borderId="21" xfId="0" applyFont="1" applyFill="1" applyBorder="1" applyAlignment="1">
      <alignment wrapText="1"/>
    </xf>
    <xf numFmtId="3" fontId="34" fillId="18" borderId="21" xfId="0" applyNumberFormat="1" applyFont="1" applyFill="1" applyBorder="1" applyAlignment="1">
      <alignment wrapText="1"/>
    </xf>
    <xf numFmtId="4" fontId="37" fillId="18" borderId="21" xfId="0" applyNumberFormat="1" applyFont="1" applyFill="1" applyBorder="1" applyAlignment="1">
      <alignment wrapText="1"/>
    </xf>
    <xf numFmtId="0" fontId="42" fillId="19" borderId="15" xfId="0" applyFont="1" applyFill="1" applyBorder="1" applyAlignment="1">
      <alignment wrapText="1"/>
    </xf>
    <xf numFmtId="0" fontId="42" fillId="19" borderId="17" xfId="0" applyFont="1" applyFill="1" applyBorder="1" applyAlignment="1">
      <alignment wrapText="1"/>
    </xf>
    <xf numFmtId="0" fontId="42" fillId="19" borderId="16" xfId="0" applyFont="1" applyFill="1" applyBorder="1" applyAlignment="1">
      <alignment wrapText="1"/>
    </xf>
    <xf numFmtId="0" fontId="42" fillId="19" borderId="25" xfId="0" applyFont="1" applyFill="1" applyBorder="1" applyAlignment="1">
      <alignment wrapText="1"/>
    </xf>
    <xf numFmtId="0" fontId="42" fillId="19" borderId="35" xfId="0" applyFont="1" applyFill="1" applyBorder="1" applyAlignment="1">
      <alignment wrapText="1"/>
    </xf>
    <xf numFmtId="0" fontId="42" fillId="19" borderId="27" xfId="0" applyFont="1" applyFill="1" applyBorder="1" applyAlignment="1">
      <alignment wrapText="1"/>
    </xf>
    <xf numFmtId="0" fontId="15" fillId="19" borderId="20" xfId="0" applyFont="1" applyFill="1" applyBorder="1" applyAlignment="1">
      <alignment wrapText="1"/>
    </xf>
    <xf numFmtId="0" fontId="15" fillId="19" borderId="22" xfId="0" applyFont="1" applyFill="1" applyBorder="1" applyAlignment="1">
      <alignment wrapText="1"/>
    </xf>
    <xf numFmtId="0" fontId="36" fillId="19" borderId="19" xfId="0" applyFont="1" applyFill="1" applyBorder="1" applyAlignment="1">
      <alignment wrapText="1"/>
    </xf>
    <xf numFmtId="0" fontId="36" fillId="19" borderId="28" xfId="0" applyFont="1" applyFill="1" applyBorder="1" applyAlignment="1">
      <alignment wrapText="1"/>
    </xf>
    <xf numFmtId="3" fontId="34" fillId="19" borderId="19" xfId="0" applyNumberFormat="1" applyFont="1" applyFill="1" applyBorder="1" applyAlignment="1">
      <alignment wrapText="1"/>
    </xf>
    <xf numFmtId="3" fontId="34" fillId="19" borderId="20" xfId="0" applyNumberFormat="1" applyFont="1" applyFill="1" applyBorder="1" applyAlignment="1">
      <alignment wrapText="1"/>
    </xf>
    <xf numFmtId="3" fontId="34" fillId="19" borderId="15" xfId="0" applyNumberFormat="1" applyFont="1" applyFill="1" applyBorder="1" applyAlignment="1">
      <alignment wrapText="1"/>
    </xf>
    <xf numFmtId="0" fontId="34" fillId="19" borderId="16" xfId="0" applyFont="1" applyFill="1" applyBorder="1" applyAlignment="1">
      <alignment wrapText="1"/>
    </xf>
    <xf numFmtId="0" fontId="34" fillId="19" borderId="25" xfId="0" applyFont="1" applyFill="1" applyBorder="1" applyAlignment="1">
      <alignment wrapText="1"/>
    </xf>
    <xf numFmtId="0" fontId="34" fillId="19" borderId="27" xfId="0" applyFont="1" applyFill="1" applyBorder="1" applyAlignment="1">
      <alignment wrapText="1"/>
    </xf>
    <xf numFmtId="0" fontId="58" fillId="23" borderId="39" xfId="0" applyFont="1" applyFill="1" applyBorder="1" applyAlignment="1">
      <alignment wrapText="1" readingOrder="1"/>
    </xf>
    <xf numFmtId="0" fontId="54" fillId="23" borderId="40" xfId="0" applyFont="1" applyFill="1" applyBorder="1" applyAlignment="1">
      <alignment wrapText="1" readingOrder="1"/>
    </xf>
    <xf numFmtId="0" fontId="54" fillId="23" borderId="41" xfId="0" applyFont="1" applyFill="1" applyBorder="1" applyAlignment="1">
      <alignment wrapText="1" readingOrder="1"/>
    </xf>
    <xf numFmtId="0" fontId="58" fillId="24" borderId="39" xfId="0" applyFont="1" applyFill="1" applyBorder="1" applyAlignment="1">
      <alignment wrapText="1" readingOrder="1"/>
    </xf>
    <xf numFmtId="0" fontId="54" fillId="24" borderId="40" xfId="0" applyFont="1" applyFill="1" applyBorder="1" applyAlignment="1">
      <alignment wrapText="1" readingOrder="1"/>
    </xf>
    <xf numFmtId="0" fontId="54" fillId="24" borderId="50" xfId="0" applyFont="1" applyFill="1" applyBorder="1" applyAlignment="1">
      <alignment wrapText="1" readingOrder="1"/>
    </xf>
    <xf numFmtId="0" fontId="54" fillId="23" borderId="42" xfId="0" applyFont="1" applyFill="1" applyBorder="1" applyAlignment="1">
      <alignment horizontal="left" vertical="top" wrapText="1" readingOrder="1"/>
    </xf>
    <xf numFmtId="0" fontId="54" fillId="23" borderId="46" xfId="0" applyFont="1" applyFill="1" applyBorder="1" applyAlignment="1">
      <alignment horizontal="left" vertical="top" wrapText="1" readingOrder="1"/>
    </xf>
    <xf numFmtId="0" fontId="54" fillId="23" borderId="44" xfId="0" applyFont="1" applyFill="1" applyBorder="1" applyAlignment="1">
      <alignment horizontal="left" vertical="top" wrapText="1" readingOrder="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Faisal Sabir" id="{51AF94E0-7CFE-4C8B-BF98-B27863B87509}" userId="faisal.sabir@undp.org" providerId="PeoplePicker"/>
  <person displayName="Marrian Gebreselassie" id="{54C70A56-CB2A-4EFB-8ED9-B17C35A2D125}" userId="S::marrian.gebreselassie@undp.org::a958bc1d-bd72-465b-aabf-d5afe6e4dcc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9" dT="2026-06-27T09:00:34.95" personId="{54C70A56-CB2A-4EFB-8ED9-B17C35A2D125}" id="{3729F621-EC46-4FBE-9CB0-8ED2D4DF8693}">
    <text>@Faisal Sabir</text>
    <mentions>
      <mention mentionpersonId="{51AF94E0-7CFE-4C8B-BF98-B27863B87509}" mentionId="{00E5D79E-EF9D-4724-9090-6E108C69DD1E}" startIndex="0" length="13"/>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B4" dT="2025-11-30T12:04:23.95" personId="{54C70A56-CB2A-4EFB-8ED9-B17C35A2D125}" id="{8C59C683-728D-4BBB-8E0C-12BD14C5D7AA}">
    <text>@Faisal Sabir these are identical</text>
    <mentions>
      <mention mentionpersonId="{51AF94E0-7CFE-4C8B-BF98-B27863B87509}" mentionId="{722DC63E-49E5-41C1-96DD-8A7A4BB6D7C6}" startIndex="0" length="13"/>
    </mentions>
  </threadedComment>
  <threadedComment ref="B9" dT="2026-01-06T15:25:52.22" personId="{54C70A56-CB2A-4EFB-8ED9-B17C35A2D125}" id="{0EF6699B-A6F4-4D88-A8EF-8CE5BA9D1BBB}">
    <text>@Faisal Sabir Weekly updates for JSB were inconsistent in December. Please advise</text>
    <mentions>
      <mention mentionpersonId="{51AF94E0-7CFE-4C8B-BF98-B27863B87509}" mentionId="{14A32CE8-1861-49EF-B724-07127B6ED4B7}" startIndex="0" length="13"/>
    </mentions>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0AFB2-A920-4CA5-BCDF-4196C0F4E5DF}">
  <dimension ref="A1:B9"/>
  <sheetViews>
    <sheetView workbookViewId="0">
      <selection activeCell="C1" sqref="C1"/>
    </sheetView>
  </sheetViews>
  <sheetFormatPr defaultRowHeight="14.45"/>
  <cols>
    <col min="1" max="1" width="22.85546875" customWidth="1"/>
    <col min="2" max="2" width="86" customWidth="1"/>
  </cols>
  <sheetData>
    <row r="1" spans="1:2" ht="30.75">
      <c r="A1" s="1" t="s">
        <v>0</v>
      </c>
      <c r="B1" s="16" t="s">
        <v>1</v>
      </c>
    </row>
    <row r="2" spans="1:2">
      <c r="A2" s="1" t="s">
        <v>2</v>
      </c>
      <c r="B2" t="s">
        <v>3</v>
      </c>
    </row>
    <row r="3" spans="1:2">
      <c r="A3" s="1" t="s">
        <v>4</v>
      </c>
      <c r="B3" s="2">
        <v>1000000</v>
      </c>
    </row>
    <row r="4" spans="1:2">
      <c r="A4" s="1" t="s">
        <v>5</v>
      </c>
      <c r="B4" s="3">
        <v>45731</v>
      </c>
    </row>
    <row r="5" spans="1:2">
      <c r="A5" s="1" t="s">
        <v>6</v>
      </c>
      <c r="B5" s="3">
        <v>46095</v>
      </c>
    </row>
    <row r="6" spans="1:2">
      <c r="A6" s="1" t="s">
        <v>7</v>
      </c>
      <c r="B6" t="s">
        <v>8</v>
      </c>
    </row>
    <row r="7" spans="1:2">
      <c r="A7" s="1" t="s">
        <v>9</v>
      </c>
      <c r="B7" t="s">
        <v>10</v>
      </c>
    </row>
    <row r="8" spans="1:2">
      <c r="A8" s="1" t="s">
        <v>11</v>
      </c>
      <c r="B8" t="s">
        <v>12</v>
      </c>
    </row>
    <row r="9" spans="1:2">
      <c r="A9" s="1" t="s">
        <v>13</v>
      </c>
      <c r="B9"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9DDBD-8EFB-4DA8-A631-9F6CFEB2783F}">
  <dimension ref="A1:AA19"/>
  <sheetViews>
    <sheetView workbookViewId="0">
      <pane ySplit="2" topLeftCell="B10" activePane="bottomLeft" state="frozen"/>
      <selection pane="bottomLeft" activeCell="Z9" sqref="Z9"/>
    </sheetView>
  </sheetViews>
  <sheetFormatPr defaultColWidth="8.7109375" defaultRowHeight="15" customHeight="1"/>
  <cols>
    <col min="1" max="1" width="16.140625" style="5" customWidth="1"/>
    <col min="2" max="2" width="36.85546875" style="5" customWidth="1"/>
    <col min="3" max="3" width="19.85546875" style="5" hidden="1" customWidth="1"/>
    <col min="4" max="4" width="38.140625" style="5" customWidth="1"/>
    <col min="5" max="5" width="14.42578125" style="5" hidden="1" customWidth="1"/>
    <col min="6" max="6" width="17" style="5" hidden="1" customWidth="1"/>
    <col min="7" max="7" width="8" style="5" hidden="1" customWidth="1"/>
    <col min="8" max="8" width="6.85546875" style="5" hidden="1" customWidth="1"/>
    <col min="9" max="9" width="7.85546875" style="5" hidden="1" customWidth="1"/>
    <col min="10" max="10" width="8.5703125" style="5" hidden="1" customWidth="1"/>
    <col min="11" max="11" width="16.5703125" style="5" customWidth="1"/>
    <col min="12" max="12" width="12.140625" style="5" hidden="1" customWidth="1"/>
    <col min="13" max="13" width="12.5703125" style="5" hidden="1" customWidth="1"/>
    <col min="14" max="14" width="14.42578125" style="5" customWidth="1"/>
    <col min="15" max="15" width="12.42578125" style="5" hidden="1" customWidth="1"/>
    <col min="16" max="16" width="13" style="5" hidden="1" customWidth="1"/>
    <col min="17" max="17" width="22.7109375" style="5" customWidth="1"/>
    <col min="18" max="18" width="11.140625" style="5" hidden="1" customWidth="1"/>
    <col min="19" max="19" width="14.42578125" style="5" hidden="1" customWidth="1"/>
    <col min="20" max="20" width="19" style="5" customWidth="1"/>
    <col min="21" max="21" width="12.85546875" style="5" hidden="1" customWidth="1"/>
    <col min="22" max="22" width="11.140625" style="5" hidden="1" customWidth="1"/>
    <col min="23" max="23" width="9.7109375" style="5" hidden="1" customWidth="1"/>
    <col min="24" max="24" width="0" style="5" hidden="1" customWidth="1"/>
    <col min="25" max="25" width="16" style="15" customWidth="1"/>
    <col min="26" max="16384" width="8.7109375" style="5"/>
  </cols>
  <sheetData>
    <row r="1" spans="1:27" ht="26.45" customHeight="1">
      <c r="A1" s="198" t="s">
        <v>15</v>
      </c>
      <c r="B1" s="195" t="s">
        <v>16</v>
      </c>
      <c r="C1" s="199" t="s">
        <v>17</v>
      </c>
      <c r="D1" s="195" t="s">
        <v>18</v>
      </c>
      <c r="E1" s="194" t="s">
        <v>19</v>
      </c>
      <c r="F1" s="194" t="s">
        <v>20</v>
      </c>
      <c r="G1" s="195" t="s">
        <v>21</v>
      </c>
      <c r="H1" s="195"/>
      <c r="I1" s="194" t="s">
        <v>22</v>
      </c>
      <c r="J1" s="194"/>
      <c r="K1" s="195" t="s">
        <v>23</v>
      </c>
      <c r="L1" s="196" t="s">
        <v>24</v>
      </c>
      <c r="M1" s="196"/>
      <c r="N1" s="196"/>
      <c r="O1" s="197" t="s">
        <v>25</v>
      </c>
      <c r="P1" s="197"/>
      <c r="Q1" s="197"/>
      <c r="R1" s="204" t="s">
        <v>26</v>
      </c>
      <c r="S1" s="204"/>
      <c r="T1" s="204"/>
      <c r="U1" s="205" t="s">
        <v>27</v>
      </c>
      <c r="V1" s="206"/>
      <c r="W1" s="202" t="s">
        <v>28</v>
      </c>
      <c r="X1" s="201" t="s">
        <v>29</v>
      </c>
      <c r="Y1" s="201" t="s">
        <v>30</v>
      </c>
    </row>
    <row r="2" spans="1:27" ht="29.25">
      <c r="A2" s="198"/>
      <c r="B2" s="195"/>
      <c r="C2" s="200"/>
      <c r="D2" s="195"/>
      <c r="E2" s="194"/>
      <c r="F2" s="194"/>
      <c r="G2" s="4" t="s">
        <v>31</v>
      </c>
      <c r="H2" s="4" t="s">
        <v>32</v>
      </c>
      <c r="I2" s="4">
        <v>2025</v>
      </c>
      <c r="J2" s="4">
        <v>2026</v>
      </c>
      <c r="K2" s="195"/>
      <c r="L2" s="6" t="s">
        <v>33</v>
      </c>
      <c r="M2" s="6" t="s">
        <v>34</v>
      </c>
      <c r="N2" s="6" t="s">
        <v>35</v>
      </c>
      <c r="O2" s="7" t="s">
        <v>36</v>
      </c>
      <c r="P2" s="7" t="s">
        <v>37</v>
      </c>
      <c r="Q2" s="7" t="s">
        <v>35</v>
      </c>
      <c r="R2" s="8" t="s">
        <v>36</v>
      </c>
      <c r="S2" s="8" t="s">
        <v>37</v>
      </c>
      <c r="T2" s="8" t="s">
        <v>35</v>
      </c>
      <c r="U2" s="9">
        <v>2025</v>
      </c>
      <c r="V2" s="62">
        <v>2026</v>
      </c>
      <c r="W2" s="202"/>
      <c r="X2" s="201"/>
      <c r="Y2" s="201"/>
      <c r="Z2" s="5" t="s">
        <v>38</v>
      </c>
      <c r="AA2" s="5" t="s">
        <v>39</v>
      </c>
    </row>
    <row r="3" spans="1:27" ht="117" customHeight="1">
      <c r="A3" s="203" t="s">
        <v>40</v>
      </c>
      <c r="B3" s="122" t="s">
        <v>41</v>
      </c>
      <c r="C3" s="10"/>
      <c r="D3" s="11" t="s">
        <v>42</v>
      </c>
      <c r="E3" s="11" t="s">
        <v>43</v>
      </c>
      <c r="F3" s="12" t="s">
        <v>44</v>
      </c>
      <c r="G3" s="13">
        <v>0</v>
      </c>
      <c r="H3" s="13">
        <v>2025</v>
      </c>
      <c r="I3" s="13">
        <v>400</v>
      </c>
      <c r="J3" s="13">
        <v>100</v>
      </c>
      <c r="K3" s="13" t="s">
        <v>45</v>
      </c>
      <c r="L3" s="13" t="s">
        <v>46</v>
      </c>
      <c r="M3" s="13" t="s">
        <v>47</v>
      </c>
      <c r="N3" s="137" t="s">
        <v>48</v>
      </c>
      <c r="O3" s="13" t="s">
        <v>46</v>
      </c>
      <c r="P3" s="13" t="s">
        <v>49</v>
      </c>
      <c r="Q3" s="13" t="s">
        <v>50</v>
      </c>
      <c r="R3" s="13" t="s">
        <v>46</v>
      </c>
      <c r="S3" s="59" t="s">
        <v>51</v>
      </c>
      <c r="T3" s="137" t="s">
        <v>52</v>
      </c>
      <c r="U3" s="14">
        <f>133*3</f>
        <v>399</v>
      </c>
      <c r="V3" s="63">
        <f>33*6</f>
        <v>198</v>
      </c>
      <c r="W3" s="61">
        <f>SUM(U3:V3)</f>
        <v>597</v>
      </c>
      <c r="X3" s="71">
        <f>1031+415+133</f>
        <v>1579</v>
      </c>
      <c r="Y3" s="15" t="s">
        <v>53</v>
      </c>
      <c r="Z3" s="5">
        <f>438+85</f>
        <v>523</v>
      </c>
      <c r="AA3" s="5" t="s">
        <v>54</v>
      </c>
    </row>
    <row r="4" spans="1:27" ht="71.25" customHeight="1">
      <c r="A4" s="193"/>
      <c r="B4" s="10" t="s">
        <v>55</v>
      </c>
      <c r="C4" s="10"/>
      <c r="D4" s="11" t="s">
        <v>56</v>
      </c>
      <c r="E4" s="11" t="s">
        <v>43</v>
      </c>
      <c r="F4" s="12" t="s">
        <v>44</v>
      </c>
      <c r="G4" s="13">
        <v>0</v>
      </c>
      <c r="H4" s="13">
        <v>2025</v>
      </c>
      <c r="I4" s="13">
        <v>200</v>
      </c>
      <c r="J4" s="13">
        <v>50</v>
      </c>
      <c r="K4" s="13" t="s">
        <v>57</v>
      </c>
      <c r="L4" s="13" t="s">
        <v>58</v>
      </c>
      <c r="M4" s="13" t="s">
        <v>59</v>
      </c>
      <c r="N4" s="138" t="s">
        <v>60</v>
      </c>
      <c r="O4" s="13" t="s">
        <v>58</v>
      </c>
      <c r="P4" s="13" t="s">
        <v>61</v>
      </c>
      <c r="Q4" s="13" t="s">
        <v>62</v>
      </c>
      <c r="R4" s="13" t="s">
        <v>58</v>
      </c>
      <c r="S4" s="60" t="s">
        <v>63</v>
      </c>
      <c r="T4" s="13" t="s">
        <v>64</v>
      </c>
      <c r="U4" s="14">
        <f>67*3</f>
        <v>201</v>
      </c>
      <c r="V4" s="63">
        <f>16*3</f>
        <v>48</v>
      </c>
      <c r="W4" s="61">
        <f>SUM(U4:V4)</f>
        <v>249</v>
      </c>
      <c r="X4" s="61"/>
      <c r="Y4" s="15" t="s">
        <v>65</v>
      </c>
    </row>
    <row r="5" spans="1:27" ht="74.25" customHeight="1">
      <c r="A5" s="193"/>
      <c r="B5" s="10" t="s">
        <v>66</v>
      </c>
      <c r="C5" s="10"/>
      <c r="D5" s="11" t="s">
        <v>67</v>
      </c>
      <c r="E5" s="11" t="s">
        <v>43</v>
      </c>
      <c r="F5" s="12" t="s">
        <v>44</v>
      </c>
      <c r="G5" s="13">
        <v>0</v>
      </c>
      <c r="H5" s="13">
        <v>2025</v>
      </c>
      <c r="I5" s="13">
        <v>50</v>
      </c>
      <c r="J5" s="13">
        <v>12</v>
      </c>
      <c r="K5" s="13" t="s">
        <v>68</v>
      </c>
      <c r="L5" s="13" t="s">
        <v>69</v>
      </c>
      <c r="M5" s="13" t="s">
        <v>70</v>
      </c>
      <c r="N5" s="13" t="s">
        <v>71</v>
      </c>
      <c r="O5" s="13" t="s">
        <v>69</v>
      </c>
      <c r="P5" s="13" t="s">
        <v>72</v>
      </c>
      <c r="Q5" s="13" t="s">
        <v>73</v>
      </c>
      <c r="R5" s="13" t="s">
        <v>69</v>
      </c>
      <c r="S5" s="60" t="s">
        <v>74</v>
      </c>
      <c r="T5" s="13" t="s">
        <v>75</v>
      </c>
      <c r="U5" s="14">
        <f>21*3</f>
        <v>63</v>
      </c>
      <c r="V5" s="63">
        <v>0</v>
      </c>
      <c r="W5" s="61">
        <f>SUM(U5:V5)</f>
        <v>63</v>
      </c>
      <c r="X5" s="61">
        <f>62+53</f>
        <v>115</v>
      </c>
      <c r="Y5" s="15" t="s">
        <v>76</v>
      </c>
      <c r="Z5" s="5">
        <f>34+37</f>
        <v>71</v>
      </c>
      <c r="AA5" s="5" t="s">
        <v>77</v>
      </c>
    </row>
    <row r="6" spans="1:27" ht="122.25" customHeight="1">
      <c r="A6" s="193"/>
      <c r="B6" s="10" t="s">
        <v>78</v>
      </c>
      <c r="C6" s="10"/>
      <c r="D6" s="11" t="s">
        <v>79</v>
      </c>
      <c r="E6" s="11" t="s">
        <v>43</v>
      </c>
      <c r="F6" s="12" t="s">
        <v>44</v>
      </c>
      <c r="G6" s="13">
        <v>0</v>
      </c>
      <c r="H6" s="13">
        <v>2024</v>
      </c>
      <c r="I6" s="13">
        <v>10</v>
      </c>
      <c r="J6" s="13">
        <v>2</v>
      </c>
      <c r="K6" s="13">
        <v>12</v>
      </c>
      <c r="L6" s="13" t="s">
        <v>80</v>
      </c>
      <c r="M6" s="13" t="s">
        <v>81</v>
      </c>
      <c r="N6" s="13" t="s">
        <v>82</v>
      </c>
      <c r="O6" s="13" t="s">
        <v>80</v>
      </c>
      <c r="P6" s="13" t="s">
        <v>83</v>
      </c>
      <c r="Q6" s="136" t="s">
        <v>84</v>
      </c>
      <c r="R6" s="13" t="s">
        <v>80</v>
      </c>
      <c r="S6" s="59" t="s">
        <v>85</v>
      </c>
      <c r="T6" s="13" t="s">
        <v>86</v>
      </c>
      <c r="U6" s="14">
        <f>4*3</f>
        <v>12</v>
      </c>
      <c r="V6" s="63">
        <v>0</v>
      </c>
      <c r="W6" s="61">
        <f>SUM(U6:V6)</f>
        <v>12</v>
      </c>
      <c r="X6" s="61">
        <v>12</v>
      </c>
      <c r="Y6" s="15" t="s">
        <v>87</v>
      </c>
    </row>
    <row r="7" spans="1:27" ht="66" customHeight="1">
      <c r="A7" s="193"/>
      <c r="B7" s="10" t="s">
        <v>88</v>
      </c>
      <c r="C7" s="10"/>
      <c r="D7" s="11" t="s">
        <v>89</v>
      </c>
      <c r="E7" s="11" t="s">
        <v>43</v>
      </c>
      <c r="F7" s="12" t="s">
        <v>44</v>
      </c>
      <c r="G7" s="13">
        <v>0</v>
      </c>
      <c r="H7" s="13">
        <v>2025</v>
      </c>
      <c r="I7" s="13">
        <v>300</v>
      </c>
      <c r="J7" s="13">
        <v>92</v>
      </c>
      <c r="K7" s="13" t="s">
        <v>90</v>
      </c>
      <c r="L7" s="13" t="s">
        <v>91</v>
      </c>
      <c r="M7" s="13" t="s">
        <v>92</v>
      </c>
      <c r="N7" s="13" t="s">
        <v>93</v>
      </c>
      <c r="O7" s="13" t="s">
        <v>91</v>
      </c>
      <c r="P7" s="13" t="s">
        <v>94</v>
      </c>
      <c r="Q7" s="13" t="s">
        <v>95</v>
      </c>
      <c r="R7" s="13" t="s">
        <v>91</v>
      </c>
      <c r="S7" s="60" t="s">
        <v>96</v>
      </c>
      <c r="T7" s="13" t="s">
        <v>97</v>
      </c>
      <c r="U7" s="14">
        <f>100*3</f>
        <v>300</v>
      </c>
      <c r="V7" s="63">
        <f>31*3</f>
        <v>93</v>
      </c>
      <c r="W7" s="61">
        <f>SUM(U7:V7)</f>
        <v>393</v>
      </c>
      <c r="X7" s="61">
        <v>0</v>
      </c>
      <c r="Y7" s="15">
        <v>1007</v>
      </c>
      <c r="Z7" s="5">
        <v>417</v>
      </c>
      <c r="AA7" s="5" t="s">
        <v>98</v>
      </c>
    </row>
    <row r="8" spans="1:27" ht="67.5" customHeight="1">
      <c r="A8" s="193" t="s">
        <v>99</v>
      </c>
      <c r="B8" s="65" t="s">
        <v>100</v>
      </c>
      <c r="C8" s="65"/>
      <c r="D8" s="72" t="s">
        <v>101</v>
      </c>
      <c r="E8" s="72" t="s">
        <v>43</v>
      </c>
      <c r="F8" s="65" t="s">
        <v>44</v>
      </c>
      <c r="G8" s="73">
        <v>0</v>
      </c>
      <c r="H8" s="73">
        <v>2025</v>
      </c>
      <c r="I8" s="73">
        <v>600</v>
      </c>
      <c r="J8" s="73">
        <v>300</v>
      </c>
      <c r="K8" s="73" t="s">
        <v>102</v>
      </c>
      <c r="L8" s="13" t="s">
        <v>103</v>
      </c>
      <c r="M8" s="13" t="s">
        <v>61</v>
      </c>
      <c r="N8" s="13"/>
      <c r="O8" s="13" t="s">
        <v>103</v>
      </c>
      <c r="P8" s="13" t="s">
        <v>104</v>
      </c>
      <c r="Q8" s="13"/>
      <c r="R8" s="13" t="s">
        <v>103</v>
      </c>
      <c r="S8" s="59" t="s">
        <v>61</v>
      </c>
      <c r="T8" s="13" t="s">
        <v>105</v>
      </c>
      <c r="U8" s="14">
        <f>33*3</f>
        <v>99</v>
      </c>
      <c r="V8" s="63">
        <f>16*3</f>
        <v>48</v>
      </c>
      <c r="W8" s="61">
        <f>SUM(U8:V8)</f>
        <v>147</v>
      </c>
      <c r="X8" s="61">
        <v>0</v>
      </c>
      <c r="Y8" s="15" t="s">
        <v>106</v>
      </c>
    </row>
    <row r="9" spans="1:27" ht="88.5" customHeight="1">
      <c r="A9" s="193"/>
      <c r="B9" s="65" t="s">
        <v>107</v>
      </c>
      <c r="C9" s="65"/>
      <c r="D9" s="72" t="s">
        <v>108</v>
      </c>
      <c r="E9" s="72" t="s">
        <v>43</v>
      </c>
      <c r="F9" s="65" t="s">
        <v>44</v>
      </c>
      <c r="G9" s="73">
        <v>0</v>
      </c>
      <c r="H9" s="73">
        <v>2025</v>
      </c>
      <c r="I9" s="73">
        <v>2000</v>
      </c>
      <c r="J9" s="73">
        <v>700</v>
      </c>
      <c r="K9" s="73" t="s">
        <v>109</v>
      </c>
      <c r="L9" s="13" t="s">
        <v>110</v>
      </c>
      <c r="M9" s="13" t="s">
        <v>111</v>
      </c>
      <c r="N9" s="13" t="s">
        <v>112</v>
      </c>
      <c r="O9" s="13" t="s">
        <v>110</v>
      </c>
      <c r="P9" s="13" t="s">
        <v>113</v>
      </c>
      <c r="Q9" s="13" t="s">
        <v>114</v>
      </c>
      <c r="R9" s="13" t="s">
        <v>110</v>
      </c>
      <c r="S9" s="60" t="s">
        <v>115</v>
      </c>
      <c r="T9" s="13" t="s">
        <v>116</v>
      </c>
      <c r="U9" s="14">
        <f>111*3</f>
        <v>333</v>
      </c>
      <c r="V9" s="63">
        <f>39*3</f>
        <v>117</v>
      </c>
      <c r="W9" s="61">
        <f>SUM(U9:V9)</f>
        <v>450</v>
      </c>
      <c r="X9" s="61">
        <v>0</v>
      </c>
      <c r="Y9" s="15" t="s">
        <v>117</v>
      </c>
      <c r="Z9" s="5" t="s">
        <v>118</v>
      </c>
      <c r="AA9" s="5" t="s">
        <v>119</v>
      </c>
    </row>
    <row r="10" spans="1:27" ht="79.5" customHeight="1">
      <c r="A10" s="193" t="s">
        <v>120</v>
      </c>
      <c r="B10" s="12" t="s">
        <v>121</v>
      </c>
      <c r="C10" s="12"/>
      <c r="D10" s="11" t="s">
        <v>122</v>
      </c>
      <c r="E10" s="11" t="s">
        <v>43</v>
      </c>
      <c r="F10" s="12" t="s">
        <v>44</v>
      </c>
      <c r="G10" s="13">
        <v>0</v>
      </c>
      <c r="H10" s="13">
        <v>2025</v>
      </c>
      <c r="I10" s="13">
        <v>5</v>
      </c>
      <c r="J10" s="13">
        <v>1</v>
      </c>
      <c r="K10" s="13">
        <v>6</v>
      </c>
      <c r="L10" s="13">
        <v>2</v>
      </c>
      <c r="M10" s="13" t="s">
        <v>123</v>
      </c>
      <c r="N10" s="13" t="s">
        <v>124</v>
      </c>
      <c r="O10" s="13" t="s">
        <v>125</v>
      </c>
      <c r="P10" s="13" t="s">
        <v>125</v>
      </c>
      <c r="Q10" s="13" t="s">
        <v>125</v>
      </c>
      <c r="R10" s="13">
        <v>2</v>
      </c>
      <c r="S10" s="60" t="s">
        <v>61</v>
      </c>
      <c r="T10" s="13" t="s">
        <v>126</v>
      </c>
      <c r="U10" s="14">
        <v>2</v>
      </c>
      <c r="V10" s="63">
        <v>2</v>
      </c>
      <c r="W10" s="61">
        <v>4</v>
      </c>
      <c r="X10" s="61">
        <v>1</v>
      </c>
      <c r="Y10" s="15">
        <v>9</v>
      </c>
    </row>
    <row r="11" spans="1:27" ht="93" customHeight="1">
      <c r="A11" s="193"/>
      <c r="B11" s="12" t="s">
        <v>127</v>
      </c>
      <c r="C11" s="12"/>
      <c r="D11" s="11" t="s">
        <v>128</v>
      </c>
      <c r="E11" s="11" t="s">
        <v>43</v>
      </c>
      <c r="F11" s="12" t="s">
        <v>44</v>
      </c>
      <c r="G11" s="13">
        <v>0</v>
      </c>
      <c r="H11" s="13">
        <v>2025</v>
      </c>
      <c r="I11" s="13">
        <v>60</v>
      </c>
      <c r="J11" s="13" t="s">
        <v>129</v>
      </c>
      <c r="K11" s="13" t="s">
        <v>130</v>
      </c>
      <c r="L11" s="13">
        <v>20</v>
      </c>
      <c r="M11" s="13" t="s">
        <v>131</v>
      </c>
      <c r="N11" s="13" t="s">
        <v>132</v>
      </c>
      <c r="O11" s="13" t="s">
        <v>125</v>
      </c>
      <c r="P11" s="13" t="s">
        <v>125</v>
      </c>
      <c r="Q11" s="13" t="s">
        <v>125</v>
      </c>
      <c r="R11" s="13">
        <v>20</v>
      </c>
      <c r="S11" s="59" t="s">
        <v>133</v>
      </c>
      <c r="T11" s="13" t="s">
        <v>134</v>
      </c>
      <c r="U11" s="14">
        <v>30</v>
      </c>
      <c r="V11" s="63">
        <v>10</v>
      </c>
      <c r="W11" s="61">
        <v>40</v>
      </c>
      <c r="X11" s="61">
        <v>20</v>
      </c>
      <c r="Y11" s="15" t="s">
        <v>135</v>
      </c>
    </row>
    <row r="12" spans="1:27" ht="80.25" customHeight="1">
      <c r="A12" s="193"/>
      <c r="B12" s="12" t="s">
        <v>136</v>
      </c>
      <c r="C12" s="12"/>
      <c r="D12" s="11" t="s">
        <v>137</v>
      </c>
      <c r="E12" s="11" t="s">
        <v>43</v>
      </c>
      <c r="F12" s="12" t="s">
        <v>44</v>
      </c>
      <c r="G12" s="13">
        <v>0</v>
      </c>
      <c r="H12" s="13">
        <v>2025</v>
      </c>
      <c r="I12" s="13">
        <v>60</v>
      </c>
      <c r="J12" s="13">
        <v>0</v>
      </c>
      <c r="K12" s="13" t="s">
        <v>138</v>
      </c>
      <c r="L12" s="13">
        <v>20</v>
      </c>
      <c r="M12" s="13" t="s">
        <v>139</v>
      </c>
      <c r="N12" s="13" t="s">
        <v>140</v>
      </c>
      <c r="O12" s="13">
        <v>20</v>
      </c>
      <c r="P12" s="13" t="s">
        <v>141</v>
      </c>
      <c r="Q12" s="13" t="s">
        <v>142</v>
      </c>
      <c r="R12" s="13">
        <v>20</v>
      </c>
      <c r="S12" s="60" t="s">
        <v>143</v>
      </c>
      <c r="T12" s="13" t="s">
        <v>144</v>
      </c>
      <c r="U12" s="14">
        <v>60</v>
      </c>
      <c r="V12" s="63">
        <v>0</v>
      </c>
      <c r="W12" s="61">
        <v>60</v>
      </c>
      <c r="X12" s="61">
        <f>15+30+21</f>
        <v>66</v>
      </c>
      <c r="Y12" s="15" t="s">
        <v>145</v>
      </c>
    </row>
    <row r="13" spans="1:27">
      <c r="A13"/>
      <c r="B13"/>
      <c r="C13"/>
      <c r="D13"/>
      <c r="E13"/>
      <c r="F13"/>
      <c r="G13"/>
      <c r="H13"/>
      <c r="I13"/>
      <c r="J13"/>
      <c r="K13"/>
      <c r="L13" s="15"/>
      <c r="M13" s="15"/>
      <c r="N13" s="15"/>
      <c r="O13" s="15"/>
      <c r="P13" s="15"/>
      <c r="Q13" s="15"/>
      <c r="R13" s="15"/>
      <c r="S13" s="15"/>
      <c r="T13" s="15"/>
    </row>
    <row r="14" spans="1:27">
      <c r="A14"/>
      <c r="B14"/>
      <c r="C14"/>
      <c r="D14"/>
      <c r="E14"/>
      <c r="F14"/>
      <c r="G14"/>
      <c r="H14"/>
      <c r="I14"/>
      <c r="J14"/>
      <c r="K14"/>
    </row>
    <row r="15" spans="1:27"/>
    <row r="19" spans="11:11" ht="15" customHeight="1">
      <c r="K19" s="5">
        <f>SUM(500,62,392,12,392,900)</f>
        <v>2258</v>
      </c>
    </row>
  </sheetData>
  <mergeCells count="19">
    <mergeCell ref="Y1:Y2"/>
    <mergeCell ref="X1:X2"/>
    <mergeCell ref="W1:W2"/>
    <mergeCell ref="A3:A7"/>
    <mergeCell ref="A8:A9"/>
    <mergeCell ref="R1:T1"/>
    <mergeCell ref="U1:V1"/>
    <mergeCell ref="A10:A12"/>
    <mergeCell ref="I1:J1"/>
    <mergeCell ref="K1:K2"/>
    <mergeCell ref="L1:N1"/>
    <mergeCell ref="O1:Q1"/>
    <mergeCell ref="A1:A2"/>
    <mergeCell ref="B1:B2"/>
    <mergeCell ref="D1:D2"/>
    <mergeCell ref="E1:E2"/>
    <mergeCell ref="F1:F2"/>
    <mergeCell ref="G1:H1"/>
    <mergeCell ref="C1:C2"/>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9EF78-34F7-4F63-8067-827707E99FE0}">
  <dimension ref="A2:F7"/>
  <sheetViews>
    <sheetView workbookViewId="0">
      <selection activeCell="C7" sqref="C7"/>
    </sheetView>
  </sheetViews>
  <sheetFormatPr defaultRowHeight="15"/>
  <cols>
    <col min="3" max="3" width="22.140625" customWidth="1"/>
    <col min="6" max="6" width="23" customWidth="1"/>
  </cols>
  <sheetData>
    <row r="2" spans="1:6">
      <c r="A2" t="s">
        <v>146</v>
      </c>
      <c r="B2" t="s">
        <v>147</v>
      </c>
      <c r="C2" t="s">
        <v>148</v>
      </c>
    </row>
    <row r="3" spans="1:6">
      <c r="A3" t="s">
        <v>149</v>
      </c>
      <c r="B3" t="s">
        <v>150</v>
      </c>
      <c r="C3" t="s">
        <v>151</v>
      </c>
      <c r="F3" t="s">
        <v>152</v>
      </c>
    </row>
    <row r="4" spans="1:6">
      <c r="C4" t="s">
        <v>153</v>
      </c>
      <c r="F4" t="s">
        <v>154</v>
      </c>
    </row>
    <row r="5" spans="1:6">
      <c r="C5" t="s">
        <v>155</v>
      </c>
    </row>
    <row r="6" spans="1:6">
      <c r="C6" t="s">
        <v>156</v>
      </c>
    </row>
    <row r="7" spans="1:6">
      <c r="C7"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A3885-2101-4EFB-BD51-6DF3AF03558B}">
  <dimension ref="A1:E25"/>
  <sheetViews>
    <sheetView workbookViewId="0">
      <pane ySplit="1" topLeftCell="B23" activePane="bottomLeft" state="frozen"/>
      <selection pane="bottomLeft" activeCell="C24" sqref="C24"/>
    </sheetView>
  </sheetViews>
  <sheetFormatPr defaultRowHeight="15"/>
  <cols>
    <col min="1" max="1" width="27.5703125" customWidth="1"/>
    <col min="2" max="2" width="55.85546875" customWidth="1"/>
    <col min="3" max="3" width="53.7109375" customWidth="1"/>
    <col min="4" max="4" width="50.85546875" customWidth="1"/>
    <col min="5" max="5" width="30.5703125" customWidth="1"/>
  </cols>
  <sheetData>
    <row r="1" spans="1:5" ht="15" customHeight="1">
      <c r="A1" s="20" t="s">
        <v>158</v>
      </c>
      <c r="B1" s="17" t="s">
        <v>24</v>
      </c>
      <c r="C1" s="18" t="s">
        <v>25</v>
      </c>
      <c r="D1" s="19" t="s">
        <v>26</v>
      </c>
      <c r="E1" t="s">
        <v>159</v>
      </c>
    </row>
    <row r="2" spans="1:5" ht="390">
      <c r="A2" t="s">
        <v>160</v>
      </c>
      <c r="B2" s="21" t="s">
        <v>161</v>
      </c>
      <c r="C2" s="22" t="s">
        <v>162</v>
      </c>
      <c r="D2" s="21" t="s">
        <v>163</v>
      </c>
    </row>
    <row r="3" spans="1:5" ht="201.75">
      <c r="A3" t="s">
        <v>164</v>
      </c>
      <c r="B3" s="23" t="s">
        <v>165</v>
      </c>
      <c r="C3" s="23" t="s">
        <v>165</v>
      </c>
      <c r="D3" s="21" t="s">
        <v>166</v>
      </c>
    </row>
    <row r="4" spans="1:5" ht="201.75">
      <c r="A4" t="s">
        <v>167</v>
      </c>
      <c r="B4" s="64" t="s">
        <v>168</v>
      </c>
      <c r="C4" s="64" t="s">
        <v>169</v>
      </c>
      <c r="D4" s="21" t="s">
        <v>170</v>
      </c>
    </row>
    <row r="5" spans="1:5" ht="189.75" customHeight="1">
      <c r="A5" t="s">
        <v>171</v>
      </c>
      <c r="B5" s="64" t="s">
        <v>172</v>
      </c>
      <c r="C5" s="64" t="s">
        <v>173</v>
      </c>
      <c r="D5" s="21" t="s">
        <v>174</v>
      </c>
    </row>
    <row r="6" spans="1:5" ht="271.5" customHeight="1">
      <c r="A6" t="s">
        <v>175</v>
      </c>
      <c r="B6" s="21" t="s">
        <v>176</v>
      </c>
      <c r="C6" s="21" t="s">
        <v>177</v>
      </c>
      <c r="D6" s="21" t="s">
        <v>178</v>
      </c>
    </row>
    <row r="7" spans="1:5" ht="183.75" customHeight="1">
      <c r="A7" t="s">
        <v>179</v>
      </c>
      <c r="B7" s="67" t="s">
        <v>180</v>
      </c>
      <c r="C7" s="21" t="s">
        <v>181</v>
      </c>
      <c r="D7" s="21" t="s">
        <v>182</v>
      </c>
    </row>
    <row r="8" spans="1:5" ht="186.75" customHeight="1">
      <c r="A8" t="s">
        <v>183</v>
      </c>
      <c r="B8" s="21" t="s">
        <v>184</v>
      </c>
      <c r="C8" s="22" t="s">
        <v>185</v>
      </c>
      <c r="D8" s="21" t="s">
        <v>186</v>
      </c>
    </row>
    <row r="9" spans="1:5" ht="409.6">
      <c r="A9" t="s">
        <v>187</v>
      </c>
      <c r="B9" s="23" t="s">
        <v>188</v>
      </c>
      <c r="C9" s="21" t="s">
        <v>189</v>
      </c>
      <c r="D9" s="66" t="s">
        <v>190</v>
      </c>
    </row>
    <row r="10" spans="1:5" ht="144.75">
      <c r="A10" t="s">
        <v>191</v>
      </c>
      <c r="B10" s="21" t="s">
        <v>192</v>
      </c>
      <c r="C10" s="23" t="s">
        <v>188</v>
      </c>
      <c r="D10" s="23" t="s">
        <v>188</v>
      </c>
    </row>
    <row r="11" spans="1:5">
      <c r="A11" s="68"/>
      <c r="B11" s="69"/>
      <c r="C11" s="70"/>
      <c r="D11" s="70"/>
    </row>
    <row r="12" spans="1:5" ht="115.5">
      <c r="A12" t="s">
        <v>193</v>
      </c>
      <c r="B12" s="23" t="s">
        <v>188</v>
      </c>
      <c r="C12" s="23" t="s">
        <v>188</v>
      </c>
      <c r="D12" s="21" t="s">
        <v>194</v>
      </c>
    </row>
    <row r="13" spans="1:5" ht="87">
      <c r="A13" t="s">
        <v>195</v>
      </c>
      <c r="B13" s="21" t="s">
        <v>196</v>
      </c>
      <c r="C13" s="21" t="s">
        <v>197</v>
      </c>
    </row>
    <row r="14" spans="1:5" ht="409.6">
      <c r="A14" t="s">
        <v>198</v>
      </c>
      <c r="B14" s="21" t="s">
        <v>199</v>
      </c>
      <c r="C14" s="21" t="s">
        <v>200</v>
      </c>
      <c r="D14" s="21" t="s">
        <v>201</v>
      </c>
    </row>
    <row r="15" spans="1:5" ht="144.75">
      <c r="A15" t="s">
        <v>202</v>
      </c>
      <c r="B15" s="21" t="s">
        <v>203</v>
      </c>
      <c r="C15" s="21" t="s">
        <v>204</v>
      </c>
      <c r="D15" s="21" t="s">
        <v>205</v>
      </c>
    </row>
    <row r="16" spans="1:5">
      <c r="A16" s="68"/>
      <c r="B16" s="68"/>
      <c r="C16" s="68"/>
      <c r="D16" s="68"/>
    </row>
    <row r="17" spans="1:5" ht="72.75">
      <c r="A17" t="s">
        <v>206</v>
      </c>
      <c r="B17" s="21" t="s">
        <v>207</v>
      </c>
      <c r="C17" s="23" t="s">
        <v>188</v>
      </c>
      <c r="D17" s="21" t="s">
        <v>208</v>
      </c>
    </row>
    <row r="18" spans="1:5" ht="57.75">
      <c r="A18" t="s">
        <v>209</v>
      </c>
      <c r="B18" s="21" t="s">
        <v>210</v>
      </c>
      <c r="C18" s="23" t="s">
        <v>188</v>
      </c>
      <c r="D18" s="21" t="s">
        <v>211</v>
      </c>
    </row>
    <row r="19" spans="1:5" ht="245.25">
      <c r="A19" t="s">
        <v>212</v>
      </c>
      <c r="B19" s="21" t="s">
        <v>213</v>
      </c>
      <c r="C19" s="21" t="s">
        <v>214</v>
      </c>
      <c r="D19" s="21" t="s">
        <v>215</v>
      </c>
    </row>
    <row r="20" spans="1:5">
      <c r="A20" t="s">
        <v>216</v>
      </c>
    </row>
    <row r="21" spans="1:5">
      <c r="A21" s="68"/>
      <c r="B21" s="68"/>
      <c r="C21" s="68"/>
      <c r="D21" s="68"/>
      <c r="E21" s="68"/>
    </row>
    <row r="22" spans="1:5" ht="188.25">
      <c r="A22" t="s">
        <v>217</v>
      </c>
      <c r="B22" s="67" t="s">
        <v>218</v>
      </c>
      <c r="D22" s="67" t="s">
        <v>219</v>
      </c>
      <c r="E22" s="21" t="s">
        <v>220</v>
      </c>
    </row>
    <row r="23" spans="1:5" ht="390">
      <c r="A23" t="s">
        <v>221</v>
      </c>
      <c r="B23" s="21" t="s">
        <v>222</v>
      </c>
      <c r="C23" s="21" t="s">
        <v>223</v>
      </c>
      <c r="D23" s="21" t="s">
        <v>224</v>
      </c>
    </row>
    <row r="24" spans="1:5" ht="57.75">
      <c r="A24" t="s">
        <v>225</v>
      </c>
      <c r="B24" s="21" t="s">
        <v>226</v>
      </c>
      <c r="D24" s="21" t="s">
        <v>227</v>
      </c>
    </row>
    <row r="25" spans="1:5">
      <c r="A25" t="s">
        <v>228</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69D22-6E6F-4080-863F-F2FAAB66F3AF}">
  <dimension ref="A1:R5"/>
  <sheetViews>
    <sheetView topLeftCell="A5" workbookViewId="0">
      <selection activeCell="F5" sqref="F5"/>
    </sheetView>
  </sheetViews>
  <sheetFormatPr defaultRowHeight="15"/>
  <cols>
    <col min="1" max="1" width="22" customWidth="1"/>
    <col min="2" max="2" width="20.140625" customWidth="1"/>
    <col min="3" max="3" width="14.7109375" customWidth="1"/>
    <col min="4" max="4" width="29.5703125" customWidth="1"/>
    <col min="5" max="5" width="18" customWidth="1"/>
    <col min="6" max="6" width="24.7109375" customWidth="1"/>
    <col min="7" max="7" width="20.42578125" customWidth="1"/>
    <col min="8" max="8" width="19.140625" customWidth="1"/>
    <col min="9" max="9" width="32.42578125" customWidth="1"/>
    <col min="10" max="10" width="23.140625" customWidth="1"/>
    <col min="11" max="11" width="16.7109375" customWidth="1"/>
    <col min="12" max="12" width="17.85546875" customWidth="1"/>
    <col min="13" max="13" width="15.5703125" customWidth="1"/>
    <col min="14" max="14" width="23.85546875" customWidth="1"/>
    <col min="15" max="15" width="23" customWidth="1"/>
    <col min="16" max="16" width="16" customWidth="1"/>
  </cols>
  <sheetData>
    <row r="1" spans="1:18" ht="46.5" customHeight="1">
      <c r="A1" s="25" t="s">
        <v>229</v>
      </c>
      <c r="B1" s="213" t="s">
        <v>230</v>
      </c>
      <c r="C1" s="214" t="s">
        <v>231</v>
      </c>
      <c r="D1" s="214" t="s">
        <v>232</v>
      </c>
      <c r="E1" s="214" t="s">
        <v>233</v>
      </c>
      <c r="F1" s="215" t="s">
        <v>234</v>
      </c>
      <c r="G1" s="216"/>
      <c r="H1" s="216"/>
      <c r="I1" s="216"/>
      <c r="J1" s="217" t="s">
        <v>235</v>
      </c>
      <c r="K1" s="219" t="s">
        <v>236</v>
      </c>
      <c r="L1" s="217" t="s">
        <v>237</v>
      </c>
      <c r="M1" s="219" t="s">
        <v>238</v>
      </c>
      <c r="N1" s="217" t="s">
        <v>239</v>
      </c>
      <c r="O1" s="221" t="s">
        <v>240</v>
      </c>
      <c r="P1" s="211" t="s">
        <v>241</v>
      </c>
      <c r="Q1" s="24"/>
      <c r="R1" s="24"/>
    </row>
    <row r="2" spans="1:18" ht="96.75" customHeight="1">
      <c r="A2" s="25" t="s">
        <v>242</v>
      </c>
      <c r="B2" s="213"/>
      <c r="C2" s="214"/>
      <c r="D2" s="214"/>
      <c r="E2" s="214"/>
      <c r="F2" s="26" t="s">
        <v>243</v>
      </c>
      <c r="G2" s="27" t="s">
        <v>244</v>
      </c>
      <c r="H2" s="27" t="s">
        <v>245</v>
      </c>
      <c r="I2" s="28" t="s">
        <v>246</v>
      </c>
      <c r="J2" s="218"/>
      <c r="K2" s="220"/>
      <c r="L2" s="218"/>
      <c r="M2" s="220"/>
      <c r="N2" s="218"/>
      <c r="O2" s="222"/>
      <c r="P2" s="212"/>
      <c r="Q2" s="24"/>
      <c r="R2" s="24"/>
    </row>
    <row r="3" spans="1:18" ht="21">
      <c r="A3" s="207" t="s">
        <v>247</v>
      </c>
      <c r="B3" s="209" t="s">
        <v>248</v>
      </c>
      <c r="C3" s="207" t="s">
        <v>249</v>
      </c>
      <c r="D3" s="207" t="s">
        <v>250</v>
      </c>
      <c r="E3" s="207"/>
      <c r="F3" s="45" t="s">
        <v>251</v>
      </c>
      <c r="G3" s="46">
        <v>45870</v>
      </c>
      <c r="H3" s="47" t="s">
        <v>252</v>
      </c>
      <c r="I3" s="48" t="s">
        <v>253</v>
      </c>
      <c r="J3" s="29"/>
      <c r="K3" s="30"/>
      <c r="L3" s="31"/>
      <c r="M3" s="30"/>
      <c r="N3" s="31"/>
      <c r="O3" s="32"/>
      <c r="P3" s="33"/>
      <c r="Q3" s="24"/>
      <c r="R3" s="24"/>
    </row>
    <row r="4" spans="1:18" ht="92.25" customHeight="1">
      <c r="A4" s="208"/>
      <c r="B4" s="210"/>
      <c r="C4" s="208"/>
      <c r="D4" s="208"/>
      <c r="E4" s="208"/>
      <c r="F4" s="45" t="s">
        <v>254</v>
      </c>
      <c r="G4" s="46">
        <v>45992</v>
      </c>
      <c r="H4" s="49" t="s">
        <v>255</v>
      </c>
      <c r="I4" s="50" t="s">
        <v>256</v>
      </c>
      <c r="J4" s="52"/>
      <c r="K4" s="30"/>
      <c r="L4" s="54"/>
      <c r="M4" s="30"/>
      <c r="N4" s="31"/>
      <c r="O4" s="34"/>
      <c r="P4" s="33"/>
      <c r="Q4" s="24"/>
      <c r="R4" s="24"/>
    </row>
    <row r="5" spans="1:18" ht="92.25" customHeight="1">
      <c r="A5" s="36">
        <v>48</v>
      </c>
      <c r="B5" s="36" t="s">
        <v>257</v>
      </c>
      <c r="C5" s="37" t="s">
        <v>258</v>
      </c>
      <c r="D5" s="38" t="s">
        <v>259</v>
      </c>
      <c r="E5" s="39">
        <v>1000000</v>
      </c>
      <c r="F5" s="40"/>
      <c r="G5" s="41"/>
      <c r="H5" s="41"/>
      <c r="I5" s="51"/>
      <c r="J5" s="55">
        <f>311.6/1000</f>
        <v>0.31160000000000004</v>
      </c>
      <c r="K5" s="56"/>
      <c r="L5" s="57">
        <f>155112.77/1000000</f>
        <v>0.15511276999999998</v>
      </c>
      <c r="M5" s="53"/>
      <c r="N5" s="58">
        <v>1003483</v>
      </c>
      <c r="O5" s="42" t="s">
        <v>260</v>
      </c>
      <c r="P5" s="43" t="s">
        <v>261</v>
      </c>
      <c r="Q5" s="44"/>
      <c r="R5" s="35"/>
    </row>
  </sheetData>
  <mergeCells count="17">
    <mergeCell ref="P1:P2"/>
    <mergeCell ref="B1:B2"/>
    <mergeCell ref="C1:C2"/>
    <mergeCell ref="D1:D2"/>
    <mergeCell ref="E1:E2"/>
    <mergeCell ref="F1:I1"/>
    <mergeCell ref="J1:J2"/>
    <mergeCell ref="K1:K2"/>
    <mergeCell ref="L1:L2"/>
    <mergeCell ref="M1:M2"/>
    <mergeCell ref="N1:N2"/>
    <mergeCell ref="O1:O2"/>
    <mergeCell ref="A3:A4"/>
    <mergeCell ref="B3:B4"/>
    <mergeCell ref="C3:C4"/>
    <mergeCell ref="D3:D4"/>
    <mergeCell ref="E3:E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0A034-E584-4714-9073-75DD95399D94}">
  <dimension ref="A1:P56"/>
  <sheetViews>
    <sheetView workbookViewId="0">
      <selection activeCell="G4" sqref="G4"/>
    </sheetView>
  </sheetViews>
  <sheetFormatPr defaultRowHeight="15"/>
  <cols>
    <col min="3" max="3" width="11.140625" customWidth="1"/>
    <col min="4" max="4" width="12.5703125" customWidth="1"/>
    <col min="10" max="10" width="11.140625" customWidth="1"/>
    <col min="11" max="11" width="11.28515625" customWidth="1"/>
    <col min="14" max="14" width="11.42578125" customWidth="1"/>
  </cols>
  <sheetData>
    <row r="1" spans="1:16" ht="15" customHeight="1">
      <c r="A1" s="223" t="s">
        <v>261</v>
      </c>
      <c r="B1" s="224"/>
      <c r="C1" s="74" t="s">
        <v>261</v>
      </c>
      <c r="D1" s="225" t="s">
        <v>262</v>
      </c>
      <c r="E1" s="75" t="s">
        <v>33</v>
      </c>
      <c r="F1" s="75" t="s">
        <v>263</v>
      </c>
      <c r="G1" s="76" t="s">
        <v>261</v>
      </c>
      <c r="H1" s="227" t="s">
        <v>264</v>
      </c>
      <c r="I1" s="227"/>
      <c r="J1" s="227"/>
      <c r="K1" s="74" t="s">
        <v>261</v>
      </c>
      <c r="L1" s="228" t="s">
        <v>265</v>
      </c>
      <c r="M1" s="228"/>
      <c r="N1" s="230" t="s">
        <v>266</v>
      </c>
      <c r="O1" s="232" t="s">
        <v>267</v>
      </c>
      <c r="P1" s="79"/>
    </row>
    <row r="2" spans="1:16" ht="15" customHeight="1">
      <c r="A2" s="234" t="s">
        <v>261</v>
      </c>
      <c r="B2" s="235"/>
      <c r="C2" s="77" t="s">
        <v>268</v>
      </c>
      <c r="D2" s="226"/>
      <c r="E2" s="78" t="s">
        <v>269</v>
      </c>
      <c r="F2" s="78" t="s">
        <v>270</v>
      </c>
      <c r="G2" s="236" t="s">
        <v>261</v>
      </c>
      <c r="H2" s="228" t="s">
        <v>271</v>
      </c>
      <c r="I2" s="228"/>
      <c r="J2" s="228"/>
      <c r="K2" s="77" t="s">
        <v>261</v>
      </c>
      <c r="L2" s="229"/>
      <c r="M2" s="229"/>
      <c r="N2" s="231"/>
      <c r="O2" s="233"/>
      <c r="P2" s="79"/>
    </row>
    <row r="3" spans="1:16">
      <c r="A3" s="238" t="s">
        <v>272</v>
      </c>
      <c r="B3" s="239"/>
      <c r="C3" s="77" t="s">
        <v>261</v>
      </c>
      <c r="D3" s="226"/>
      <c r="E3" s="80" t="s">
        <v>261</v>
      </c>
      <c r="F3" s="80" t="s">
        <v>261</v>
      </c>
      <c r="G3" s="237"/>
      <c r="H3" s="248" t="s">
        <v>273</v>
      </c>
      <c r="I3" s="248"/>
      <c r="J3" s="248"/>
      <c r="K3" s="77" t="s">
        <v>274</v>
      </c>
      <c r="L3" s="229"/>
      <c r="M3" s="229"/>
      <c r="N3" s="231"/>
      <c r="O3" s="233"/>
      <c r="P3" s="79"/>
    </row>
    <row r="4" spans="1:16">
      <c r="A4" s="249" t="s">
        <v>261</v>
      </c>
      <c r="B4" s="250"/>
      <c r="C4" s="81" t="s">
        <v>261</v>
      </c>
      <c r="D4" s="226"/>
      <c r="E4" s="80" t="s">
        <v>261</v>
      </c>
      <c r="F4" s="80" t="s">
        <v>261</v>
      </c>
      <c r="G4" s="77" t="s">
        <v>261</v>
      </c>
      <c r="H4" s="228" t="s">
        <v>275</v>
      </c>
      <c r="I4" s="251"/>
      <c r="J4" s="77" t="s">
        <v>276</v>
      </c>
      <c r="K4" s="81" t="s">
        <v>261</v>
      </c>
      <c r="L4" s="229"/>
      <c r="M4" s="229"/>
      <c r="N4" s="231"/>
      <c r="O4" s="233"/>
      <c r="P4" s="79"/>
    </row>
    <row r="5" spans="1:16">
      <c r="A5" s="252" t="s">
        <v>277</v>
      </c>
      <c r="B5" s="240" t="s">
        <v>278</v>
      </c>
      <c r="C5" s="241"/>
      <c r="D5" s="244">
        <v>123842</v>
      </c>
      <c r="E5" s="246">
        <v>500</v>
      </c>
      <c r="F5" s="246">
        <v>719</v>
      </c>
      <c r="G5" s="253">
        <v>24900</v>
      </c>
      <c r="H5" s="254">
        <v>27000</v>
      </c>
      <c r="I5" s="255"/>
      <c r="J5" s="253">
        <v>23373</v>
      </c>
      <c r="K5" s="247" t="s">
        <v>279</v>
      </c>
      <c r="L5" s="263">
        <v>75273</v>
      </c>
      <c r="M5" s="241"/>
      <c r="N5" s="260">
        <v>48569</v>
      </c>
      <c r="O5" s="262">
        <v>0.61</v>
      </c>
      <c r="P5" s="79"/>
    </row>
    <row r="6" spans="1:16">
      <c r="A6" s="252"/>
      <c r="B6" s="242"/>
      <c r="C6" s="243"/>
      <c r="D6" s="245"/>
      <c r="E6" s="246"/>
      <c r="F6" s="246"/>
      <c r="G6" s="247"/>
      <c r="H6" s="247"/>
      <c r="I6" s="256"/>
      <c r="J6" s="247"/>
      <c r="K6" s="247"/>
      <c r="L6" s="242"/>
      <c r="M6" s="243"/>
      <c r="N6" s="261"/>
      <c r="O6" s="246"/>
      <c r="P6" s="79"/>
    </row>
    <row r="7" spans="1:16">
      <c r="A7" s="252"/>
      <c r="B7" s="242"/>
      <c r="C7" s="243"/>
      <c r="D7" s="245"/>
      <c r="E7" s="246"/>
      <c r="F7" s="246"/>
      <c r="G7" s="247"/>
      <c r="H7" s="247"/>
      <c r="I7" s="256"/>
      <c r="J7" s="247"/>
      <c r="K7" s="247"/>
      <c r="L7" s="242"/>
      <c r="M7" s="243"/>
      <c r="N7" s="261"/>
      <c r="O7" s="246"/>
      <c r="P7" s="79"/>
    </row>
    <row r="8" spans="1:16">
      <c r="A8" s="83" t="s">
        <v>261</v>
      </c>
      <c r="B8" s="240" t="s">
        <v>280</v>
      </c>
      <c r="C8" s="241"/>
      <c r="D8" s="244">
        <v>130000</v>
      </c>
      <c r="E8" s="246">
        <v>250</v>
      </c>
      <c r="F8" s="246">
        <v>400</v>
      </c>
      <c r="G8" s="247">
        <v>0</v>
      </c>
      <c r="H8" s="257">
        <v>0</v>
      </c>
      <c r="I8" s="255"/>
      <c r="J8" s="247">
        <v>0</v>
      </c>
      <c r="K8" s="258">
        <v>88927.2</v>
      </c>
      <c r="L8" s="259">
        <v>88927.2</v>
      </c>
      <c r="M8" s="241"/>
      <c r="N8" s="260">
        <v>41072</v>
      </c>
      <c r="O8" s="262">
        <v>0.68</v>
      </c>
      <c r="P8" s="79"/>
    </row>
    <row r="9" spans="1:16">
      <c r="A9" s="83" t="s">
        <v>261</v>
      </c>
      <c r="B9" s="242"/>
      <c r="C9" s="243"/>
      <c r="D9" s="245"/>
      <c r="E9" s="246"/>
      <c r="F9" s="246"/>
      <c r="G9" s="247"/>
      <c r="H9" s="247"/>
      <c r="I9" s="256"/>
      <c r="J9" s="247"/>
      <c r="K9" s="247"/>
      <c r="L9" s="242"/>
      <c r="M9" s="243"/>
      <c r="N9" s="261"/>
      <c r="O9" s="246"/>
      <c r="P9" s="79"/>
    </row>
    <row r="10" spans="1:16">
      <c r="A10" s="83" t="s">
        <v>261</v>
      </c>
      <c r="B10" s="242"/>
      <c r="C10" s="243"/>
      <c r="D10" s="245"/>
      <c r="E10" s="246"/>
      <c r="F10" s="246"/>
      <c r="G10" s="247"/>
      <c r="H10" s="247"/>
      <c r="I10" s="256"/>
      <c r="J10" s="247"/>
      <c r="K10" s="247"/>
      <c r="L10" s="242"/>
      <c r="M10" s="243"/>
      <c r="N10" s="261"/>
      <c r="O10" s="246"/>
      <c r="P10" s="79"/>
    </row>
    <row r="11" spans="1:16">
      <c r="A11" s="83" t="s">
        <v>261</v>
      </c>
      <c r="B11" s="242"/>
      <c r="C11" s="243"/>
      <c r="D11" s="245"/>
      <c r="E11" s="246"/>
      <c r="F11" s="246"/>
      <c r="G11" s="247"/>
      <c r="H11" s="247"/>
      <c r="I11" s="256"/>
      <c r="J11" s="247"/>
      <c r="K11" s="247"/>
      <c r="L11" s="242"/>
      <c r="M11" s="243"/>
      <c r="N11" s="261"/>
      <c r="O11" s="246"/>
      <c r="P11" s="79"/>
    </row>
    <row r="12" spans="1:16">
      <c r="A12" s="83" t="s">
        <v>261</v>
      </c>
      <c r="B12" s="242"/>
      <c r="C12" s="243"/>
      <c r="D12" s="245"/>
      <c r="E12" s="246"/>
      <c r="F12" s="246"/>
      <c r="G12" s="247"/>
      <c r="H12" s="247"/>
      <c r="I12" s="256"/>
      <c r="J12" s="247"/>
      <c r="K12" s="247"/>
      <c r="L12" s="242"/>
      <c r="M12" s="243"/>
      <c r="N12" s="261"/>
      <c r="O12" s="246"/>
      <c r="P12" s="79"/>
    </row>
    <row r="13" spans="1:16">
      <c r="A13" s="83" t="s">
        <v>261</v>
      </c>
      <c r="B13" s="242"/>
      <c r="C13" s="243"/>
      <c r="D13" s="245"/>
      <c r="E13" s="246"/>
      <c r="F13" s="246"/>
      <c r="G13" s="247"/>
      <c r="H13" s="247"/>
      <c r="I13" s="256"/>
      <c r="J13" s="247"/>
      <c r="K13" s="247"/>
      <c r="L13" s="242"/>
      <c r="M13" s="243"/>
      <c r="N13" s="261"/>
      <c r="O13" s="246"/>
      <c r="P13" s="79"/>
    </row>
    <row r="14" spans="1:16">
      <c r="A14" s="83" t="s">
        <v>261</v>
      </c>
      <c r="B14" s="240" t="s">
        <v>281</v>
      </c>
      <c r="C14" s="241"/>
      <c r="D14" s="268">
        <v>75000</v>
      </c>
      <c r="E14" s="246">
        <v>62</v>
      </c>
      <c r="F14" s="246">
        <v>145</v>
      </c>
      <c r="G14" s="253">
        <v>18700</v>
      </c>
      <c r="H14" s="254">
        <v>24660</v>
      </c>
      <c r="I14" s="255"/>
      <c r="J14" s="253">
        <v>26880</v>
      </c>
      <c r="K14" s="247" t="s">
        <v>279</v>
      </c>
      <c r="L14" s="263">
        <v>70240</v>
      </c>
      <c r="M14" s="241"/>
      <c r="N14" s="260">
        <v>4670</v>
      </c>
      <c r="O14" s="262">
        <v>0.94</v>
      </c>
      <c r="P14" s="79"/>
    </row>
    <row r="15" spans="1:16">
      <c r="A15" s="83" t="s">
        <v>261</v>
      </c>
      <c r="B15" s="242"/>
      <c r="C15" s="243"/>
      <c r="D15" s="269"/>
      <c r="E15" s="246"/>
      <c r="F15" s="246"/>
      <c r="G15" s="247"/>
      <c r="H15" s="247"/>
      <c r="I15" s="256"/>
      <c r="J15" s="247"/>
      <c r="K15" s="247"/>
      <c r="L15" s="242"/>
      <c r="M15" s="243"/>
      <c r="N15" s="261"/>
      <c r="O15" s="246"/>
      <c r="P15" s="79"/>
    </row>
    <row r="16" spans="1:16">
      <c r="A16" s="83" t="s">
        <v>261</v>
      </c>
      <c r="B16" s="242"/>
      <c r="C16" s="243"/>
      <c r="D16" s="269"/>
      <c r="E16" s="246"/>
      <c r="F16" s="246"/>
      <c r="G16" s="247"/>
      <c r="H16" s="247"/>
      <c r="I16" s="256"/>
      <c r="J16" s="247"/>
      <c r="K16" s="247"/>
      <c r="L16" s="242"/>
      <c r="M16" s="243"/>
      <c r="N16" s="261"/>
      <c r="O16" s="246"/>
      <c r="P16" s="79"/>
    </row>
    <row r="17" spans="1:16">
      <c r="A17" s="83" t="s">
        <v>261</v>
      </c>
      <c r="B17" s="242"/>
      <c r="C17" s="243"/>
      <c r="D17" s="269"/>
      <c r="E17" s="246"/>
      <c r="F17" s="246"/>
      <c r="G17" s="247"/>
      <c r="H17" s="247"/>
      <c r="I17" s="256"/>
      <c r="J17" s="247"/>
      <c r="K17" s="247"/>
      <c r="L17" s="242"/>
      <c r="M17" s="243"/>
      <c r="N17" s="261"/>
      <c r="O17" s="246"/>
      <c r="P17" s="79"/>
    </row>
    <row r="18" spans="1:16">
      <c r="A18" s="83" t="s">
        <v>261</v>
      </c>
      <c r="B18" s="242"/>
      <c r="C18" s="243"/>
      <c r="D18" s="269"/>
      <c r="E18" s="246"/>
      <c r="F18" s="246"/>
      <c r="G18" s="247"/>
      <c r="H18" s="247"/>
      <c r="I18" s="256"/>
      <c r="J18" s="247"/>
      <c r="K18" s="247"/>
      <c r="L18" s="242"/>
      <c r="M18" s="243"/>
      <c r="N18" s="261"/>
      <c r="O18" s="246"/>
      <c r="P18" s="79"/>
    </row>
    <row r="19" spans="1:16">
      <c r="A19" s="83" t="s">
        <v>261</v>
      </c>
      <c r="B19" s="242"/>
      <c r="C19" s="243"/>
      <c r="D19" s="269"/>
      <c r="E19" s="246"/>
      <c r="F19" s="246"/>
      <c r="G19" s="247"/>
      <c r="H19" s="247"/>
      <c r="I19" s="256"/>
      <c r="J19" s="247"/>
      <c r="K19" s="247"/>
      <c r="L19" s="242"/>
      <c r="M19" s="243"/>
      <c r="N19" s="261"/>
      <c r="O19" s="246"/>
      <c r="P19" s="79"/>
    </row>
    <row r="20" spans="1:16">
      <c r="A20" s="83" t="s">
        <v>261</v>
      </c>
      <c r="B20" s="242"/>
      <c r="C20" s="243"/>
      <c r="D20" s="269"/>
      <c r="E20" s="246"/>
      <c r="F20" s="246"/>
      <c r="G20" s="247"/>
      <c r="H20" s="247"/>
      <c r="I20" s="256"/>
      <c r="J20" s="247"/>
      <c r="K20" s="247"/>
      <c r="L20" s="242"/>
      <c r="M20" s="243"/>
      <c r="N20" s="261"/>
      <c r="O20" s="246"/>
      <c r="P20" s="79"/>
    </row>
    <row r="21" spans="1:16">
      <c r="A21" s="83" t="s">
        <v>261</v>
      </c>
      <c r="B21" s="240" t="s">
        <v>282</v>
      </c>
      <c r="C21" s="241"/>
      <c r="D21" s="244">
        <v>60000</v>
      </c>
      <c r="E21" s="246">
        <v>20</v>
      </c>
      <c r="F21" s="246">
        <v>22</v>
      </c>
      <c r="G21" s="253">
        <v>35375</v>
      </c>
      <c r="H21" s="254">
        <v>20000</v>
      </c>
      <c r="I21" s="255"/>
      <c r="J21" s="253">
        <v>33648</v>
      </c>
      <c r="K21" s="247" t="s">
        <v>279</v>
      </c>
      <c r="L21" s="263">
        <v>89023</v>
      </c>
      <c r="M21" s="241"/>
      <c r="N21" s="271">
        <v>-29018</v>
      </c>
      <c r="O21" s="273">
        <v>1.48</v>
      </c>
      <c r="P21" s="79"/>
    </row>
    <row r="22" spans="1:16">
      <c r="A22" s="83" t="s">
        <v>261</v>
      </c>
      <c r="B22" s="242"/>
      <c r="C22" s="243"/>
      <c r="D22" s="245"/>
      <c r="E22" s="246"/>
      <c r="F22" s="246"/>
      <c r="G22" s="247"/>
      <c r="H22" s="247"/>
      <c r="I22" s="256"/>
      <c r="J22" s="247"/>
      <c r="K22" s="247"/>
      <c r="L22" s="242"/>
      <c r="M22" s="243"/>
      <c r="N22" s="272"/>
      <c r="O22" s="274"/>
      <c r="P22" s="79"/>
    </row>
    <row r="23" spans="1:16">
      <c r="A23" s="83" t="s">
        <v>261</v>
      </c>
      <c r="B23" s="242"/>
      <c r="C23" s="243"/>
      <c r="D23" s="245"/>
      <c r="E23" s="246"/>
      <c r="F23" s="246"/>
      <c r="G23" s="247"/>
      <c r="H23" s="247"/>
      <c r="I23" s="256"/>
      <c r="J23" s="247"/>
      <c r="K23" s="247"/>
      <c r="L23" s="242"/>
      <c r="M23" s="243"/>
      <c r="N23" s="272"/>
      <c r="O23" s="274"/>
      <c r="P23" s="79"/>
    </row>
    <row r="24" spans="1:16">
      <c r="A24" s="83" t="s">
        <v>261</v>
      </c>
      <c r="B24" s="242"/>
      <c r="C24" s="243"/>
      <c r="D24" s="245"/>
      <c r="E24" s="246"/>
      <c r="F24" s="246"/>
      <c r="G24" s="247"/>
      <c r="H24" s="247"/>
      <c r="I24" s="256"/>
      <c r="J24" s="247"/>
      <c r="K24" s="247"/>
      <c r="L24" s="242"/>
      <c r="M24" s="243"/>
      <c r="N24" s="272"/>
      <c r="O24" s="274"/>
      <c r="P24" s="79"/>
    </row>
    <row r="25" spans="1:16">
      <c r="A25" s="83" t="s">
        <v>261</v>
      </c>
      <c r="B25" s="242"/>
      <c r="C25" s="243"/>
      <c r="D25" s="245"/>
      <c r="E25" s="246"/>
      <c r="F25" s="246"/>
      <c r="G25" s="247"/>
      <c r="H25" s="247"/>
      <c r="I25" s="256"/>
      <c r="J25" s="247"/>
      <c r="K25" s="247"/>
      <c r="L25" s="242"/>
      <c r="M25" s="243"/>
      <c r="N25" s="272"/>
      <c r="O25" s="274"/>
      <c r="P25" s="79"/>
    </row>
    <row r="26" spans="1:16">
      <c r="A26" s="83" t="s">
        <v>261</v>
      </c>
      <c r="B26" s="242"/>
      <c r="C26" s="243"/>
      <c r="D26" s="245"/>
      <c r="E26" s="246"/>
      <c r="F26" s="246"/>
      <c r="G26" s="247"/>
      <c r="H26" s="247"/>
      <c r="I26" s="256"/>
      <c r="J26" s="247"/>
      <c r="K26" s="247"/>
      <c r="L26" s="242"/>
      <c r="M26" s="243"/>
      <c r="N26" s="272"/>
      <c r="O26" s="274"/>
      <c r="P26" s="79"/>
    </row>
    <row r="27" spans="1:16">
      <c r="A27" s="83" t="s">
        <v>261</v>
      </c>
      <c r="B27" s="242"/>
      <c r="C27" s="243"/>
      <c r="D27" s="245"/>
      <c r="E27" s="246"/>
      <c r="F27" s="246"/>
      <c r="G27" s="247"/>
      <c r="H27" s="247"/>
      <c r="I27" s="256"/>
      <c r="J27" s="247"/>
      <c r="K27" s="247"/>
      <c r="L27" s="242"/>
      <c r="M27" s="243"/>
      <c r="N27" s="272"/>
      <c r="O27" s="274"/>
      <c r="P27" s="79"/>
    </row>
    <row r="28" spans="1:16">
      <c r="A28" s="83" t="s">
        <v>261</v>
      </c>
      <c r="B28" s="264"/>
      <c r="C28" s="265"/>
      <c r="D28" s="245"/>
      <c r="E28" s="266"/>
      <c r="F28" s="266"/>
      <c r="G28" s="267"/>
      <c r="H28" s="267"/>
      <c r="I28" s="270"/>
      <c r="J28" s="267"/>
      <c r="K28" s="267"/>
      <c r="L28" s="264"/>
      <c r="M28" s="265"/>
      <c r="N28" s="272"/>
      <c r="O28" s="275"/>
      <c r="P28" s="79"/>
    </row>
    <row r="29" spans="1:16">
      <c r="A29" s="83" t="s">
        <v>261</v>
      </c>
      <c r="B29" s="240" t="s">
        <v>283</v>
      </c>
      <c r="C29" s="241"/>
      <c r="D29" s="244">
        <v>100000</v>
      </c>
      <c r="E29" s="246">
        <v>392</v>
      </c>
      <c r="F29" s="246">
        <v>301</v>
      </c>
      <c r="G29" s="253">
        <v>19300</v>
      </c>
      <c r="H29" s="254">
        <v>31000</v>
      </c>
      <c r="I29" s="255"/>
      <c r="J29" s="253">
        <v>34298</v>
      </c>
      <c r="K29" s="247" t="s">
        <v>279</v>
      </c>
      <c r="L29" s="263">
        <v>84598</v>
      </c>
      <c r="M29" s="241"/>
      <c r="N29" s="260">
        <v>15402</v>
      </c>
      <c r="O29" s="262">
        <v>0.85</v>
      </c>
      <c r="P29" s="79"/>
    </row>
    <row r="30" spans="1:16">
      <c r="A30" s="83" t="s">
        <v>261</v>
      </c>
      <c r="B30" s="242"/>
      <c r="C30" s="243"/>
      <c r="D30" s="245"/>
      <c r="E30" s="246"/>
      <c r="F30" s="246"/>
      <c r="G30" s="247"/>
      <c r="H30" s="247"/>
      <c r="I30" s="256"/>
      <c r="J30" s="247"/>
      <c r="K30" s="247"/>
      <c r="L30" s="242"/>
      <c r="M30" s="243"/>
      <c r="N30" s="261"/>
      <c r="O30" s="246"/>
      <c r="P30" s="79"/>
    </row>
    <row r="31" spans="1:16">
      <c r="A31" s="83" t="s">
        <v>261</v>
      </c>
      <c r="B31" s="242"/>
      <c r="C31" s="243"/>
      <c r="D31" s="245"/>
      <c r="E31" s="246"/>
      <c r="F31" s="246"/>
      <c r="G31" s="247"/>
      <c r="H31" s="247"/>
      <c r="I31" s="256"/>
      <c r="J31" s="247"/>
      <c r="K31" s="247"/>
      <c r="L31" s="242"/>
      <c r="M31" s="243"/>
      <c r="N31" s="261"/>
      <c r="O31" s="246"/>
      <c r="P31" s="79"/>
    </row>
    <row r="32" spans="1:16">
      <c r="A32" s="83" t="s">
        <v>261</v>
      </c>
      <c r="B32" s="242"/>
      <c r="C32" s="243"/>
      <c r="D32" s="245"/>
      <c r="E32" s="246"/>
      <c r="F32" s="246"/>
      <c r="G32" s="247"/>
      <c r="H32" s="247"/>
      <c r="I32" s="256"/>
      <c r="J32" s="247"/>
      <c r="K32" s="247"/>
      <c r="L32" s="242"/>
      <c r="M32" s="243"/>
      <c r="N32" s="261"/>
      <c r="O32" s="246"/>
      <c r="P32" s="79"/>
    </row>
    <row r="33" spans="1:16">
      <c r="A33" s="83" t="s">
        <v>261</v>
      </c>
      <c r="B33" s="242"/>
      <c r="C33" s="243"/>
      <c r="D33" s="245"/>
      <c r="E33" s="246"/>
      <c r="F33" s="246"/>
      <c r="G33" s="247"/>
      <c r="H33" s="247"/>
      <c r="I33" s="256"/>
      <c r="J33" s="247"/>
      <c r="K33" s="247"/>
      <c r="L33" s="242"/>
      <c r="M33" s="243"/>
      <c r="N33" s="261"/>
      <c r="O33" s="246"/>
      <c r="P33" s="79"/>
    </row>
    <row r="34" spans="1:16">
      <c r="A34" s="83" t="s">
        <v>261</v>
      </c>
      <c r="B34" s="242"/>
      <c r="C34" s="243"/>
      <c r="D34" s="245"/>
      <c r="E34" s="246"/>
      <c r="F34" s="246"/>
      <c r="G34" s="247"/>
      <c r="H34" s="247"/>
      <c r="I34" s="256"/>
      <c r="J34" s="247"/>
      <c r="K34" s="247"/>
      <c r="L34" s="242"/>
      <c r="M34" s="243"/>
      <c r="N34" s="261"/>
      <c r="O34" s="246"/>
      <c r="P34" s="79"/>
    </row>
    <row r="35" spans="1:16">
      <c r="A35" s="83" t="s">
        <v>261</v>
      </c>
      <c r="B35" s="242"/>
      <c r="C35" s="243"/>
      <c r="D35" s="245"/>
      <c r="E35" s="246"/>
      <c r="F35" s="246"/>
      <c r="G35" s="247"/>
      <c r="H35" s="247"/>
      <c r="I35" s="256"/>
      <c r="J35" s="247"/>
      <c r="K35" s="247"/>
      <c r="L35" s="242"/>
      <c r="M35" s="243"/>
      <c r="N35" s="261"/>
      <c r="O35" s="246"/>
      <c r="P35" s="79"/>
    </row>
    <row r="36" spans="1:16">
      <c r="A36" s="83" t="s">
        <v>261</v>
      </c>
      <c r="B36" s="264"/>
      <c r="C36" s="265"/>
      <c r="D36" s="245"/>
      <c r="E36" s="266"/>
      <c r="F36" s="266"/>
      <c r="G36" s="267"/>
      <c r="H36" s="267"/>
      <c r="I36" s="270"/>
      <c r="J36" s="267"/>
      <c r="K36" s="267"/>
      <c r="L36" s="264"/>
      <c r="M36" s="265"/>
      <c r="N36" s="261"/>
      <c r="O36" s="266"/>
      <c r="P36" s="79"/>
    </row>
    <row r="37" spans="1:16" ht="15" customHeight="1">
      <c r="A37" s="83" t="s">
        <v>261</v>
      </c>
      <c r="B37" s="282" t="s">
        <v>284</v>
      </c>
      <c r="C37" s="283"/>
      <c r="D37" s="286">
        <v>5000</v>
      </c>
      <c r="E37" s="288" t="s">
        <v>261</v>
      </c>
      <c r="F37" s="288" t="s">
        <v>261</v>
      </c>
      <c r="G37" s="290" t="s">
        <v>279</v>
      </c>
      <c r="H37" s="305" t="s">
        <v>279</v>
      </c>
      <c r="I37" s="306"/>
      <c r="J37" s="290" t="s">
        <v>279</v>
      </c>
      <c r="K37" s="308" t="s">
        <v>261</v>
      </c>
      <c r="L37" s="310" t="s">
        <v>261</v>
      </c>
      <c r="M37" s="311"/>
      <c r="N37" s="276" t="s">
        <v>261</v>
      </c>
      <c r="O37" s="278" t="s">
        <v>261</v>
      </c>
      <c r="P37" s="79"/>
    </row>
    <row r="38" spans="1:16">
      <c r="A38" s="84" t="s">
        <v>261</v>
      </c>
      <c r="B38" s="284"/>
      <c r="C38" s="285"/>
      <c r="D38" s="287"/>
      <c r="E38" s="289"/>
      <c r="F38" s="289"/>
      <c r="G38" s="291"/>
      <c r="H38" s="291"/>
      <c r="I38" s="307"/>
      <c r="J38" s="291"/>
      <c r="K38" s="309"/>
      <c r="L38" s="280">
        <v>5000</v>
      </c>
      <c r="M38" s="281"/>
      <c r="N38" s="277"/>
      <c r="O38" s="279"/>
      <c r="P38" s="79"/>
    </row>
    <row r="39" spans="1:16" ht="15" customHeight="1">
      <c r="A39" s="85" t="s">
        <v>261</v>
      </c>
      <c r="B39" s="292" t="s">
        <v>261</v>
      </c>
      <c r="C39" s="293"/>
      <c r="D39" s="86" t="s">
        <v>261</v>
      </c>
      <c r="E39" s="87" t="s">
        <v>261</v>
      </c>
      <c r="F39" s="87" t="s">
        <v>261</v>
      </c>
      <c r="G39" s="88" t="s">
        <v>261</v>
      </c>
      <c r="H39" s="294" t="s">
        <v>261</v>
      </c>
      <c r="I39" s="295"/>
      <c r="J39" s="89" t="s">
        <v>261</v>
      </c>
      <c r="K39" s="90" t="s">
        <v>261</v>
      </c>
      <c r="L39" s="296" t="s">
        <v>261</v>
      </c>
      <c r="M39" s="297"/>
      <c r="N39" s="91" t="s">
        <v>261</v>
      </c>
      <c r="O39" s="92" t="s">
        <v>261</v>
      </c>
      <c r="P39" s="79"/>
    </row>
    <row r="40" spans="1:16" ht="15" customHeight="1">
      <c r="A40" s="298" t="s">
        <v>285</v>
      </c>
      <c r="B40" s="299"/>
      <c r="C40" s="300"/>
      <c r="D40" s="94">
        <v>493842</v>
      </c>
      <c r="E40" s="95" t="s">
        <v>261</v>
      </c>
      <c r="F40" s="95" t="s">
        <v>261</v>
      </c>
      <c r="G40" s="96">
        <v>98275</v>
      </c>
      <c r="H40" s="301">
        <v>102660</v>
      </c>
      <c r="I40" s="302"/>
      <c r="J40" s="96">
        <v>118199</v>
      </c>
      <c r="K40" s="97">
        <v>88927.2</v>
      </c>
      <c r="L40" s="303">
        <v>413061.2</v>
      </c>
      <c r="M40" s="304"/>
      <c r="N40" s="98">
        <v>80780.800000000003</v>
      </c>
      <c r="O40" s="99" t="s">
        <v>261</v>
      </c>
      <c r="P40" s="79"/>
    </row>
    <row r="41" spans="1:16" ht="15" customHeight="1">
      <c r="A41" s="100" t="s">
        <v>261</v>
      </c>
      <c r="B41" s="240" t="s">
        <v>286</v>
      </c>
      <c r="C41" s="241"/>
      <c r="D41" s="260">
        <v>120000</v>
      </c>
      <c r="E41" s="246">
        <v>150</v>
      </c>
      <c r="F41" s="246">
        <v>150</v>
      </c>
      <c r="G41" s="247">
        <v>0</v>
      </c>
      <c r="H41" s="313">
        <v>0</v>
      </c>
      <c r="I41" s="314"/>
      <c r="J41" s="315">
        <v>0</v>
      </c>
      <c r="K41" s="321">
        <v>82340</v>
      </c>
      <c r="L41" s="322">
        <v>82340</v>
      </c>
      <c r="M41" s="323"/>
      <c r="N41" s="271">
        <v>37660</v>
      </c>
      <c r="O41" s="273">
        <v>0.69</v>
      </c>
      <c r="P41" s="79"/>
    </row>
    <row r="42" spans="1:16" ht="15.75">
      <c r="A42" s="100" t="s">
        <v>261</v>
      </c>
      <c r="B42" s="242"/>
      <c r="C42" s="243"/>
      <c r="D42" s="261"/>
      <c r="E42" s="246"/>
      <c r="F42" s="246"/>
      <c r="G42" s="247"/>
      <c r="H42" s="315"/>
      <c r="I42" s="316"/>
      <c r="J42" s="315"/>
      <c r="K42" s="315"/>
      <c r="L42" s="324"/>
      <c r="M42" s="325"/>
      <c r="N42" s="272"/>
      <c r="O42" s="274"/>
      <c r="P42" s="79"/>
    </row>
    <row r="43" spans="1:16" ht="15.75">
      <c r="A43" s="100" t="s">
        <v>261</v>
      </c>
      <c r="B43" s="242"/>
      <c r="C43" s="243"/>
      <c r="D43" s="261"/>
      <c r="E43" s="246"/>
      <c r="F43" s="246"/>
      <c r="G43" s="247"/>
      <c r="H43" s="315"/>
      <c r="I43" s="316"/>
      <c r="J43" s="315"/>
      <c r="K43" s="315"/>
      <c r="L43" s="324"/>
      <c r="M43" s="325"/>
      <c r="N43" s="272"/>
      <c r="O43" s="274"/>
      <c r="P43" s="79"/>
    </row>
    <row r="44" spans="1:16" ht="30.75">
      <c r="A44" s="82" t="s">
        <v>287</v>
      </c>
      <c r="B44" s="242"/>
      <c r="C44" s="243"/>
      <c r="D44" s="261"/>
      <c r="E44" s="246"/>
      <c r="F44" s="246"/>
      <c r="G44" s="247"/>
      <c r="H44" s="315"/>
      <c r="I44" s="316"/>
      <c r="J44" s="315"/>
      <c r="K44" s="315"/>
      <c r="L44" s="324"/>
      <c r="M44" s="325"/>
      <c r="N44" s="272"/>
      <c r="O44" s="274"/>
      <c r="P44" s="79"/>
    </row>
    <row r="45" spans="1:16" ht="15" customHeight="1">
      <c r="A45" s="85" t="s">
        <v>261</v>
      </c>
      <c r="B45" s="292" t="s">
        <v>288</v>
      </c>
      <c r="C45" s="293"/>
      <c r="D45" s="101">
        <v>15000</v>
      </c>
      <c r="E45" s="102">
        <v>2700</v>
      </c>
      <c r="F45" s="102">
        <v>4000</v>
      </c>
      <c r="G45" s="88">
        <v>0</v>
      </c>
      <c r="H45" s="294">
        <v>0</v>
      </c>
      <c r="I45" s="295"/>
      <c r="J45" s="103">
        <v>0</v>
      </c>
      <c r="K45" s="104">
        <v>16612.66</v>
      </c>
      <c r="L45" s="312">
        <v>16613</v>
      </c>
      <c r="M45" s="295"/>
      <c r="N45" s="105">
        <v>-1613</v>
      </c>
      <c r="O45" s="106">
        <v>1.1000000000000001</v>
      </c>
      <c r="P45" s="79"/>
    </row>
    <row r="46" spans="1:16" ht="15" customHeight="1">
      <c r="A46" s="298" t="s">
        <v>289</v>
      </c>
      <c r="B46" s="299"/>
      <c r="C46" s="300"/>
      <c r="D46" s="94">
        <v>135000</v>
      </c>
      <c r="E46" s="107" t="s">
        <v>261</v>
      </c>
      <c r="F46" s="107" t="s">
        <v>261</v>
      </c>
      <c r="G46" s="108">
        <v>0</v>
      </c>
      <c r="H46" s="299">
        <v>0</v>
      </c>
      <c r="I46" s="300"/>
      <c r="J46" s="108">
        <v>0</v>
      </c>
      <c r="K46" s="109">
        <v>98953</v>
      </c>
      <c r="L46" s="317">
        <v>98953</v>
      </c>
      <c r="M46" s="300"/>
      <c r="N46" s="110" t="s">
        <v>261</v>
      </c>
      <c r="O46" s="111" t="s">
        <v>261</v>
      </c>
      <c r="P46" s="79"/>
    </row>
    <row r="47" spans="1:16" ht="15" customHeight="1">
      <c r="A47" s="298" t="s">
        <v>290</v>
      </c>
      <c r="B47" s="299"/>
      <c r="C47" s="300"/>
      <c r="D47" s="93" t="s">
        <v>261</v>
      </c>
      <c r="E47" s="107" t="s">
        <v>261</v>
      </c>
      <c r="F47" s="107" t="s">
        <v>261</v>
      </c>
      <c r="G47" s="318">
        <v>10511</v>
      </c>
      <c r="H47" s="319"/>
      <c r="I47" s="319"/>
      <c r="J47" s="319"/>
      <c r="K47" s="112" t="s">
        <v>261</v>
      </c>
      <c r="L47" s="319" t="s">
        <v>261</v>
      </c>
      <c r="M47" s="320"/>
      <c r="N47" s="113" t="s">
        <v>261</v>
      </c>
      <c r="O47" s="114" t="s">
        <v>261</v>
      </c>
      <c r="P47" s="79"/>
    </row>
    <row r="48" spans="1:16" ht="15" customHeight="1">
      <c r="A48" s="100" t="s">
        <v>261</v>
      </c>
      <c r="B48" s="330" t="s">
        <v>291</v>
      </c>
      <c r="C48" s="331"/>
      <c r="D48" s="260">
        <v>10000</v>
      </c>
      <c r="E48" s="246" t="s">
        <v>292</v>
      </c>
      <c r="F48" s="246" t="s">
        <v>293</v>
      </c>
      <c r="G48" s="247">
        <v>0</v>
      </c>
      <c r="H48" s="254">
        <v>4000</v>
      </c>
      <c r="I48" s="255"/>
      <c r="J48" s="253">
        <v>2336</v>
      </c>
      <c r="K48" s="247" t="s">
        <v>279</v>
      </c>
      <c r="L48" s="254">
        <v>6336</v>
      </c>
      <c r="M48" s="255"/>
      <c r="N48" s="260">
        <v>3664</v>
      </c>
      <c r="O48" s="262">
        <v>0.63</v>
      </c>
      <c r="P48" s="79"/>
    </row>
    <row r="49" spans="1:16" ht="30.75">
      <c r="A49" s="82" t="s">
        <v>294</v>
      </c>
      <c r="B49" s="332"/>
      <c r="C49" s="333"/>
      <c r="D49" s="261"/>
      <c r="E49" s="246"/>
      <c r="F49" s="246"/>
      <c r="G49" s="247"/>
      <c r="H49" s="247"/>
      <c r="I49" s="256"/>
      <c r="J49" s="247"/>
      <c r="K49" s="247"/>
      <c r="L49" s="247"/>
      <c r="M49" s="256"/>
      <c r="N49" s="261"/>
      <c r="O49" s="246"/>
      <c r="P49" s="79"/>
    </row>
    <row r="50" spans="1:16" ht="15" customHeight="1">
      <c r="A50" s="100" t="s">
        <v>261</v>
      </c>
      <c r="B50" s="326" t="s">
        <v>295</v>
      </c>
      <c r="C50" s="327"/>
      <c r="D50" s="101">
        <v>30000</v>
      </c>
      <c r="E50" s="87" t="s">
        <v>261</v>
      </c>
      <c r="F50" s="87" t="s">
        <v>261</v>
      </c>
      <c r="G50" s="88">
        <v>0</v>
      </c>
      <c r="H50" s="328">
        <v>14000</v>
      </c>
      <c r="I50" s="329"/>
      <c r="J50" s="115">
        <v>1402</v>
      </c>
      <c r="K50" s="88" t="s">
        <v>279</v>
      </c>
      <c r="L50" s="328">
        <v>15402</v>
      </c>
      <c r="M50" s="329"/>
      <c r="N50" s="101">
        <v>14598</v>
      </c>
      <c r="O50" s="116">
        <v>0.51</v>
      </c>
      <c r="P50" s="79"/>
    </row>
    <row r="51" spans="1:16" ht="15" customHeight="1">
      <c r="A51" s="85" t="s">
        <v>261</v>
      </c>
      <c r="B51" s="326" t="s">
        <v>296</v>
      </c>
      <c r="C51" s="327"/>
      <c r="D51" s="101">
        <v>15000</v>
      </c>
      <c r="E51" s="87" t="s">
        <v>297</v>
      </c>
      <c r="F51" s="87" t="s">
        <v>298</v>
      </c>
      <c r="G51" s="115">
        <v>9300</v>
      </c>
      <c r="H51" s="328">
        <v>6000</v>
      </c>
      <c r="I51" s="329"/>
      <c r="J51" s="115">
        <v>2336</v>
      </c>
      <c r="K51" s="88" t="s">
        <v>279</v>
      </c>
      <c r="L51" s="328">
        <v>17636</v>
      </c>
      <c r="M51" s="329"/>
      <c r="N51" s="101">
        <v>-2636</v>
      </c>
      <c r="O51" s="116">
        <v>1.17</v>
      </c>
      <c r="P51" s="79"/>
    </row>
    <row r="52" spans="1:16" ht="15" customHeight="1">
      <c r="A52" s="298" t="s">
        <v>299</v>
      </c>
      <c r="B52" s="299"/>
      <c r="C52" s="300"/>
      <c r="D52" s="94">
        <v>55000</v>
      </c>
      <c r="E52" s="107" t="s">
        <v>261</v>
      </c>
      <c r="F52" s="107" t="s">
        <v>261</v>
      </c>
      <c r="G52" s="109">
        <v>9300</v>
      </c>
      <c r="H52" s="317">
        <v>24000</v>
      </c>
      <c r="I52" s="300"/>
      <c r="J52" s="109">
        <v>6074</v>
      </c>
      <c r="K52" s="108" t="s">
        <v>261</v>
      </c>
      <c r="L52" s="317">
        <v>39374</v>
      </c>
      <c r="M52" s="300"/>
      <c r="N52" s="93" t="s">
        <v>261</v>
      </c>
      <c r="O52" s="107" t="s">
        <v>261</v>
      </c>
      <c r="P52" s="79"/>
    </row>
    <row r="53" spans="1:16" ht="15" customHeight="1">
      <c r="A53" s="298" t="s">
        <v>300</v>
      </c>
      <c r="B53" s="299"/>
      <c r="C53" s="300"/>
      <c r="D53" s="93" t="s">
        <v>261</v>
      </c>
      <c r="E53" s="107" t="s">
        <v>261</v>
      </c>
      <c r="F53" s="107" t="s">
        <v>261</v>
      </c>
      <c r="G53" s="117">
        <v>37970</v>
      </c>
      <c r="H53" s="345">
        <v>24240</v>
      </c>
      <c r="I53" s="304"/>
      <c r="J53" s="117">
        <v>29570</v>
      </c>
      <c r="K53" s="108" t="s">
        <v>261</v>
      </c>
      <c r="L53" s="346">
        <v>91780</v>
      </c>
      <c r="M53" s="300"/>
      <c r="N53" s="93" t="s">
        <v>261</v>
      </c>
      <c r="O53" s="107" t="s">
        <v>261</v>
      </c>
      <c r="P53" s="79"/>
    </row>
    <row r="54" spans="1:16">
      <c r="A54" s="347" t="s">
        <v>301</v>
      </c>
      <c r="B54" s="348"/>
      <c r="C54" s="349"/>
      <c r="D54" s="353" t="s">
        <v>261</v>
      </c>
      <c r="E54" s="355" t="s">
        <v>261</v>
      </c>
      <c r="F54" s="355" t="s">
        <v>261</v>
      </c>
      <c r="G54" s="357">
        <v>149614</v>
      </c>
      <c r="H54" s="358">
        <v>149900</v>
      </c>
      <c r="I54" s="359">
        <v>149514</v>
      </c>
      <c r="J54" s="360"/>
      <c r="K54" s="334" t="s">
        <v>261</v>
      </c>
      <c r="L54" s="336" t="s">
        <v>261</v>
      </c>
      <c r="M54" s="336"/>
      <c r="N54" s="338" t="s">
        <v>261</v>
      </c>
      <c r="O54" s="338" t="s">
        <v>261</v>
      </c>
      <c r="P54" s="79"/>
    </row>
    <row r="55" spans="1:16">
      <c r="A55" s="350"/>
      <c r="B55" s="351"/>
      <c r="C55" s="352"/>
      <c r="D55" s="354"/>
      <c r="E55" s="356"/>
      <c r="F55" s="356"/>
      <c r="G55" s="339"/>
      <c r="H55" s="335"/>
      <c r="I55" s="361"/>
      <c r="J55" s="362"/>
      <c r="K55" s="335"/>
      <c r="L55" s="337"/>
      <c r="M55" s="337"/>
      <c r="N55" s="339"/>
      <c r="O55" s="339"/>
      <c r="P55" s="79"/>
    </row>
    <row r="56" spans="1:16" ht="15" customHeight="1">
      <c r="A56" s="340" t="s">
        <v>302</v>
      </c>
      <c r="B56" s="341"/>
      <c r="C56" s="342"/>
      <c r="D56" s="118">
        <v>683842</v>
      </c>
      <c r="E56" s="119" t="s">
        <v>261</v>
      </c>
      <c r="F56" s="119" t="s">
        <v>261</v>
      </c>
      <c r="G56" s="343">
        <v>449028</v>
      </c>
      <c r="H56" s="344"/>
      <c r="I56" s="344"/>
      <c r="J56" s="344"/>
      <c r="K56" s="120">
        <v>187880</v>
      </c>
      <c r="L56" s="343">
        <v>643168</v>
      </c>
      <c r="M56" s="344"/>
      <c r="N56" s="121" t="s">
        <v>261</v>
      </c>
      <c r="O56" s="121" t="s">
        <v>261</v>
      </c>
      <c r="P56" s="79"/>
    </row>
  </sheetData>
  <mergeCells count="144">
    <mergeCell ref="K54:K55"/>
    <mergeCell ref="L54:M55"/>
    <mergeCell ref="N54:N55"/>
    <mergeCell ref="O54:O55"/>
    <mergeCell ref="A56:C56"/>
    <mergeCell ref="G56:J56"/>
    <mergeCell ref="L56:M56"/>
    <mergeCell ref="A53:C53"/>
    <mergeCell ref="H53:I53"/>
    <mergeCell ref="L53:M53"/>
    <mergeCell ref="A54:C55"/>
    <mergeCell ref="D54:D55"/>
    <mergeCell ref="E54:E55"/>
    <mergeCell ref="F54:F55"/>
    <mergeCell ref="G54:G55"/>
    <mergeCell ref="H54:H55"/>
    <mergeCell ref="I54:J55"/>
    <mergeCell ref="B51:C51"/>
    <mergeCell ref="H51:I51"/>
    <mergeCell ref="L51:M51"/>
    <mergeCell ref="A52:C52"/>
    <mergeCell ref="H52:I52"/>
    <mergeCell ref="L52:M52"/>
    <mergeCell ref="J48:J49"/>
    <mergeCell ref="K48:K49"/>
    <mergeCell ref="L48:M49"/>
    <mergeCell ref="N48:N49"/>
    <mergeCell ref="O48:O49"/>
    <mergeCell ref="B50:C50"/>
    <mergeCell ref="H50:I50"/>
    <mergeCell ref="L50:M50"/>
    <mergeCell ref="B48:C49"/>
    <mergeCell ref="D48:D49"/>
    <mergeCell ref="E48:E49"/>
    <mergeCell ref="F48:F49"/>
    <mergeCell ref="G48:G49"/>
    <mergeCell ref="H48:I49"/>
    <mergeCell ref="A46:C46"/>
    <mergeCell ref="H46:I46"/>
    <mergeCell ref="L46:M46"/>
    <mergeCell ref="A47:C47"/>
    <mergeCell ref="G47:J47"/>
    <mergeCell ref="L47:M47"/>
    <mergeCell ref="J41:J44"/>
    <mergeCell ref="K41:K44"/>
    <mergeCell ref="L41:M44"/>
    <mergeCell ref="N41:N44"/>
    <mergeCell ref="O41:O44"/>
    <mergeCell ref="B45:C45"/>
    <mergeCell ref="H45:I45"/>
    <mergeCell ref="L45:M45"/>
    <mergeCell ref="B41:C44"/>
    <mergeCell ref="D41:D44"/>
    <mergeCell ref="E41:E44"/>
    <mergeCell ref="F41:F44"/>
    <mergeCell ref="G41:G44"/>
    <mergeCell ref="H41:I44"/>
    <mergeCell ref="B39:C39"/>
    <mergeCell ref="H39:I39"/>
    <mergeCell ref="L39:M39"/>
    <mergeCell ref="A40:C40"/>
    <mergeCell ref="H40:I40"/>
    <mergeCell ref="L40:M40"/>
    <mergeCell ref="H37:I38"/>
    <mergeCell ref="J37:J38"/>
    <mergeCell ref="K37:K38"/>
    <mergeCell ref="L37:M37"/>
    <mergeCell ref="N37:N38"/>
    <mergeCell ref="O37:O38"/>
    <mergeCell ref="L38:M38"/>
    <mergeCell ref="J29:J36"/>
    <mergeCell ref="K29:K36"/>
    <mergeCell ref="L29:M36"/>
    <mergeCell ref="N29:N36"/>
    <mergeCell ref="O29:O36"/>
    <mergeCell ref="B37:C38"/>
    <mergeCell ref="D37:D38"/>
    <mergeCell ref="E37:E38"/>
    <mergeCell ref="F37:F38"/>
    <mergeCell ref="G37:G38"/>
    <mergeCell ref="B29:C36"/>
    <mergeCell ref="D29:D36"/>
    <mergeCell ref="E29:E36"/>
    <mergeCell ref="F29:F36"/>
    <mergeCell ref="G29:G36"/>
    <mergeCell ref="H29:I36"/>
    <mergeCell ref="H21:I28"/>
    <mergeCell ref="J21:J28"/>
    <mergeCell ref="K21:K28"/>
    <mergeCell ref="L21:M28"/>
    <mergeCell ref="N21:N28"/>
    <mergeCell ref="O21:O28"/>
    <mergeCell ref="J14:J20"/>
    <mergeCell ref="K14:K20"/>
    <mergeCell ref="L14:M20"/>
    <mergeCell ref="N14:N20"/>
    <mergeCell ref="O14:O20"/>
    <mergeCell ref="H14:I20"/>
    <mergeCell ref="B21:C28"/>
    <mergeCell ref="D21:D28"/>
    <mergeCell ref="E21:E28"/>
    <mergeCell ref="F21:F28"/>
    <mergeCell ref="G21:G28"/>
    <mergeCell ref="B14:C20"/>
    <mergeCell ref="D14:D20"/>
    <mergeCell ref="E14:E20"/>
    <mergeCell ref="F14:F20"/>
    <mergeCell ref="G14:G20"/>
    <mergeCell ref="K8:K13"/>
    <mergeCell ref="L8:M13"/>
    <mergeCell ref="N8:N13"/>
    <mergeCell ref="O8:O13"/>
    <mergeCell ref="J5:J7"/>
    <mergeCell ref="K5:K7"/>
    <mergeCell ref="L5:M7"/>
    <mergeCell ref="N5:N7"/>
    <mergeCell ref="O5:O7"/>
    <mergeCell ref="B8:C13"/>
    <mergeCell ref="D8:D13"/>
    <mergeCell ref="E8:E13"/>
    <mergeCell ref="F8:F13"/>
    <mergeCell ref="G8:G13"/>
    <mergeCell ref="H3:J3"/>
    <mergeCell ref="A4:B4"/>
    <mergeCell ref="H4:I4"/>
    <mergeCell ref="A5:A7"/>
    <mergeCell ref="B5:C7"/>
    <mergeCell ref="D5:D7"/>
    <mergeCell ref="E5:E7"/>
    <mergeCell ref="F5:F7"/>
    <mergeCell ref="G5:G7"/>
    <mergeCell ref="H5:I7"/>
    <mergeCell ref="H8:I13"/>
    <mergeCell ref="J8:J13"/>
    <mergeCell ref="A1:B1"/>
    <mergeCell ref="D1:D4"/>
    <mergeCell ref="H1:J1"/>
    <mergeCell ref="L1:M4"/>
    <mergeCell ref="N1:N4"/>
    <mergeCell ref="O1:O4"/>
    <mergeCell ref="A2:B2"/>
    <mergeCell ref="G2:G3"/>
    <mergeCell ref="H2:J2"/>
    <mergeCell ref="A3:B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71115-F604-4BF7-A8E0-733699EC62C9}">
  <dimension ref="A1:Y2"/>
  <sheetViews>
    <sheetView topLeftCell="P1" workbookViewId="0">
      <selection activeCell="S2" sqref="S2"/>
    </sheetView>
  </sheetViews>
  <sheetFormatPr defaultRowHeight="15"/>
  <cols>
    <col min="1" max="1" width="4.5703125" customWidth="1"/>
    <col min="2" max="3" width="14.140625" customWidth="1"/>
    <col min="4" max="4" width="38" customWidth="1"/>
    <col min="5" max="5" width="15.140625" customWidth="1"/>
    <col min="6" max="6" width="46.5703125" customWidth="1"/>
    <col min="7" max="7" width="24.42578125" customWidth="1"/>
    <col min="8" max="10" width="24.85546875" customWidth="1"/>
    <col min="11" max="13" width="27.140625" customWidth="1"/>
    <col min="14" max="14" width="42.140625" customWidth="1"/>
    <col min="15" max="15" width="27.140625" customWidth="1"/>
    <col min="16" max="16" width="40.7109375" customWidth="1"/>
    <col min="17" max="17" width="27.7109375" customWidth="1"/>
    <col min="18" max="18" width="42.42578125" customWidth="1"/>
    <col min="19" max="21" width="27.7109375" customWidth="1"/>
    <col min="22" max="22" width="17.7109375" customWidth="1"/>
    <col min="23" max="23" width="16.42578125" customWidth="1"/>
    <col min="24" max="24" width="11.85546875" customWidth="1"/>
  </cols>
  <sheetData>
    <row r="1" spans="1:25">
      <c r="A1" s="123" t="s">
        <v>229</v>
      </c>
      <c r="B1" s="123" t="s">
        <v>303</v>
      </c>
      <c r="C1" s="123" t="s">
        <v>147</v>
      </c>
      <c r="D1" s="123" t="s">
        <v>304</v>
      </c>
      <c r="E1" s="123" t="s">
        <v>305</v>
      </c>
      <c r="F1" s="123" t="s">
        <v>306</v>
      </c>
      <c r="G1" s="123" t="s">
        <v>307</v>
      </c>
      <c r="H1" s="123" t="s">
        <v>308</v>
      </c>
      <c r="I1" s="123" t="s">
        <v>309</v>
      </c>
      <c r="J1" s="123" t="s">
        <v>310</v>
      </c>
      <c r="K1" s="123" t="s">
        <v>311</v>
      </c>
      <c r="L1" s="123" t="s">
        <v>312</v>
      </c>
      <c r="M1" s="123" t="s">
        <v>313</v>
      </c>
      <c r="N1" s="123" t="s">
        <v>314</v>
      </c>
      <c r="O1" s="123" t="s">
        <v>315</v>
      </c>
      <c r="P1" s="123" t="s">
        <v>316</v>
      </c>
      <c r="Q1" s="123" t="s">
        <v>317</v>
      </c>
      <c r="R1" s="123" t="s">
        <v>318</v>
      </c>
      <c r="S1" s="123" t="s">
        <v>319</v>
      </c>
      <c r="T1" s="123" t="s">
        <v>320</v>
      </c>
      <c r="U1" s="123" t="s">
        <v>245</v>
      </c>
      <c r="V1" s="123" t="s">
        <v>321</v>
      </c>
      <c r="W1" s="123" t="s">
        <v>322</v>
      </c>
      <c r="X1" s="123" t="s">
        <v>323</v>
      </c>
      <c r="Y1" s="124"/>
    </row>
    <row r="2" spans="1:25" ht="20.25" customHeight="1">
      <c r="A2">
        <v>1</v>
      </c>
      <c r="B2" s="132" t="s">
        <v>324</v>
      </c>
      <c r="C2" t="s">
        <v>325</v>
      </c>
      <c r="D2" t="s">
        <v>326</v>
      </c>
      <c r="E2" t="s">
        <v>327</v>
      </c>
      <c r="F2" s="134" t="s">
        <v>328</v>
      </c>
      <c r="G2" s="186" t="s">
        <v>329</v>
      </c>
      <c r="H2" s="133" t="s">
        <v>330</v>
      </c>
      <c r="I2" s="187">
        <v>1.4</v>
      </c>
      <c r="J2" s="187">
        <v>138</v>
      </c>
      <c r="K2" s="188" t="s">
        <v>331</v>
      </c>
      <c r="L2" s="189" t="s">
        <v>332</v>
      </c>
      <c r="M2" s="187">
        <v>8</v>
      </c>
      <c r="N2" s="187">
        <v>8</v>
      </c>
      <c r="O2" s="187" t="s">
        <v>333</v>
      </c>
      <c r="P2" s="187" t="s">
        <v>334</v>
      </c>
      <c r="Q2" s="190">
        <v>48000</v>
      </c>
      <c r="R2" s="190">
        <v>2400</v>
      </c>
      <c r="S2" s="187" t="s">
        <v>335</v>
      </c>
      <c r="T2" s="187" t="s">
        <v>336</v>
      </c>
      <c r="U2" s="191">
        <v>1</v>
      </c>
      <c r="V2" s="188" t="s">
        <v>337</v>
      </c>
      <c r="W2" s="188" t="s">
        <v>338</v>
      </c>
      <c r="X2" s="188" t="s">
        <v>339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26042-0DF2-4ED8-9FF7-2921A70E99C7}">
  <dimension ref="A1:K36"/>
  <sheetViews>
    <sheetView tabSelected="1" topLeftCell="A29" workbookViewId="0">
      <selection activeCell="G32" sqref="G32"/>
    </sheetView>
  </sheetViews>
  <sheetFormatPr defaultRowHeight="15"/>
  <cols>
    <col min="1" max="1" width="6" customWidth="1"/>
    <col min="2" max="2" width="13.140625" customWidth="1"/>
    <col min="3" max="3" width="12.85546875" customWidth="1"/>
    <col min="4" max="4" width="49" customWidth="1"/>
    <col min="5" max="5" width="19.42578125" customWidth="1"/>
    <col min="6" max="6" width="12.42578125" customWidth="1"/>
    <col min="7" max="7" width="16.7109375" customWidth="1"/>
    <col min="8" max="8" width="25.85546875" customWidth="1"/>
    <col min="9" max="9" width="10.5703125" customWidth="1"/>
    <col min="10" max="10" width="12.5703125" customWidth="1"/>
    <col min="11" max="11" width="13.85546875" customWidth="1"/>
  </cols>
  <sheetData>
    <row r="1" spans="1:11" ht="48" customHeight="1">
      <c r="A1" s="125" t="s">
        <v>229</v>
      </c>
      <c r="B1" s="126" t="s">
        <v>303</v>
      </c>
      <c r="C1" s="126" t="s">
        <v>147</v>
      </c>
      <c r="D1" s="126" t="s">
        <v>340</v>
      </c>
      <c r="E1" s="126" t="s">
        <v>341</v>
      </c>
      <c r="F1" s="126" t="s">
        <v>342</v>
      </c>
      <c r="G1" s="126" t="s">
        <v>343</v>
      </c>
      <c r="H1" s="126" t="s">
        <v>344</v>
      </c>
      <c r="I1" s="126" t="s">
        <v>245</v>
      </c>
      <c r="J1" s="126" t="s">
        <v>345</v>
      </c>
      <c r="K1" s="126" t="s">
        <v>346</v>
      </c>
    </row>
    <row r="2" spans="1:11" ht="16.5">
      <c r="A2">
        <v>1</v>
      </c>
      <c r="B2" t="s">
        <v>347</v>
      </c>
      <c r="C2" t="s">
        <v>325</v>
      </c>
      <c r="D2" s="129" t="s">
        <v>348</v>
      </c>
      <c r="E2" t="s">
        <v>349</v>
      </c>
      <c r="F2" t="s">
        <v>350</v>
      </c>
      <c r="G2">
        <v>200</v>
      </c>
      <c r="H2" t="s">
        <v>351</v>
      </c>
      <c r="I2" s="128">
        <v>1</v>
      </c>
      <c r="J2" t="s">
        <v>352</v>
      </c>
      <c r="K2" s="131">
        <v>46206</v>
      </c>
    </row>
    <row r="3" spans="1:11" ht="16.5">
      <c r="A3">
        <v>2</v>
      </c>
      <c r="B3" t="s">
        <v>347</v>
      </c>
      <c r="C3" t="s">
        <v>325</v>
      </c>
      <c r="D3" s="129" t="s">
        <v>353</v>
      </c>
      <c r="E3" s="127" t="s">
        <v>349</v>
      </c>
      <c r="F3" t="s">
        <v>350</v>
      </c>
      <c r="G3">
        <v>200</v>
      </c>
      <c r="H3" t="s">
        <v>354</v>
      </c>
      <c r="I3" s="128">
        <v>1</v>
      </c>
      <c r="J3" t="s">
        <v>352</v>
      </c>
      <c r="K3" s="131">
        <v>46206</v>
      </c>
    </row>
    <row r="4" spans="1:11" ht="16.5">
      <c r="A4">
        <v>3</v>
      </c>
      <c r="B4" t="s">
        <v>347</v>
      </c>
      <c r="C4" t="s">
        <v>325</v>
      </c>
      <c r="D4" s="129" t="s">
        <v>355</v>
      </c>
      <c r="E4" s="127" t="s">
        <v>349</v>
      </c>
      <c r="F4" t="s">
        <v>350</v>
      </c>
      <c r="G4">
        <v>200</v>
      </c>
      <c r="H4" t="s">
        <v>356</v>
      </c>
      <c r="I4" s="128">
        <v>1</v>
      </c>
      <c r="J4" t="s">
        <v>352</v>
      </c>
      <c r="K4" s="131">
        <v>46206</v>
      </c>
    </row>
    <row r="5" spans="1:11" ht="16.5">
      <c r="A5">
        <v>4</v>
      </c>
      <c r="B5" t="s">
        <v>347</v>
      </c>
      <c r="C5" t="s">
        <v>325</v>
      </c>
      <c r="D5" s="129" t="s">
        <v>357</v>
      </c>
      <c r="E5" s="127" t="s">
        <v>349</v>
      </c>
      <c r="F5" t="s">
        <v>350</v>
      </c>
      <c r="G5">
        <v>200</v>
      </c>
      <c r="H5" t="s">
        <v>358</v>
      </c>
      <c r="I5" s="128">
        <v>1</v>
      </c>
      <c r="J5" t="s">
        <v>352</v>
      </c>
      <c r="K5" s="131">
        <v>46206</v>
      </c>
    </row>
    <row r="6" spans="1:11" ht="16.5">
      <c r="A6">
        <v>5</v>
      </c>
      <c r="B6" t="s">
        <v>347</v>
      </c>
      <c r="C6" t="s">
        <v>325</v>
      </c>
      <c r="D6" s="129" t="s">
        <v>359</v>
      </c>
      <c r="E6" s="127" t="s">
        <v>349</v>
      </c>
      <c r="F6" t="s">
        <v>350</v>
      </c>
      <c r="G6">
        <v>200</v>
      </c>
      <c r="H6" t="s">
        <v>360</v>
      </c>
      <c r="I6" s="128">
        <v>1</v>
      </c>
      <c r="J6" t="s">
        <v>352</v>
      </c>
      <c r="K6" s="131">
        <v>46206</v>
      </c>
    </row>
    <row r="7" spans="1:11" ht="16.5">
      <c r="A7">
        <v>6</v>
      </c>
      <c r="B7" t="s">
        <v>347</v>
      </c>
      <c r="C7" t="s">
        <v>325</v>
      </c>
      <c r="D7" s="129" t="s">
        <v>361</v>
      </c>
      <c r="E7" s="127" t="s">
        <v>349</v>
      </c>
      <c r="F7" t="s">
        <v>350</v>
      </c>
      <c r="G7">
        <v>200</v>
      </c>
      <c r="H7" t="s">
        <v>362</v>
      </c>
      <c r="I7" s="128">
        <v>1</v>
      </c>
      <c r="J7" t="s">
        <v>352</v>
      </c>
      <c r="K7" s="131">
        <v>46206</v>
      </c>
    </row>
    <row r="8" spans="1:11" ht="16.5">
      <c r="A8">
        <v>7</v>
      </c>
      <c r="B8" t="s">
        <v>347</v>
      </c>
      <c r="C8" t="s">
        <v>325</v>
      </c>
      <c r="D8" s="129" t="s">
        <v>363</v>
      </c>
      <c r="E8" s="127" t="s">
        <v>349</v>
      </c>
      <c r="F8" t="s">
        <v>350</v>
      </c>
      <c r="G8">
        <v>200</v>
      </c>
      <c r="H8" t="s">
        <v>364</v>
      </c>
      <c r="I8" s="128">
        <v>1</v>
      </c>
      <c r="J8" t="s">
        <v>352</v>
      </c>
      <c r="K8" s="131">
        <v>46206</v>
      </c>
    </row>
    <row r="9" spans="1:11" ht="16.5">
      <c r="A9">
        <v>8</v>
      </c>
      <c r="B9" t="s">
        <v>347</v>
      </c>
      <c r="C9" t="s">
        <v>325</v>
      </c>
      <c r="D9" s="129" t="s">
        <v>365</v>
      </c>
      <c r="E9" s="127" t="s">
        <v>349</v>
      </c>
      <c r="F9" t="s">
        <v>350</v>
      </c>
      <c r="G9">
        <v>200</v>
      </c>
      <c r="H9" t="s">
        <v>366</v>
      </c>
      <c r="I9" s="128">
        <v>1</v>
      </c>
      <c r="J9" t="s">
        <v>352</v>
      </c>
      <c r="K9" s="131">
        <v>46206</v>
      </c>
    </row>
    <row r="10" spans="1:11" ht="16.5">
      <c r="A10">
        <v>9</v>
      </c>
      <c r="B10" t="s">
        <v>347</v>
      </c>
      <c r="C10" t="s">
        <v>325</v>
      </c>
      <c r="D10" s="192" t="s">
        <v>367</v>
      </c>
      <c r="E10" t="s">
        <v>349</v>
      </c>
      <c r="F10" t="s">
        <v>350</v>
      </c>
      <c r="G10">
        <v>200</v>
      </c>
      <c r="H10" t="s">
        <v>368</v>
      </c>
      <c r="I10" s="128">
        <v>1</v>
      </c>
      <c r="J10" t="s">
        <v>352</v>
      </c>
      <c r="K10" s="131">
        <v>46206</v>
      </c>
    </row>
    <row r="11" spans="1:11" ht="16.5">
      <c r="A11">
        <v>10</v>
      </c>
      <c r="B11" t="s">
        <v>347</v>
      </c>
      <c r="C11" t="s">
        <v>325</v>
      </c>
      <c r="D11" s="129" t="s">
        <v>369</v>
      </c>
      <c r="E11" s="127" t="s">
        <v>349</v>
      </c>
      <c r="F11" t="s">
        <v>350</v>
      </c>
      <c r="G11">
        <v>200</v>
      </c>
      <c r="H11" t="s">
        <v>370</v>
      </c>
      <c r="I11" s="128">
        <v>1</v>
      </c>
      <c r="J11" t="s">
        <v>352</v>
      </c>
      <c r="K11" s="131">
        <v>46206</v>
      </c>
    </row>
    <row r="12" spans="1:11" ht="16.5">
      <c r="A12">
        <v>11</v>
      </c>
      <c r="B12" t="s">
        <v>347</v>
      </c>
      <c r="C12" t="s">
        <v>371</v>
      </c>
      <c r="D12" s="129" t="s">
        <v>372</v>
      </c>
      <c r="E12" s="127" t="s">
        <v>349</v>
      </c>
      <c r="F12" t="s">
        <v>350</v>
      </c>
      <c r="G12">
        <v>950</v>
      </c>
      <c r="H12" t="s">
        <v>373</v>
      </c>
      <c r="I12" s="128">
        <v>1</v>
      </c>
      <c r="J12" t="s">
        <v>352</v>
      </c>
      <c r="K12" s="131">
        <v>46237</v>
      </c>
    </row>
    <row r="13" spans="1:11" ht="16.5">
      <c r="A13">
        <v>12</v>
      </c>
      <c r="B13" t="s">
        <v>347</v>
      </c>
      <c r="C13" t="s">
        <v>371</v>
      </c>
      <c r="D13" s="129" t="s">
        <v>374</v>
      </c>
      <c r="E13" s="127" t="s">
        <v>349</v>
      </c>
      <c r="F13" t="s">
        <v>350</v>
      </c>
      <c r="G13">
        <v>1000</v>
      </c>
      <c r="H13" t="s">
        <v>375</v>
      </c>
      <c r="I13" s="128">
        <v>1</v>
      </c>
      <c r="J13" t="s">
        <v>352</v>
      </c>
      <c r="K13" s="131">
        <v>46237</v>
      </c>
    </row>
    <row r="14" spans="1:11" ht="16.5">
      <c r="A14">
        <v>13</v>
      </c>
      <c r="B14" t="s">
        <v>347</v>
      </c>
      <c r="C14" t="s">
        <v>371</v>
      </c>
      <c r="D14" s="129" t="s">
        <v>376</v>
      </c>
      <c r="E14" s="127" t="s">
        <v>349</v>
      </c>
      <c r="F14" t="s">
        <v>350</v>
      </c>
      <c r="G14">
        <v>950</v>
      </c>
      <c r="H14" t="s">
        <v>377</v>
      </c>
      <c r="I14" s="128">
        <v>1</v>
      </c>
      <c r="J14" t="s">
        <v>352</v>
      </c>
      <c r="K14" s="131">
        <v>46237</v>
      </c>
    </row>
    <row r="15" spans="1:11" ht="16.5">
      <c r="A15">
        <v>14</v>
      </c>
      <c r="B15" t="s">
        <v>347</v>
      </c>
      <c r="C15" t="s">
        <v>371</v>
      </c>
      <c r="D15" s="129" t="s">
        <v>378</v>
      </c>
      <c r="E15" s="127" t="s">
        <v>349</v>
      </c>
      <c r="F15" t="s">
        <v>350</v>
      </c>
      <c r="G15">
        <v>1000</v>
      </c>
      <c r="H15" t="s">
        <v>379</v>
      </c>
      <c r="I15" s="128">
        <v>1</v>
      </c>
      <c r="J15" t="s">
        <v>352</v>
      </c>
      <c r="K15" s="131">
        <v>46237</v>
      </c>
    </row>
    <row r="16" spans="1:11" ht="16.5">
      <c r="A16">
        <v>15</v>
      </c>
      <c r="B16" t="s">
        <v>347</v>
      </c>
      <c r="C16" t="s">
        <v>371</v>
      </c>
      <c r="D16" s="129" t="s">
        <v>380</v>
      </c>
      <c r="E16" t="s">
        <v>349</v>
      </c>
      <c r="F16" t="s">
        <v>350</v>
      </c>
      <c r="G16">
        <v>1000</v>
      </c>
      <c r="H16" t="s">
        <v>381</v>
      </c>
      <c r="I16" s="128">
        <v>1</v>
      </c>
      <c r="J16" t="s">
        <v>352</v>
      </c>
      <c r="K16" s="131">
        <v>46237</v>
      </c>
    </row>
    <row r="17" spans="1:11" ht="16.5">
      <c r="A17">
        <v>16</v>
      </c>
      <c r="B17" t="s">
        <v>347</v>
      </c>
      <c r="C17" t="s">
        <v>371</v>
      </c>
      <c r="D17" s="129" t="s">
        <v>382</v>
      </c>
      <c r="E17" s="127" t="s">
        <v>349</v>
      </c>
      <c r="F17" t="s">
        <v>350</v>
      </c>
      <c r="G17">
        <v>900</v>
      </c>
      <c r="H17" t="s">
        <v>383</v>
      </c>
      <c r="I17" s="128">
        <v>1</v>
      </c>
      <c r="J17" t="s">
        <v>352</v>
      </c>
      <c r="K17" s="131">
        <v>46237</v>
      </c>
    </row>
    <row r="18" spans="1:11" ht="16.5">
      <c r="A18">
        <v>17</v>
      </c>
      <c r="B18" t="s">
        <v>347</v>
      </c>
      <c r="C18" t="s">
        <v>371</v>
      </c>
      <c r="D18" s="192" t="s">
        <v>384</v>
      </c>
      <c r="E18" s="127" t="s">
        <v>349</v>
      </c>
      <c r="F18" t="s">
        <v>350</v>
      </c>
      <c r="G18">
        <v>1000</v>
      </c>
      <c r="H18" t="s">
        <v>385</v>
      </c>
      <c r="I18" s="128">
        <v>1</v>
      </c>
      <c r="J18" t="s">
        <v>352</v>
      </c>
      <c r="K18" s="131">
        <v>46237</v>
      </c>
    </row>
    <row r="19" spans="1:11" ht="16.5">
      <c r="A19">
        <v>18</v>
      </c>
      <c r="B19" t="s">
        <v>347</v>
      </c>
      <c r="C19" t="s">
        <v>371</v>
      </c>
      <c r="D19" s="129" t="s">
        <v>386</v>
      </c>
      <c r="E19" s="127" t="s">
        <v>349</v>
      </c>
      <c r="F19" t="s">
        <v>350</v>
      </c>
      <c r="G19">
        <v>1000</v>
      </c>
      <c r="H19" t="s">
        <v>387</v>
      </c>
      <c r="I19" s="128">
        <v>1</v>
      </c>
      <c r="J19" t="s">
        <v>352</v>
      </c>
      <c r="K19" s="131">
        <v>46237</v>
      </c>
    </row>
    <row r="20" spans="1:11" ht="16.5">
      <c r="A20">
        <v>19</v>
      </c>
      <c r="B20" t="s">
        <v>347</v>
      </c>
      <c r="C20" t="s">
        <v>371</v>
      </c>
      <c r="D20" s="129" t="s">
        <v>388</v>
      </c>
      <c r="E20" s="127" t="s">
        <v>349</v>
      </c>
      <c r="F20" t="s">
        <v>350</v>
      </c>
      <c r="G20">
        <v>1000</v>
      </c>
      <c r="H20" t="s">
        <v>389</v>
      </c>
      <c r="I20" s="128">
        <v>1</v>
      </c>
      <c r="J20" t="s">
        <v>352</v>
      </c>
      <c r="K20" s="131">
        <v>46237</v>
      </c>
    </row>
    <row r="21" spans="1:11" ht="16.5">
      <c r="A21">
        <v>20</v>
      </c>
      <c r="B21" t="s">
        <v>347</v>
      </c>
      <c r="C21" t="s">
        <v>371</v>
      </c>
      <c r="D21" s="129" t="s">
        <v>390</v>
      </c>
      <c r="E21" s="127" t="s">
        <v>349</v>
      </c>
      <c r="F21" t="s">
        <v>350</v>
      </c>
      <c r="G21">
        <v>1000</v>
      </c>
      <c r="H21" t="s">
        <v>391</v>
      </c>
      <c r="I21" s="128">
        <v>1</v>
      </c>
      <c r="J21" t="s">
        <v>352</v>
      </c>
      <c r="K21" s="131">
        <v>46237</v>
      </c>
    </row>
    <row r="22" spans="1:11" ht="16.5">
      <c r="A22">
        <v>21</v>
      </c>
      <c r="B22" t="s">
        <v>347</v>
      </c>
      <c r="C22" t="s">
        <v>392</v>
      </c>
      <c r="D22" s="129" t="s">
        <v>393</v>
      </c>
      <c r="E22" s="127" t="s">
        <v>349</v>
      </c>
      <c r="F22" t="s">
        <v>350</v>
      </c>
      <c r="G22">
        <v>60</v>
      </c>
      <c r="H22" t="s">
        <v>394</v>
      </c>
      <c r="I22" s="128">
        <v>1</v>
      </c>
      <c r="J22" t="s">
        <v>352</v>
      </c>
      <c r="K22" s="131">
        <v>46268</v>
      </c>
    </row>
    <row r="23" spans="1:11" ht="16.5">
      <c r="A23">
        <v>22</v>
      </c>
      <c r="B23" t="s">
        <v>347</v>
      </c>
      <c r="C23" t="s">
        <v>392</v>
      </c>
      <c r="D23" s="129" t="s">
        <v>395</v>
      </c>
      <c r="E23" s="127" t="s">
        <v>349</v>
      </c>
      <c r="F23" t="s">
        <v>350</v>
      </c>
      <c r="G23">
        <v>60</v>
      </c>
      <c r="H23" t="s">
        <v>396</v>
      </c>
      <c r="I23" s="128">
        <v>1</v>
      </c>
      <c r="J23" t="s">
        <v>352</v>
      </c>
      <c r="K23" s="131">
        <v>46268</v>
      </c>
    </row>
    <row r="24" spans="1:11" ht="16.5">
      <c r="A24">
        <v>23</v>
      </c>
      <c r="B24" t="s">
        <v>347</v>
      </c>
      <c r="C24" t="s">
        <v>392</v>
      </c>
      <c r="D24" s="129" t="s">
        <v>397</v>
      </c>
      <c r="E24" s="127" t="s">
        <v>349</v>
      </c>
      <c r="F24" t="s">
        <v>350</v>
      </c>
      <c r="G24">
        <v>50</v>
      </c>
      <c r="H24" t="s">
        <v>398</v>
      </c>
      <c r="I24" s="128">
        <v>1</v>
      </c>
      <c r="J24" t="s">
        <v>352</v>
      </c>
      <c r="K24" s="131">
        <v>46268</v>
      </c>
    </row>
    <row r="25" spans="1:11" ht="16.5">
      <c r="A25">
        <v>24</v>
      </c>
      <c r="B25" t="s">
        <v>347</v>
      </c>
      <c r="C25" t="s">
        <v>392</v>
      </c>
      <c r="D25" s="129" t="s">
        <v>399</v>
      </c>
      <c r="E25" s="127" t="s">
        <v>349</v>
      </c>
      <c r="F25" t="s">
        <v>350</v>
      </c>
      <c r="G25">
        <v>44</v>
      </c>
      <c r="H25" t="s">
        <v>400</v>
      </c>
      <c r="I25" s="128">
        <v>1</v>
      </c>
      <c r="J25" t="s">
        <v>352</v>
      </c>
      <c r="K25" s="131">
        <v>46268</v>
      </c>
    </row>
    <row r="26" spans="1:11" ht="16.5">
      <c r="A26">
        <v>25</v>
      </c>
      <c r="B26" t="s">
        <v>347</v>
      </c>
      <c r="C26" t="s">
        <v>392</v>
      </c>
      <c r="D26" s="129" t="s">
        <v>401</v>
      </c>
      <c r="E26" s="127" t="s">
        <v>349</v>
      </c>
      <c r="F26" t="s">
        <v>350</v>
      </c>
      <c r="G26">
        <v>44</v>
      </c>
      <c r="H26" t="s">
        <v>402</v>
      </c>
      <c r="I26" s="128">
        <v>1</v>
      </c>
      <c r="J26" t="s">
        <v>352</v>
      </c>
      <c r="K26" s="131">
        <v>46268</v>
      </c>
    </row>
    <row r="27" spans="1:11" ht="15.75">
      <c r="A27">
        <v>26</v>
      </c>
      <c r="B27" t="s">
        <v>347</v>
      </c>
      <c r="C27" t="s">
        <v>392</v>
      </c>
      <c r="D27" s="130" t="s">
        <v>403</v>
      </c>
      <c r="E27" s="127" t="s">
        <v>349</v>
      </c>
      <c r="F27" t="s">
        <v>350</v>
      </c>
      <c r="G27">
        <v>55</v>
      </c>
      <c r="H27" t="s">
        <v>404</v>
      </c>
      <c r="I27" s="128">
        <v>1</v>
      </c>
      <c r="J27" t="s">
        <v>352</v>
      </c>
      <c r="K27" s="131">
        <v>46268</v>
      </c>
    </row>
    <row r="28" spans="1:11" ht="15.75">
      <c r="A28">
        <v>27</v>
      </c>
      <c r="B28" t="s">
        <v>347</v>
      </c>
      <c r="C28" t="s">
        <v>392</v>
      </c>
      <c r="D28" s="130" t="s">
        <v>405</v>
      </c>
      <c r="E28" s="127" t="s">
        <v>349</v>
      </c>
      <c r="F28" t="s">
        <v>350</v>
      </c>
      <c r="G28">
        <v>55</v>
      </c>
      <c r="H28" t="s">
        <v>406</v>
      </c>
      <c r="I28" s="128">
        <v>1</v>
      </c>
      <c r="J28" t="s">
        <v>352</v>
      </c>
      <c r="K28" s="131">
        <v>46268</v>
      </c>
    </row>
    <row r="29" spans="1:11" ht="16.5">
      <c r="A29">
        <v>28</v>
      </c>
      <c r="B29" t="s">
        <v>347</v>
      </c>
      <c r="C29" t="s">
        <v>392</v>
      </c>
      <c r="D29" s="129" t="s">
        <v>407</v>
      </c>
      <c r="E29" t="s">
        <v>349</v>
      </c>
      <c r="F29" t="s">
        <v>350</v>
      </c>
      <c r="G29">
        <v>40</v>
      </c>
      <c r="H29" t="s">
        <v>408</v>
      </c>
      <c r="I29" s="128">
        <v>1</v>
      </c>
      <c r="J29" t="s">
        <v>352</v>
      </c>
      <c r="K29" s="131">
        <v>46268</v>
      </c>
    </row>
    <row r="30" spans="1:11" ht="15.75">
      <c r="A30">
        <v>29</v>
      </c>
      <c r="B30" t="s">
        <v>347</v>
      </c>
      <c r="C30" t="s">
        <v>392</v>
      </c>
      <c r="D30" s="130" t="s">
        <v>409</v>
      </c>
      <c r="E30" s="127" t="s">
        <v>349</v>
      </c>
      <c r="F30" t="s">
        <v>350</v>
      </c>
      <c r="G30">
        <v>40</v>
      </c>
      <c r="H30" t="s">
        <v>410</v>
      </c>
      <c r="I30" s="128">
        <v>1</v>
      </c>
      <c r="J30" t="s">
        <v>352</v>
      </c>
      <c r="K30" s="131">
        <v>46268</v>
      </c>
    </row>
    <row r="31" spans="1:11" ht="15.75">
      <c r="A31">
        <v>30</v>
      </c>
      <c r="B31" t="s">
        <v>347</v>
      </c>
      <c r="C31" t="s">
        <v>392</v>
      </c>
      <c r="D31" s="130" t="s">
        <v>411</v>
      </c>
      <c r="E31" s="127" t="s">
        <v>349</v>
      </c>
      <c r="F31" t="s">
        <v>350</v>
      </c>
      <c r="G31">
        <v>40</v>
      </c>
      <c r="H31" t="s">
        <v>412</v>
      </c>
      <c r="I31" s="128">
        <v>1</v>
      </c>
      <c r="J31" t="s">
        <v>352</v>
      </c>
      <c r="K31" s="131">
        <v>46268</v>
      </c>
    </row>
    <row r="32" spans="1:11">
      <c r="G32">
        <f>SUM(G2:G31)</f>
        <v>12288</v>
      </c>
    </row>
    <row r="36" spans="8:8" ht="15.75">
      <c r="H36" s="139"/>
    </row>
  </sheetData>
  <autoFilter ref="A1:K31" xr:uid="{53126042-0DF2-4ED8-9FF7-2921A70E99C7}"/>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225E0-306F-44AE-AAB8-18D77109E5A4}">
  <dimension ref="A1:D4"/>
  <sheetViews>
    <sheetView workbookViewId="0">
      <selection activeCell="F16" sqref="F16"/>
    </sheetView>
  </sheetViews>
  <sheetFormatPr defaultRowHeight="15"/>
  <cols>
    <col min="3" max="3" width="13.5703125" customWidth="1"/>
    <col min="4" max="4" width="70.42578125" customWidth="1"/>
  </cols>
  <sheetData>
    <row r="1" spans="1:4">
      <c r="A1" s="135" t="s">
        <v>303</v>
      </c>
      <c r="B1" s="135" t="s">
        <v>413</v>
      </c>
      <c r="C1" s="135" t="s">
        <v>147</v>
      </c>
      <c r="D1" s="135" t="s">
        <v>414</v>
      </c>
    </row>
    <row r="2" spans="1:4">
      <c r="A2" s="61" t="s">
        <v>324</v>
      </c>
      <c r="B2" s="61" t="s">
        <v>149</v>
      </c>
      <c r="C2" s="61" t="s">
        <v>415</v>
      </c>
      <c r="D2" s="61" t="s">
        <v>416</v>
      </c>
    </row>
    <row r="3" spans="1:4">
      <c r="A3" s="61" t="s">
        <v>324</v>
      </c>
      <c r="B3" s="61" t="s">
        <v>417</v>
      </c>
      <c r="C3" s="61" t="s">
        <v>418</v>
      </c>
      <c r="D3" s="61"/>
    </row>
    <row r="4" spans="1:4">
      <c r="A4" s="61" t="s">
        <v>324</v>
      </c>
      <c r="B4" s="61" t="s">
        <v>419</v>
      </c>
      <c r="C4" s="61" t="s">
        <v>325</v>
      </c>
      <c r="D4" s="6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5D76B-DD2D-4A7A-A1E3-1BD5D918E40A}">
  <dimension ref="A1:G27"/>
  <sheetViews>
    <sheetView topLeftCell="A19" workbookViewId="0">
      <selection activeCell="E24" sqref="E24"/>
    </sheetView>
  </sheetViews>
  <sheetFormatPr defaultRowHeight="15"/>
  <cols>
    <col min="1" max="1" width="15.42578125" style="21" customWidth="1"/>
    <col min="2" max="2" width="37.42578125" style="21" customWidth="1"/>
    <col min="3" max="3" width="29.140625" style="21" customWidth="1"/>
    <col min="4" max="4" width="8.5703125" customWidth="1"/>
    <col min="5" max="5" width="14.28515625" style="21" customWidth="1"/>
    <col min="6" max="6" width="25" style="21" customWidth="1"/>
    <col min="7" max="7" width="41.5703125" style="21" customWidth="1"/>
  </cols>
  <sheetData>
    <row r="1" spans="1:7">
      <c r="A1" s="144" t="s">
        <v>420</v>
      </c>
      <c r="B1" s="145" t="s">
        <v>421</v>
      </c>
      <c r="C1" s="146" t="s">
        <v>422</v>
      </c>
      <c r="D1" s="140" t="s">
        <v>261</v>
      </c>
      <c r="E1" s="146" t="s">
        <v>423</v>
      </c>
      <c r="F1" s="146" t="s">
        <v>424</v>
      </c>
      <c r="G1" s="147" t="s">
        <v>425</v>
      </c>
    </row>
    <row r="2" spans="1:7" ht="118.5">
      <c r="A2" s="363" t="s">
        <v>426</v>
      </c>
      <c r="B2" s="148" t="s">
        <v>427</v>
      </c>
      <c r="C2" s="149" t="s">
        <v>428</v>
      </c>
      <c r="D2" s="141" t="s">
        <v>429</v>
      </c>
      <c r="E2" s="149" t="s">
        <v>430</v>
      </c>
      <c r="F2" s="150" t="s">
        <v>431</v>
      </c>
      <c r="G2" s="151" t="s">
        <v>432</v>
      </c>
    </row>
    <row r="3" spans="1:7" ht="96">
      <c r="A3" s="364"/>
      <c r="B3" s="152"/>
      <c r="C3" s="152"/>
      <c r="D3" s="181"/>
      <c r="E3" s="152"/>
      <c r="F3" s="153" t="s">
        <v>433</v>
      </c>
      <c r="G3" s="154"/>
    </row>
    <row r="4" spans="1:7" ht="166.5">
      <c r="A4" s="364"/>
      <c r="B4" s="155" t="s">
        <v>434</v>
      </c>
      <c r="C4" s="156" t="s">
        <v>435</v>
      </c>
      <c r="D4" s="142" t="s">
        <v>429</v>
      </c>
      <c r="E4" s="156" t="s">
        <v>436</v>
      </c>
      <c r="F4" s="157" t="s">
        <v>261</v>
      </c>
      <c r="G4" s="158" t="s">
        <v>437</v>
      </c>
    </row>
    <row r="5" spans="1:7">
      <c r="A5" s="364"/>
      <c r="B5" s="159"/>
      <c r="C5" s="159"/>
      <c r="D5" s="182"/>
      <c r="E5" s="159"/>
      <c r="F5" s="160" t="s">
        <v>438</v>
      </c>
      <c r="G5" s="161"/>
    </row>
    <row r="6" spans="1:7">
      <c r="A6" s="364"/>
      <c r="B6" s="162"/>
      <c r="C6" s="162"/>
      <c r="D6" s="183"/>
      <c r="E6" s="162"/>
      <c r="F6" s="163" t="s">
        <v>439</v>
      </c>
      <c r="G6" s="164"/>
    </row>
    <row r="7" spans="1:7" ht="84">
      <c r="A7" s="364"/>
      <c r="B7" s="165" t="s">
        <v>440</v>
      </c>
      <c r="C7" s="166" t="s">
        <v>441</v>
      </c>
      <c r="D7" s="143" t="s">
        <v>429</v>
      </c>
      <c r="E7" s="166" t="s">
        <v>442</v>
      </c>
      <c r="F7" s="166" t="s">
        <v>443</v>
      </c>
      <c r="G7" s="167" t="s">
        <v>444</v>
      </c>
    </row>
    <row r="8" spans="1:7" ht="48">
      <c r="A8" s="364"/>
      <c r="B8" s="168" t="s">
        <v>261</v>
      </c>
      <c r="C8" s="156" t="s">
        <v>445</v>
      </c>
      <c r="D8" s="142" t="s">
        <v>429</v>
      </c>
      <c r="E8" s="156" t="s">
        <v>446</v>
      </c>
      <c r="F8" s="156" t="s">
        <v>447</v>
      </c>
      <c r="G8" s="158" t="s">
        <v>448</v>
      </c>
    </row>
    <row r="9" spans="1:7" ht="66.75">
      <c r="A9" s="364"/>
      <c r="B9" s="169" t="s">
        <v>449</v>
      </c>
      <c r="C9" s="159"/>
      <c r="D9" s="182"/>
      <c r="E9" s="159"/>
      <c r="F9" s="159"/>
      <c r="G9" s="161"/>
    </row>
    <row r="10" spans="1:7">
      <c r="A10" s="364"/>
      <c r="B10" s="170" t="s">
        <v>261</v>
      </c>
      <c r="C10" s="162"/>
      <c r="D10" s="183"/>
      <c r="E10" s="162"/>
      <c r="F10" s="162"/>
      <c r="G10" s="164"/>
    </row>
    <row r="11" spans="1:7" ht="96">
      <c r="A11" s="364"/>
      <c r="B11" s="148" t="s">
        <v>450</v>
      </c>
      <c r="C11" s="149" t="s">
        <v>451</v>
      </c>
      <c r="D11" s="141" t="s">
        <v>429</v>
      </c>
      <c r="E11" s="149" t="s">
        <v>452</v>
      </c>
      <c r="F11" s="149" t="s">
        <v>453</v>
      </c>
      <c r="G11" s="171" t="s">
        <v>454</v>
      </c>
    </row>
    <row r="12" spans="1:7" ht="118.5">
      <c r="A12" s="365"/>
      <c r="B12" s="152"/>
      <c r="C12" s="152"/>
      <c r="D12" s="181"/>
      <c r="E12" s="152"/>
      <c r="F12" s="152"/>
      <c r="G12" s="172" t="s">
        <v>455</v>
      </c>
    </row>
    <row r="13" spans="1:7" ht="96">
      <c r="A13" s="363" t="s">
        <v>456</v>
      </c>
      <c r="B13" s="155" t="s">
        <v>457</v>
      </c>
      <c r="C13" s="157" t="s">
        <v>458</v>
      </c>
      <c r="D13" s="142" t="s">
        <v>429</v>
      </c>
      <c r="E13" s="156" t="s">
        <v>459</v>
      </c>
      <c r="F13" s="156" t="s">
        <v>460</v>
      </c>
      <c r="G13" s="158" t="s">
        <v>461</v>
      </c>
    </row>
    <row r="14" spans="1:7">
      <c r="A14" s="364"/>
      <c r="B14" s="159"/>
      <c r="C14" s="160" t="s">
        <v>261</v>
      </c>
      <c r="D14" s="182"/>
      <c r="E14" s="159"/>
      <c r="F14" s="159"/>
      <c r="G14" s="161"/>
    </row>
    <row r="15" spans="1:7">
      <c r="A15" s="364"/>
      <c r="B15" s="159"/>
      <c r="C15" s="160" t="s">
        <v>261</v>
      </c>
      <c r="D15" s="182"/>
      <c r="E15" s="159"/>
      <c r="F15" s="159"/>
      <c r="G15" s="161"/>
    </row>
    <row r="16" spans="1:7">
      <c r="A16" s="364"/>
      <c r="B16" s="162"/>
      <c r="C16" s="163" t="s">
        <v>261</v>
      </c>
      <c r="D16" s="183"/>
      <c r="E16" s="162"/>
      <c r="F16" s="162"/>
      <c r="G16" s="164"/>
    </row>
    <row r="17" spans="1:7" ht="48">
      <c r="A17" s="364"/>
      <c r="B17" s="173" t="s">
        <v>261</v>
      </c>
      <c r="C17" s="149" t="s">
        <v>462</v>
      </c>
      <c r="D17" s="141" t="s">
        <v>429</v>
      </c>
      <c r="E17" s="149" t="s">
        <v>463</v>
      </c>
      <c r="F17" s="149" t="s">
        <v>464</v>
      </c>
      <c r="G17" s="151" t="s">
        <v>465</v>
      </c>
    </row>
    <row r="18" spans="1:7" ht="55.5">
      <c r="A18" s="364"/>
      <c r="B18" s="174" t="s">
        <v>466</v>
      </c>
      <c r="C18" s="175"/>
      <c r="D18" s="184"/>
      <c r="E18" s="175"/>
      <c r="F18" s="175"/>
      <c r="G18" s="176"/>
    </row>
    <row r="19" spans="1:7">
      <c r="A19" s="365"/>
      <c r="B19" s="177" t="s">
        <v>261</v>
      </c>
      <c r="C19" s="152"/>
      <c r="D19" s="181"/>
      <c r="E19" s="152"/>
      <c r="F19" s="152"/>
      <c r="G19" s="154"/>
    </row>
    <row r="20" spans="1:7" ht="36">
      <c r="A20" s="366" t="s">
        <v>467</v>
      </c>
      <c r="B20" s="168" t="s">
        <v>261</v>
      </c>
      <c r="C20" s="156" t="s">
        <v>468</v>
      </c>
      <c r="D20" s="142" t="s">
        <v>429</v>
      </c>
      <c r="E20" s="156" t="s">
        <v>469</v>
      </c>
      <c r="F20" s="156" t="s">
        <v>470</v>
      </c>
      <c r="G20" s="158" t="s">
        <v>471</v>
      </c>
    </row>
    <row r="21" spans="1:7" ht="33">
      <c r="A21" s="367"/>
      <c r="B21" s="169" t="s">
        <v>472</v>
      </c>
      <c r="C21" s="159"/>
      <c r="D21" s="182"/>
      <c r="E21" s="159"/>
      <c r="F21" s="159"/>
      <c r="G21" s="161"/>
    </row>
    <row r="22" spans="1:7">
      <c r="A22" s="367"/>
      <c r="B22" s="170" t="s">
        <v>261</v>
      </c>
      <c r="C22" s="162"/>
      <c r="D22" s="183"/>
      <c r="E22" s="162"/>
      <c r="F22" s="162"/>
      <c r="G22" s="164"/>
    </row>
    <row r="23" spans="1:7" ht="48" customHeight="1">
      <c r="A23" s="367"/>
      <c r="B23" s="173" t="s">
        <v>261</v>
      </c>
      <c r="C23" s="369" t="s">
        <v>473</v>
      </c>
      <c r="D23" s="141" t="s">
        <v>429</v>
      </c>
      <c r="E23" s="149" t="s">
        <v>474</v>
      </c>
      <c r="F23" s="149" t="s">
        <v>475</v>
      </c>
      <c r="G23" s="151" t="s">
        <v>476</v>
      </c>
    </row>
    <row r="24" spans="1:7" ht="66.75">
      <c r="A24" s="367"/>
      <c r="B24" s="174" t="s">
        <v>477</v>
      </c>
      <c r="C24" s="370"/>
      <c r="D24" s="184"/>
      <c r="E24" s="175"/>
      <c r="F24" s="175"/>
      <c r="G24" s="176"/>
    </row>
    <row r="25" spans="1:7">
      <c r="A25" s="367"/>
      <c r="B25" s="177" t="s">
        <v>261</v>
      </c>
      <c r="C25" s="371"/>
      <c r="D25" s="181"/>
      <c r="E25" s="152"/>
      <c r="F25" s="152"/>
      <c r="G25" s="154"/>
    </row>
    <row r="26" spans="1:7" ht="48">
      <c r="A26" s="367"/>
      <c r="B26" s="168" t="s">
        <v>261</v>
      </c>
      <c r="C26" s="156" t="s">
        <v>478</v>
      </c>
      <c r="D26" s="142" t="s">
        <v>429</v>
      </c>
      <c r="E26" s="156" t="s">
        <v>479</v>
      </c>
      <c r="F26" s="156" t="s">
        <v>480</v>
      </c>
      <c r="G26" s="158" t="s">
        <v>481</v>
      </c>
    </row>
    <row r="27" spans="1:7" ht="55.5">
      <c r="A27" s="368"/>
      <c r="B27" s="178" t="s">
        <v>482</v>
      </c>
      <c r="C27" s="179"/>
      <c r="D27" s="185"/>
      <c r="E27" s="179"/>
      <c r="F27" s="179"/>
      <c r="G27" s="180"/>
    </row>
  </sheetData>
  <mergeCells count="4">
    <mergeCell ref="A2:A12"/>
    <mergeCell ref="A13:A19"/>
    <mergeCell ref="A20:A27"/>
    <mergeCell ref="C23:C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E7B6247FD234A9D5B6036ABF788CD" ma:contentTypeVersion="13" ma:contentTypeDescription="Create a new document." ma:contentTypeScope="" ma:versionID="b50dc4aa3594d91fde16775b8441a32e">
  <xsd:schema xmlns:xsd="http://www.w3.org/2001/XMLSchema" xmlns:xs="http://www.w3.org/2001/XMLSchema" xmlns:p="http://schemas.microsoft.com/office/2006/metadata/properties" xmlns:ns2="6fc5a8ea-eaed-4de4-a4c1-bb274ab7d611" xmlns:ns3="8dcc6fa3-9f4a-44be-8138-52b0a7714600" targetNamespace="http://schemas.microsoft.com/office/2006/metadata/properties" ma:root="true" ma:fieldsID="1877d62fc6685f2668d5ea3d4d9ea396" ns2:_="" ns3:_="">
    <xsd:import namespace="6fc5a8ea-eaed-4de4-a4c1-bb274ab7d611"/>
    <xsd:import namespace="8dcc6fa3-9f4a-44be-8138-52b0a77146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c5a8ea-eaed-4de4-a4c1-bb274ab7d6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cc6fa3-9f4a-44be-8138-52b0a771460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8e6159-c170-46ef-874c-a5c14db90d07}" ma:internalName="TaxCatchAll" ma:showField="CatchAllData" ma:web="8dcc6fa3-9f4a-44be-8138-52b0a77146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fc5a8ea-eaed-4de4-a4c1-bb274ab7d611">
      <Terms xmlns="http://schemas.microsoft.com/office/infopath/2007/PartnerControls"/>
    </lcf76f155ced4ddcb4097134ff3c332f>
    <TaxCatchAll xmlns="8dcc6fa3-9f4a-44be-8138-52b0a7714600" xsi:nil="true"/>
  </documentManagement>
</p:properties>
</file>

<file path=customXml/itemProps1.xml><?xml version="1.0" encoding="utf-8"?>
<ds:datastoreItem xmlns:ds="http://schemas.openxmlformats.org/officeDocument/2006/customXml" ds:itemID="{688C5E67-5AAD-4A88-AB78-3CF63ACD9453}"/>
</file>

<file path=customXml/itemProps2.xml><?xml version="1.0" encoding="utf-8"?>
<ds:datastoreItem xmlns:ds="http://schemas.openxmlformats.org/officeDocument/2006/customXml" ds:itemID="{E32FE3C5-A7B7-419B-9C1E-4DF259820000}"/>
</file>

<file path=customXml/itemProps3.xml><?xml version="1.0" encoding="utf-8"?>
<ds:datastoreItem xmlns:ds="http://schemas.openxmlformats.org/officeDocument/2006/customXml" ds:itemID="{C56FC5F7-0D49-4E8B-A9EE-1DA69F623F3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Marrian Gebreselassie</dc:creator>
  <cp:keywords/>
  <dc:description/>
  <cp:lastModifiedBy/>
  <cp:revision/>
  <dcterms:created xsi:type="dcterms:W3CDTF">2025-11-05T10:21:53Z</dcterms:created>
  <dcterms:modified xsi:type="dcterms:W3CDTF">2026-10-18T21:46:28Z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0x0101009E1E7B6247FD234A9D5B6036ABF788CD</vt:lpwstr>
  </property>
  <property fmtid="{D5CDD505-2E9C-101B-9397-08002B2CF9AE}" pid="3" name="MediaServiceImageTags">
    <vt:lpwstr/>
  </property>
</Properties>
</file>