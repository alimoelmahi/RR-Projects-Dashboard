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sudanresilience/Shared Documents/Project Implmentation/NewKuwait_STRIDES/"/>
    </mc:Choice>
  </mc:AlternateContent>
  <xr:revisionPtr revIDLastSave="0" documentId="8_{25BA9D9B-9BCF-4A96-A5D5-989DC832FF56}" xr6:coauthVersionLast="47" xr6:coauthVersionMax="47" xr10:uidLastSave="{00000000-0000-0000-0000-000000000000}"/>
  <bookViews>
    <workbookView xWindow="-110" yWindow="-110" windowWidth="19420" windowHeight="10300" firstSheet="2" activeTab="2" xr2:uid="{7F5AD84A-8156-49CB-A5A9-CD61801E10C5}"/>
  </bookViews>
  <sheets>
    <sheet name="Project_FactSheet" sheetId="2" r:id="rId1"/>
    <sheet name="Sheet1" sheetId="7" r:id="rId2"/>
    <sheet name="NKuwait_STRIDES_Tracker" sheetId="1" r:id="rId3"/>
    <sheet name="Weekly Update" sheetId="3" r:id="rId4"/>
    <sheet name="Activity Breakdown_wSDC" sheetId="4" r:id="rId5"/>
    <sheet name="Activity Budget 2026 Kuwait" sheetId="6" r:id="rId6"/>
    <sheet name="Procurement -Item distribution " sheetId="5" r:id="rId7"/>
  </sheets>
  <definedNames>
    <definedName name="_ftn1" localSheetId="5">'Activity Budget 2026 Kuwait'!#REF!</definedName>
    <definedName name="_ftn1">'Activity Breakdown_wSDC'!#REF!</definedName>
    <definedName name="_Hlk196742767" localSheetId="5">'Activity Budget 2026 Kuwait'!$A$3</definedName>
    <definedName name="_Hlk196742767">'Activity Breakdown_wSDC'!$A$3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4" l="1"/>
  <c r="C37" i="4"/>
  <c r="C36" i="4"/>
  <c r="C35" i="4"/>
  <c r="C34" i="4"/>
  <c r="C33" i="4"/>
  <c r="E17" i="4"/>
  <c r="E14" i="4"/>
  <c r="F25" i="6"/>
  <c r="F22" i="6"/>
  <c r="F23" i="6"/>
  <c r="F24" i="6"/>
  <c r="F21" i="6"/>
  <c r="F13" i="6"/>
  <c r="F4" i="6"/>
  <c r="F5" i="6"/>
  <c r="F6" i="6"/>
  <c r="F7" i="6"/>
  <c r="F8" i="6"/>
  <c r="F9" i="6"/>
  <c r="F10" i="6"/>
  <c r="F11" i="6"/>
  <c r="F12" i="6"/>
  <c r="F3" i="6"/>
  <c r="I15" i="6"/>
  <c r="I16" i="6"/>
  <c r="I17" i="6"/>
  <c r="I18" i="6"/>
  <c r="I19" i="6"/>
  <c r="I20" i="6"/>
  <c r="I21" i="6"/>
  <c r="I22" i="6"/>
  <c r="I23" i="6"/>
  <c r="I24" i="6"/>
  <c r="I14" i="6"/>
  <c r="I3" i="6"/>
  <c r="I4" i="6"/>
  <c r="I5" i="6"/>
  <c r="I6" i="6"/>
  <c r="I7" i="6"/>
  <c r="I8" i="6"/>
  <c r="I9" i="6"/>
  <c r="I10" i="6"/>
  <c r="I11" i="6"/>
  <c r="I12" i="6"/>
  <c r="E22" i="6"/>
  <c r="E23" i="6"/>
  <c r="E24" i="6"/>
  <c r="E21" i="6"/>
  <c r="E25" i="6" s="1"/>
  <c r="E18" i="6"/>
  <c r="E19" i="6"/>
  <c r="E15" i="6"/>
  <c r="E16" i="6"/>
  <c r="E17" i="6"/>
  <c r="E14" i="6"/>
  <c r="E20" i="6" s="1"/>
  <c r="E4" i="6"/>
  <c r="E5" i="6"/>
  <c r="E6" i="6"/>
  <c r="E7" i="6"/>
  <c r="E8" i="6"/>
  <c r="E9" i="6"/>
  <c r="E10" i="6"/>
  <c r="E11" i="6"/>
  <c r="E12" i="6"/>
  <c r="E3" i="6"/>
  <c r="E13" i="6" s="1"/>
  <c r="D25" i="6"/>
  <c r="D20" i="6"/>
  <c r="D13" i="6"/>
  <c r="D31" i="6" s="1"/>
  <c r="C13" i="6"/>
  <c r="D13" i="4"/>
  <c r="E13" i="4"/>
  <c r="C13" i="4"/>
  <c r="E27" i="4"/>
  <c r="E28" i="4"/>
  <c r="E29" i="4"/>
  <c r="E30" i="4"/>
  <c r="E26" i="4"/>
  <c r="E25" i="4"/>
  <c r="G21" i="4"/>
  <c r="E22" i="4"/>
  <c r="E23" i="4"/>
  <c r="E24" i="4"/>
  <c r="E21" i="4"/>
  <c r="E20" i="4"/>
  <c r="E15" i="4"/>
  <c r="E16" i="4"/>
  <c r="E18" i="4"/>
  <c r="E19" i="4"/>
  <c r="G14" i="4"/>
  <c r="G22" i="4"/>
  <c r="G23" i="4"/>
  <c r="G24" i="4"/>
  <c r="G15" i="4"/>
  <c r="G16" i="4"/>
  <c r="G17" i="4"/>
  <c r="G18" i="4"/>
  <c r="G19" i="4"/>
  <c r="D25" i="4"/>
  <c r="D20" i="4"/>
  <c r="E4" i="4"/>
  <c r="G4" i="4" s="1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2" i="4"/>
  <c r="G12" i="4" s="1"/>
  <c r="E3" i="4"/>
  <c r="G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tc={8ADD9A3A-4D3E-43FC-B625-6DE2AEA3E149}</author>
  </authors>
  <commentList>
    <comment ref="I3" authorId="0" shapeId="0" xr:uid="{8ADD9A3A-4D3E-43FC-B625-6DE2AEA3E149}">
      <text>
        <t>[Threaded comment]
Your version of Excel allows you to read this threaded comment; however, any edits to it will get removed if the file is opened in a newer version of Excel. Learn more: https://go.microsoft.com/fwlink/?linkid=870924
Comment:
    In SORR LVGA, written target 1000HH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tc={103EF3F9-7188-4D4C-8E58-DA9C2F299B74}</author>
  </authors>
  <commentList>
    <comment ref="E14" authorId="0" shapeId="0" xr:uid="{103EF3F9-7188-4D4C-8E58-DA9C2F299B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@Amna Tameem  did a slight correction on this column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tc={5B416C4D-0865-4B6A-94B3-6243A0D4E5DB}</author>
    <author>tc={1A2C0815-14C0-478E-A1EE-455DDC6C9955}</author>
    <author>tc={FB64B701-E6DD-42A9-9290-5690A13163DF}</author>
  </authors>
  <commentList>
    <comment ref="F11" authorId="0" shapeId="0" xr:uid="{5B416C4D-0865-4B6A-94B3-6243A0D4E5DB}">
      <text>
        <t>[Threaded comment]
Your version of Excel allows you to read this threaded comment; however, any edits to it will get removed if the file is opened in a newer version of Excel. Learn more: https://go.microsoft.com/fwlink/?linkid=870924
Comment:
    @Ahmed Adam @Amna Tameem please complete this column as we'll soon be preparing a report for Kuwait-460</t>
      </text>
    </comment>
    <comment ref="F23" authorId="1" shapeId="0" xr:uid="{1A2C0815-14C0-478E-A1EE-455DDC6C9955}">
      <text>
        <t>[Threaded comment]
Your version of Excel allows you to read this threaded comment; however, any edits to it will get removed if the file is opened in a newer version of Excel. Learn more: https://go.microsoft.com/fwlink/?linkid=870924
Comment:
    @Ahmed Adam @Amna Tameem please complete this column as we'll soon be preparing a report for Kuwait-460</t>
      </text>
    </comment>
    <comment ref="F31" authorId="2" shapeId="0" xr:uid="{FB64B701-E6DD-42A9-9290-5690A13163DF}">
      <text>
        <t>[Threaded comment]
Your version of Excel allows you to read this threaded comment; however, any edits to it will get removed if the file is opened in a newer version of Excel. Learn more: https://go.microsoft.com/fwlink/?linkid=870924
Comment:
    @Ahmed Adam @Amna Tameem please complete this column as we'll soon be preparing a report for Kuwait-460</t>
      </text>
    </comment>
  </commentList>
</comments>
</file>

<file path=xl/sharedStrings.xml><?xml version="1.0" encoding="utf-8"?>
<sst xmlns="http://schemas.openxmlformats.org/spreadsheetml/2006/main" count="299" uniqueCount="168">
  <si>
    <t>Project Name:</t>
  </si>
  <si>
    <t>Strengthening the Resilience of IDPS, Refugees and Vulnerable Host Communities in East Sudan</t>
  </si>
  <si>
    <t>Award No:</t>
  </si>
  <si>
    <t>1527488 (Kuwait-460)</t>
  </si>
  <si>
    <t>Donor:</t>
  </si>
  <si>
    <t>Kuwait Fund for Arab Economic Development (KFAED)</t>
  </si>
  <si>
    <t>Total budget:</t>
  </si>
  <si>
    <t>Start date:</t>
  </si>
  <si>
    <t>End date:</t>
  </si>
  <si>
    <t>Project Duration:</t>
  </si>
  <si>
    <t>24 months</t>
  </si>
  <si>
    <t>Target locations:</t>
  </si>
  <si>
    <t>Kassala, Gedaref and Red Sea States</t>
  </si>
  <si>
    <t>Implementing Partners:</t>
  </si>
  <si>
    <t>TBC</t>
  </si>
  <si>
    <t>Last update to tracker:</t>
  </si>
  <si>
    <t>Project Locations</t>
  </si>
  <si>
    <t>Red Sea</t>
  </si>
  <si>
    <t>Tokar</t>
  </si>
  <si>
    <t>Sinkat</t>
  </si>
  <si>
    <t>Kassala</t>
  </si>
  <si>
    <t>Girba</t>
  </si>
  <si>
    <t>Gedaref</t>
  </si>
  <si>
    <t xml:space="preserve">Mafaza </t>
  </si>
  <si>
    <t>El Rahad</t>
  </si>
  <si>
    <t>Output</t>
  </si>
  <si>
    <t>Output Indicator</t>
  </si>
  <si>
    <t>Baseline</t>
  </si>
  <si>
    <t>Target</t>
  </si>
  <si>
    <t>Activity</t>
  </si>
  <si>
    <t>STRIDES Activity Target</t>
  </si>
  <si>
    <t>Kuwait-460 Target</t>
  </si>
  <si>
    <t>Actual</t>
  </si>
  <si>
    <t>SORR-Target</t>
  </si>
  <si>
    <t>SORR-Actual_Sep</t>
  </si>
  <si>
    <t>ADA-Target</t>
  </si>
  <si>
    <t>ADA-Actual_Sep</t>
  </si>
  <si>
    <t>MDO-Target</t>
  </si>
  <si>
    <t>MDO-Actual_Sep</t>
  </si>
  <si>
    <t>Output 1: Income generation, employment and food production support provided to IDPs, refugees and host community members;</t>
  </si>
  <si>
    <t>1.2 % of smallholder farmers reporting increase in agricultural production per hectare.</t>
  </si>
  <si>
    <t>At least 80%</t>
  </si>
  <si>
    <t>Activity 1.1: Distribute agricultural (seeds, fertilizers, and tools) and Fisheries inputs (Fishing gear, boats and engines and fish processing storage and preservation equipment) to 15,000 IDPs and Vulnerable host community households</t>
  </si>
  <si>
    <t>1000 (635 F)</t>
  </si>
  <si>
    <t>Activity 1.2 Facilitate Access to land by 8000 IDPs, Refugees and vulnerable landless groups for agriculture activities</t>
  </si>
  <si>
    <t>Activity 1.3 Establish 12 Agricultural Associations and including IDPs, Refugees and host Community Members</t>
  </si>
  <si>
    <t>1.1 Number of smallholder farmers receiving agriculture support, including IDPs and host communities.</t>
  </si>
  <si>
    <t>Activity 1.4 Provide agricultural extension to 20,000 households services through Farmer Field Schools in collaboration with the Ministry of Production and the Agricultural Research Stations;</t>
  </si>
  <si>
    <t>8 FFS (460 farmers)</t>
  </si>
  <si>
    <t>Activity 1.5 Organize Two (2) Training of Trainer Workshop for 60 Fishermen on Storage, Processing and Value Addition of fish</t>
  </si>
  <si>
    <t>1.6 % of household stating improvement in food security based in Food Insecurity Experience Survey (FIES)</t>
  </si>
  <si>
    <t>Activity 1.6 Initiate Seed multiplication in 6 sites with lead farmers in partnership with the Agricultural Research Stations</t>
  </si>
  <si>
    <t>Activity 1.7: Support to livestock restocking and vaccination (mainly small ruminants) for 4,500 most vulnerable households</t>
  </si>
  <si>
    <t>40 HH (80 goats)</t>
  </si>
  <si>
    <t>1.3 Number of groups, associations and Microenterprises receiving microgrants and savings support to establish small businesses.</t>
  </si>
  <si>
    <t>Activity 1.8: Provide micro-grants to vulnerable groups and associations to 505 associations/groups and micro-enterprises to undertake small business and Income_x0002_generation venture.</t>
  </si>
  <si>
    <t>1.4 Number of people benefiting from emergency employment opportunities</t>
  </si>
  <si>
    <t>Activity 1.9: Support emergency employment initiatives for 3000 youth through Cash for Work initiatives.</t>
  </si>
  <si>
    <t>1.5 % increase in household income attributed to project intervention.</t>
  </si>
  <si>
    <t>At least 85%</t>
  </si>
  <si>
    <t>Activity 1.10: Facilitate linkages with at least 2 private sector and other value chains stakeholders to promote access to market</t>
  </si>
  <si>
    <t>Output 2: Renewable energy and water infrastructure/equipment provided that benefit IDPs, Refugees and host communities.</t>
  </si>
  <si>
    <t>2.1 Number and type of water resources rehabilitated, up and running</t>
  </si>
  <si>
    <t>Activity 2.1: Establish/rehabilitate, upgrade and solarize 12 water resources (water awards, boreholes etc.)</t>
  </si>
  <si>
    <t>2.2 Number of households with accessing water within 500 meter from households.</t>
  </si>
  <si>
    <t>At least 160000 people of which 60% female</t>
  </si>
  <si>
    <t>Activity 2.2 Establish and train 12 CMCs on Water Resource Management, cost recovery and Sustainability to implement Cost Recovery mechanisms</t>
  </si>
  <si>
    <t>2.3 Number of Solar Pumps distributed.</t>
  </si>
  <si>
    <t>Activity 2.3 Provision of 20 Solar Water Pumps and Accessories for irrigation including gardening.</t>
  </si>
  <si>
    <t>2.4 Number and type of farm machinery to support agricultural production.</t>
  </si>
  <si>
    <t>Activity 2.4: Provide 10 agricultural machinery including Tractors and accessories to Associations to increase production.</t>
  </si>
  <si>
    <t>2.5 % increase in area under production per household thanks to access to machinery</t>
  </si>
  <si>
    <t>Activity 2.5: Distribute Household Solar Box (Torchlight, radio, charging system) to 8000 IDPs and vulnerable host households</t>
  </si>
  <si>
    <t>2.6 % of households reporting reduction in GBV incidents thanks to the project.</t>
  </si>
  <si>
    <t>Activity 2.7: Provide 100 Solar Street lights and Flood Lights in Gathering areas to reduce protection risks for women</t>
  </si>
  <si>
    <t>Output 3: Communitybased institutions and structures in place and functioning.</t>
  </si>
  <si>
    <t xml:space="preserve">3.1 Number of CMCs established. </t>
  </si>
  <si>
    <t>Activity 3.1: Establish 12 community management committees (CMCs) each with 25 members and 2-3 Sub-committees (with representation women and youth).</t>
  </si>
  <si>
    <t>3.2 % of females and Youth in the CMCs</t>
  </si>
  <si>
    <t>At least 40%</t>
  </si>
  <si>
    <t>Activity 3.2: Conduct training for 300 CMCs on communication and advocacy skills, negotiation and mediation skills, Gender equality, SGBV and leadership skills.</t>
  </si>
  <si>
    <t>125 CMC members</t>
  </si>
  <si>
    <t>3.3 Number of community peace dialogue forums conducted.</t>
  </si>
  <si>
    <t>Activity 3.3: Conduct 12 community peace dialogue forums</t>
  </si>
  <si>
    <t>3.4 % of IDPs and host community members stating improvement in relations among different groups.</t>
  </si>
  <si>
    <t>At least 75%</t>
  </si>
  <si>
    <t>Activity 3.4 Support CMCs to organize peace events such sports, cultural and dance events emphasizing peace, social cohesion, and Co-existence among different groups.</t>
  </si>
  <si>
    <t>Not specified in project docs</t>
  </si>
  <si>
    <t>Week Duration</t>
  </si>
  <si>
    <t>Activity Update</t>
  </si>
  <si>
    <t>22nd Febto 26th Feb</t>
  </si>
  <si>
    <t xml:space="preserve">New Kuwait Fund 460 – Gash Scheme (Kassala):
•	Joint field visit conducted with UNDP, MoPER, Gash Irrigation Department.
•	Most irrigation canals are buried under sand and currently non-functional; the Gash River has also experienced breaches and course changes.
•	For the preparation of BOQs requires a comprehensive technical study, including topographic surveys (coordinates and elevation levels), to accurately define scope and costs and thus survey engineer needs to be contracted.   </t>
  </si>
  <si>
    <t>Indicative Activities</t>
  </si>
  <si>
    <t>Budget by Source</t>
  </si>
  <si>
    <t>Outputs</t>
  </si>
  <si>
    <t>Kuwait (USD)</t>
  </si>
  <si>
    <t>SDC
(USD)</t>
  </si>
  <si>
    <t>Total (USD)</t>
  </si>
  <si>
    <t>Total Target</t>
  </si>
  <si>
    <t>Kuwait_TargetContribution</t>
  </si>
  <si>
    <t>Output 1: Income generation, employment and food production support provided to IDPs, refugees and host community members</t>
  </si>
  <si>
    <t>Activity 1.1: Distribute agricultural (seeds, fertilizers, and tools) and Fisheries inputs (Fishing gear, boats and engines and fish processing storage and preservation equipment) to 15,000 IDPs and Vulnerable host community households;</t>
  </si>
  <si>
    <t>Activity 1.2 Facilitate Access to land for 8,000 IDPs, Refugees and vulnerable landless groups for agriculture activities</t>
  </si>
  <si>
    <t>Activity 1.4 Provide agricultural extension to 20,000 households services through Farmer Field Schools in collaboration with the Ministry of Production and the Agricultural Research Stations</t>
  </si>
  <si>
    <t>Activity 1.8: Provide micro-grants to vulnerable groups and associations to 505 associations/groups and micro-enterprises to undertake small business and Income-generation ventures</t>
  </si>
  <si>
    <t> </t>
  </si>
  <si>
    <t>Sub-total- Output 1</t>
  </si>
  <si>
    <r>
      <t>Output 2:</t>
    </r>
    <r>
      <rPr>
        <b/>
        <sz val="11"/>
        <color theme="1"/>
        <rFont val="Times New Roman"/>
        <family val="1"/>
        <charset val="1"/>
      </rPr>
      <t xml:space="preserve"> Renewable energy and water infrastructure/equipment provided that benefit IDPs, Refugees and host communities.</t>
    </r>
  </si>
  <si>
    <t>Sub-total- Output 2</t>
  </si>
  <si>
    <r>
      <t>Output 3:</t>
    </r>
    <r>
      <rPr>
        <b/>
        <sz val="11"/>
        <color theme="1"/>
        <rFont val="Times New Roman"/>
        <family val="1"/>
        <charset val="1"/>
      </rPr>
      <t xml:space="preserve"> Community-based institutions and structures in place and functioning.</t>
    </r>
  </si>
  <si>
    <t>Sub-total- Output 3</t>
  </si>
  <si>
    <t>Total Direct Costs</t>
  </si>
  <si>
    <t>Outputs 1-3 + Project Management+ Risk Modifier</t>
  </si>
  <si>
    <t>Indirect Costs</t>
  </si>
  <si>
    <t>UN Coordination Levy (1%)</t>
  </si>
  <si>
    <t>General Management Services Cost (8%)</t>
  </si>
  <si>
    <r>
      <t>General Management Services Cost (</t>
    </r>
    <r>
      <rPr>
        <sz val="11"/>
        <color theme="1"/>
        <rFont val="MS Mincho"/>
        <family val="3"/>
        <charset val="128"/>
      </rPr>
      <t>5</t>
    </r>
    <r>
      <rPr>
        <sz val="11"/>
        <color theme="1"/>
        <rFont val="Times New Roman"/>
        <family val="1"/>
        <charset val="1"/>
      </rPr>
      <t>%)</t>
    </r>
  </si>
  <si>
    <t>Sub-total Indirect Costs</t>
  </si>
  <si>
    <t>Grand Total</t>
  </si>
  <si>
    <t>DPC</t>
  </si>
  <si>
    <t>Managment cost</t>
  </si>
  <si>
    <t xml:space="preserve">Target </t>
  </si>
  <si>
    <t>Total Budget Kuwait (USD)</t>
  </si>
  <si>
    <t xml:space="preserve">AWP 2026 Budget </t>
  </si>
  <si>
    <t xml:space="preserve"> Budget /2027</t>
  </si>
  <si>
    <t>Budget per state 2026</t>
  </si>
  <si>
    <t>Total  STRIDS Project Target</t>
  </si>
  <si>
    <t>Kuwait Target Contribution</t>
  </si>
  <si>
    <t xml:space="preserve">Target Per state </t>
  </si>
  <si>
    <t xml:space="preserve">Procurement </t>
  </si>
  <si>
    <t xml:space="preserve">Activity Budget </t>
  </si>
  <si>
    <t>Solar streetlights</t>
  </si>
  <si>
    <t>Area</t>
  </si>
  <si>
    <t>Locality</t>
  </si>
  <si>
    <t>State</t>
  </si>
  <si>
    <t>Quantity</t>
  </si>
  <si>
    <t>Aroma Town</t>
  </si>
  <si>
    <t>Aroma locality </t>
  </si>
  <si>
    <t>New Halfa Town</t>
  </si>
  <si>
    <t>Khashm Elgirba</t>
  </si>
  <si>
    <t>Solar lanterns</t>
  </si>
  <si>
    <t>#</t>
  </si>
  <si>
    <t>Destination Name</t>
  </si>
  <si>
    <t>Locality Name</t>
  </si>
  <si>
    <t>State Name</t>
  </si>
  <si>
    <t>Solar Lanterns</t>
  </si>
  <si>
    <t>Status</t>
  </si>
  <si>
    <t>Elmafaza town</t>
  </si>
  <si>
    <t>Elmafaza</t>
  </si>
  <si>
    <t>Ongoing</t>
  </si>
  <si>
    <t>Gedaref Town</t>
  </si>
  <si>
    <t>Procured - Completed works</t>
  </si>
  <si>
    <t>Elhawata</t>
  </si>
  <si>
    <t>Elrahad</t>
  </si>
  <si>
    <t>Planned</t>
  </si>
  <si>
    <t>Total</t>
  </si>
  <si>
    <t>Water irrigation pumps—Locations:</t>
  </si>
  <si>
    <t>Irrigation pumps</t>
  </si>
  <si>
    <t>Kassala Town</t>
  </si>
  <si>
    <t>Bandigeaw</t>
  </si>
  <si>
    <t>West Galabat</t>
  </si>
  <si>
    <t>Arbaat</t>
  </si>
  <si>
    <t>Elganob  Eloleeb</t>
  </si>
  <si>
    <t>Water projects-- Locations</t>
  </si>
  <si>
    <t>New Halfa</t>
  </si>
  <si>
    <t>Khorelaban</t>
  </si>
  <si>
    <t>Jabait</t>
  </si>
  <si>
    <t>Sankat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</si>
</sst>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_(* #,##0_);_(* \(#,##0\);_(* &quot;-&quot;??_);_(@_)"/>
  </numFmts>
  <fonts count="2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theme="1"/>
      <name val="Calibri"/>
      <family val="2"/>
      <charset val="1"/>
    </font>
    <font>
      <b/>
      <sz val="11"/>
      <color theme="1"/>
      <name val="Times New Roman"/>
      <family val="1"/>
      <charset val="1"/>
    </font>
    <font>
      <b/>
      <u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11"/>
      <color theme="1"/>
      <name val="MS Mincho"/>
      <family val="3"/>
      <charset val="128"/>
    </font>
    <font>
      <sz val="11"/>
      <color rgb="FF000000"/>
      <name val="Aptos Narrow"/>
      <family val="2"/>
      <charset val="1"/>
    </font>
    <font>
      <sz val="10"/>
      <color theme="1"/>
      <name val="Aptos"/>
      <family val="2"/>
    </font>
    <font>
      <sz val="11"/>
      <color rgb="FF000000"/>
      <name val="Aptos Narrow"/>
      <family val="2"/>
    </font>
    <font>
      <b/>
      <sz val="10"/>
      <color rgb="FF000000"/>
      <name val="Times New Roman"/>
      <family val="1"/>
      <charset val="1"/>
    </font>
    <font>
      <sz val="12"/>
      <color theme="1"/>
      <name val="Aptos"/>
      <family val="2"/>
      <charset val="1"/>
    </font>
    <font>
      <sz val="11"/>
      <color theme="1"/>
      <name val="Aptos"/>
      <family val="2"/>
      <charset val="1"/>
    </font>
    <font>
      <b/>
      <sz val="11"/>
      <color theme="1"/>
      <name val="Aptos"/>
      <family val="2"/>
      <charset val="1"/>
    </font>
    <font>
      <b/>
      <u/>
      <sz val="11"/>
      <color theme="1"/>
      <name val="Aptos"/>
      <family val="2"/>
      <charset val="1"/>
    </font>
    <font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156082"/>
      </top>
      <bottom style="thin">
        <color rgb="FF15608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9" fontId="0" fillId="0" borderId="1" xfId="0" applyNumberFormat="1" applyBorder="1" applyAlignment="1">
      <alignment horizontal="right" vertical="top"/>
    </xf>
    <xf numFmtId="0" fontId="2" fillId="3" borderId="0" xfId="0" applyFont="1" applyFill="1" applyAlignment="1">
      <alignment wrapText="1"/>
    </xf>
    <xf numFmtId="0" fontId="0" fillId="3" borderId="0" xfId="0" applyFill="1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15" fontId="0" fillId="3" borderId="1" xfId="0" applyNumberFormat="1" applyFill="1" applyBorder="1" applyAlignment="1">
      <alignment horizontal="left" wrapText="1"/>
    </xf>
    <xf numFmtId="15" fontId="0" fillId="3" borderId="1" xfId="0" applyNumberFormat="1" applyFill="1" applyBorder="1" applyAlignment="1">
      <alignment wrapText="1"/>
    </xf>
    <xf numFmtId="0" fontId="0" fillId="4" borderId="0" xfId="0" applyFill="1"/>
    <xf numFmtId="0" fontId="2" fillId="4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0" borderId="1" xfId="0" applyFont="1" applyBorder="1"/>
    <xf numFmtId="8" fontId="3" fillId="0" borderId="1" xfId="0" applyNumberFormat="1" applyFont="1" applyBorder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7" xfId="0" applyBorder="1"/>
    <xf numFmtId="0" fontId="6" fillId="7" borderId="3" xfId="0" applyFont="1" applyFill="1" applyBorder="1"/>
    <xf numFmtId="0" fontId="4" fillId="7" borderId="3" xfId="0" applyFont="1" applyFill="1" applyBorder="1"/>
    <xf numFmtId="0" fontId="4" fillId="7" borderId="3" xfId="0" applyFont="1" applyFill="1" applyBorder="1" applyAlignment="1">
      <alignment wrapText="1"/>
    </xf>
    <xf numFmtId="0" fontId="7" fillId="0" borderId="7" xfId="0" applyFont="1" applyBorder="1"/>
    <xf numFmtId="0" fontId="9" fillId="0" borderId="1" xfId="0" applyFont="1" applyBorder="1"/>
    <xf numFmtId="3" fontId="9" fillId="0" borderId="1" xfId="0" applyNumberFormat="1" applyFont="1" applyBorder="1"/>
    <xf numFmtId="0" fontId="11" fillId="8" borderId="1" xfId="0" applyFont="1" applyFill="1" applyBorder="1"/>
    <xf numFmtId="0" fontId="10" fillId="8" borderId="1" xfId="0" applyFont="1" applyFill="1" applyBorder="1"/>
    <xf numFmtId="3" fontId="10" fillId="8" borderId="1" xfId="0" applyNumberFormat="1" applyFont="1" applyFill="1" applyBorder="1"/>
    <xf numFmtId="0" fontId="7" fillId="0" borderId="6" xfId="0" applyFont="1" applyBorder="1"/>
    <xf numFmtId="3" fontId="9" fillId="0" borderId="8" xfId="0" applyNumberFormat="1" applyFont="1" applyBorder="1"/>
    <xf numFmtId="0" fontId="4" fillId="8" borderId="1" xfId="0" applyFont="1" applyFill="1" applyBorder="1"/>
    <xf numFmtId="0" fontId="6" fillId="0" borderId="1" xfId="0" applyFont="1" applyBorder="1"/>
    <xf numFmtId="0" fontId="5" fillId="0" borderId="1" xfId="0" applyFont="1" applyBorder="1"/>
    <xf numFmtId="0" fontId="4" fillId="9" borderId="1" xfId="0" applyFont="1" applyFill="1" applyBorder="1"/>
    <xf numFmtId="3" fontId="10" fillId="9" borderId="1" xfId="0" applyNumberFormat="1" applyFont="1" applyFill="1" applyBorder="1"/>
    <xf numFmtId="3" fontId="10" fillId="9" borderId="14" xfId="0" applyNumberFormat="1" applyFont="1" applyFill="1" applyBorder="1"/>
    <xf numFmtId="0" fontId="5" fillId="8" borderId="14" xfId="0" applyFont="1" applyFill="1" applyBorder="1"/>
    <xf numFmtId="0" fontId="4" fillId="7" borderId="2" xfId="0" applyFont="1" applyFill="1" applyBorder="1"/>
    <xf numFmtId="0" fontId="4" fillId="7" borderId="8" xfId="0" applyFont="1" applyFill="1" applyBorder="1" applyAlignment="1">
      <alignment wrapText="1"/>
    </xf>
    <xf numFmtId="0" fontId="8" fillId="0" borderId="3" xfId="0" applyFont="1" applyBorder="1"/>
    <xf numFmtId="0" fontId="8" fillId="0" borderId="1" xfId="0" applyFont="1" applyBorder="1"/>
    <xf numFmtId="0" fontId="5" fillId="9" borderId="1" xfId="0" applyFont="1" applyFill="1" applyBorder="1"/>
    <xf numFmtId="0" fontId="14" fillId="0" borderId="1" xfId="0" applyFont="1" applyBorder="1" applyAlignment="1">
      <alignment vertical="top"/>
    </xf>
    <xf numFmtId="0" fontId="8" fillId="2" borderId="1" xfId="0" applyFont="1" applyFill="1" applyBorder="1"/>
    <xf numFmtId="0" fontId="8" fillId="2" borderId="3" xfId="0" applyFont="1" applyFill="1" applyBorder="1"/>
    <xf numFmtId="1" fontId="14" fillId="0" borderId="1" xfId="0" applyNumberFormat="1" applyFont="1" applyBorder="1" applyAlignment="1">
      <alignment vertical="top"/>
    </xf>
    <xf numFmtId="3" fontId="9" fillId="0" borderId="5" xfId="0" applyNumberFormat="1" applyFont="1" applyBorder="1"/>
    <xf numFmtId="3" fontId="9" fillId="0" borderId="6" xfId="0" applyNumberFormat="1" applyFont="1" applyBorder="1"/>
    <xf numFmtId="3" fontId="9" fillId="0" borderId="13" xfId="0" applyNumberFormat="1" applyFont="1" applyBorder="1"/>
    <xf numFmtId="0" fontId="9" fillId="0" borderId="13" xfId="0" applyFont="1" applyBorder="1"/>
    <xf numFmtId="3" fontId="9" fillId="2" borderId="5" xfId="0" applyNumberFormat="1" applyFont="1" applyFill="1" applyBorder="1"/>
    <xf numFmtId="3" fontId="9" fillId="2" borderId="8" xfId="0" applyNumberFormat="1" applyFont="1" applyFill="1" applyBorder="1"/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right" vertical="top"/>
    </xf>
    <xf numFmtId="3" fontId="10" fillId="8" borderId="13" xfId="0" applyNumberFormat="1" applyFont="1" applyFill="1" applyBorder="1"/>
    <xf numFmtId="0" fontId="15" fillId="0" borderId="5" xfId="0" applyFont="1" applyBorder="1"/>
    <xf numFmtId="0" fontId="0" fillId="0" borderId="5" xfId="0" applyBorder="1"/>
    <xf numFmtId="3" fontId="10" fillId="0" borderId="15" xfId="0" applyNumberFormat="1" applyFont="1" applyBorder="1"/>
    <xf numFmtId="3" fontId="10" fillId="0" borderId="10" xfId="0" applyNumberFormat="1" applyFont="1" applyBorder="1"/>
    <xf numFmtId="0" fontId="5" fillId="8" borderId="8" xfId="0" applyFont="1" applyFill="1" applyBorder="1"/>
    <xf numFmtId="3" fontId="10" fillId="12" borderId="16" xfId="0" applyNumberFormat="1" applyFont="1" applyFill="1" applyBorder="1"/>
    <xf numFmtId="0" fontId="0" fillId="12" borderId="5" xfId="0" applyFill="1" applyBorder="1"/>
    <xf numFmtId="3" fontId="10" fillId="12" borderId="1" xfId="0" applyNumberFormat="1" applyFont="1" applyFill="1" applyBorder="1"/>
    <xf numFmtId="0" fontId="0" fillId="12" borderId="0" xfId="0" applyFill="1"/>
    <xf numFmtId="0" fontId="15" fillId="11" borderId="5" xfId="0" applyFont="1" applyFill="1" applyBorder="1" applyAlignment="1">
      <alignment wrapText="1"/>
    </xf>
    <xf numFmtId="3" fontId="10" fillId="10" borderId="16" xfId="0" applyNumberFormat="1" applyFont="1" applyFill="1" applyBorder="1"/>
    <xf numFmtId="0" fontId="0" fillId="0" borderId="17" xfId="0" applyBorder="1"/>
    <xf numFmtId="3" fontId="9" fillId="3" borderId="5" xfId="0" applyNumberFormat="1" applyFont="1" applyFill="1" applyBorder="1"/>
    <xf numFmtId="3" fontId="9" fillId="3" borderId="11" xfId="0" applyNumberFormat="1" applyFont="1" applyFill="1" applyBorder="1"/>
    <xf numFmtId="0" fontId="9" fillId="3" borderId="11" xfId="0" applyFont="1" applyFill="1" applyBorder="1"/>
    <xf numFmtId="3" fontId="13" fillId="3" borderId="11" xfId="0" applyNumberFormat="1" applyFont="1" applyFill="1" applyBorder="1"/>
    <xf numFmtId="0" fontId="8" fillId="13" borderId="1" xfId="0" applyFont="1" applyFill="1" applyBorder="1"/>
    <xf numFmtId="3" fontId="9" fillId="13" borderId="13" xfId="0" applyNumberFormat="1" applyFont="1" applyFill="1" applyBorder="1"/>
    <xf numFmtId="3" fontId="9" fillId="13" borderId="5" xfId="0" applyNumberFormat="1" applyFont="1" applyFill="1" applyBorder="1"/>
    <xf numFmtId="3" fontId="9" fillId="13" borderId="8" xfId="0" applyNumberFormat="1" applyFont="1" applyFill="1" applyBorder="1"/>
    <xf numFmtId="0" fontId="14" fillId="13" borderId="1" xfId="0" applyFont="1" applyFill="1" applyBorder="1" applyAlignment="1">
      <alignment vertical="top"/>
    </xf>
    <xf numFmtId="1" fontId="14" fillId="13" borderId="1" xfId="0" applyNumberFormat="1" applyFont="1" applyFill="1" applyBorder="1" applyAlignment="1">
      <alignment vertical="top"/>
    </xf>
    <xf numFmtId="1" fontId="14" fillId="0" borderId="13" xfId="0" applyNumberFormat="1" applyFont="1" applyBorder="1" applyAlignment="1">
      <alignment vertical="top"/>
    </xf>
    <xf numFmtId="0" fontId="4" fillId="7" borderId="0" xfId="0" applyFont="1" applyFill="1" applyAlignment="1">
      <alignment wrapText="1"/>
    </xf>
    <xf numFmtId="0" fontId="16" fillId="7" borderId="18" xfId="0" applyFont="1" applyFill="1" applyBorder="1" applyAlignment="1">
      <alignment wrapText="1"/>
    </xf>
    <xf numFmtId="0" fontId="4" fillId="7" borderId="6" xfId="0" applyFont="1" applyFill="1" applyBorder="1"/>
    <xf numFmtId="0" fontId="6" fillId="7" borderId="2" xfId="0" applyFont="1" applyFill="1" applyBorder="1" applyAlignment="1">
      <alignment wrapText="1"/>
    </xf>
    <xf numFmtId="0" fontId="4" fillId="7" borderId="2" xfId="0" applyFont="1" applyFill="1" applyBorder="1" applyAlignment="1">
      <alignment wrapText="1"/>
    </xf>
    <xf numFmtId="3" fontId="9" fillId="0" borderId="15" xfId="0" applyNumberFormat="1" applyFont="1" applyBorder="1"/>
    <xf numFmtId="0" fontId="15" fillId="0" borderId="20" xfId="0" applyFont="1" applyBorder="1"/>
    <xf numFmtId="0" fontId="15" fillId="11" borderId="20" xfId="0" applyFont="1" applyFill="1" applyBorder="1" applyAlignment="1">
      <alignment wrapText="1"/>
    </xf>
    <xf numFmtId="0" fontId="0" fillId="12" borderId="20" xfId="0" applyFill="1" applyBorder="1"/>
    <xf numFmtId="3" fontId="10" fillId="0" borderId="5" xfId="0" applyNumberFormat="1" applyFont="1" applyBorder="1"/>
    <xf numFmtId="3" fontId="9" fillId="3" borderId="10" xfId="0" applyNumberFormat="1" applyFont="1" applyFill="1" applyBorder="1"/>
    <xf numFmtId="3" fontId="10" fillId="12" borderId="15" xfId="0" applyNumberFormat="1" applyFont="1" applyFill="1" applyBorder="1"/>
    <xf numFmtId="3" fontId="10" fillId="12" borderId="17" xfId="0" applyNumberFormat="1" applyFont="1" applyFill="1" applyBorder="1"/>
    <xf numFmtId="0" fontId="0" fillId="12" borderId="21" xfId="0" applyFill="1" applyBorder="1"/>
    <xf numFmtId="3" fontId="13" fillId="3" borderId="5" xfId="0" applyNumberFormat="1" applyFont="1" applyFill="1" applyBorder="1"/>
    <xf numFmtId="3" fontId="10" fillId="9" borderId="5" xfId="0" applyNumberFormat="1" applyFont="1" applyFill="1" applyBorder="1"/>
    <xf numFmtId="3" fontId="10" fillId="10" borderId="5" xfId="0" applyNumberFormat="1" applyFont="1" applyFill="1" applyBorder="1"/>
    <xf numFmtId="0" fontId="8" fillId="0" borderId="13" xfId="0" applyFont="1" applyBorder="1"/>
    <xf numFmtId="0" fontId="5" fillId="9" borderId="13" xfId="0" applyFont="1" applyFill="1" applyBorder="1"/>
    <xf numFmtId="3" fontId="9" fillId="0" borderId="3" xfId="0" applyNumberFormat="1" applyFont="1" applyBorder="1"/>
    <xf numFmtId="0" fontId="9" fillId="3" borderId="0" xfId="0" applyFont="1" applyFill="1"/>
    <xf numFmtId="3" fontId="10" fillId="0" borderId="17" xfId="0" applyNumberFormat="1" applyFont="1" applyBorder="1"/>
    <xf numFmtId="3" fontId="9" fillId="2" borderId="13" xfId="0" applyNumberFormat="1" applyFont="1" applyFill="1" applyBorder="1"/>
    <xf numFmtId="164" fontId="0" fillId="2" borderId="5" xfId="0" applyNumberFormat="1" applyFill="1" applyBorder="1"/>
    <xf numFmtId="164" fontId="14" fillId="0" borderId="13" xfId="0" applyNumberFormat="1" applyFont="1" applyBorder="1" applyAlignment="1">
      <alignment vertical="top"/>
    </xf>
    <xf numFmtId="164" fontId="14" fillId="2" borderId="13" xfId="0" applyNumberFormat="1" applyFont="1" applyFill="1" applyBorder="1" applyAlignment="1">
      <alignment vertical="top"/>
    </xf>
    <xf numFmtId="164" fontId="14" fillId="0" borderId="1" xfId="0" applyNumberFormat="1" applyFont="1" applyBorder="1" applyAlignment="1">
      <alignment vertical="top"/>
    </xf>
    <xf numFmtId="164" fontId="14" fillId="2" borderId="1" xfId="0" applyNumberFormat="1" applyFont="1" applyFill="1" applyBorder="1" applyAlignment="1">
      <alignment vertical="top"/>
    </xf>
    <xf numFmtId="0" fontId="4" fillId="15" borderId="18" xfId="0" applyFont="1" applyFill="1" applyBorder="1" applyAlignment="1">
      <alignment wrapText="1"/>
    </xf>
    <xf numFmtId="3" fontId="9" fillId="15" borderId="8" xfId="0" applyNumberFormat="1" applyFont="1" applyFill="1" applyBorder="1"/>
    <xf numFmtId="3" fontId="9" fillId="15" borderId="5" xfId="0" applyNumberFormat="1" applyFont="1" applyFill="1" applyBorder="1"/>
    <xf numFmtId="3" fontId="10" fillId="15" borderId="17" xfId="0" applyNumberFormat="1" applyFont="1" applyFill="1" applyBorder="1"/>
    <xf numFmtId="0" fontId="1" fillId="15" borderId="19" xfId="0" applyFont="1" applyFill="1" applyBorder="1" applyAlignment="1">
      <alignment wrapText="1"/>
    </xf>
    <xf numFmtId="164" fontId="0" fillId="15" borderId="5" xfId="0" applyNumberFormat="1" applyFill="1" applyBorder="1"/>
    <xf numFmtId="3" fontId="10" fillId="15" borderId="5" xfId="0" applyNumberFormat="1" applyFont="1" applyFill="1" applyBorder="1"/>
    <xf numFmtId="3" fontId="10" fillId="12" borderId="13" xfId="0" applyNumberFormat="1" applyFont="1" applyFill="1" applyBorder="1"/>
    <xf numFmtId="0" fontId="5" fillId="12" borderId="8" xfId="0" applyFont="1" applyFill="1" applyBorder="1"/>
    <xf numFmtId="0" fontId="5" fillId="12" borderId="16" xfId="0" applyFont="1" applyFill="1" applyBorder="1"/>
    <xf numFmtId="0" fontId="0" fillId="0" borderId="21" xfId="0" applyBorder="1"/>
    <xf numFmtId="3" fontId="9" fillId="15" borderId="19" xfId="0" applyNumberFormat="1" applyFont="1" applyFill="1" applyBorder="1"/>
    <xf numFmtId="4" fontId="15" fillId="0" borderId="23" xfId="0" applyNumberFormat="1" applyFont="1" applyBorder="1"/>
    <xf numFmtId="4" fontId="0" fillId="0" borderId="0" xfId="0" applyNumberFormat="1"/>
    <xf numFmtId="0" fontId="17" fillId="0" borderId="0" xfId="0" applyFont="1"/>
    <xf numFmtId="0" fontId="18" fillId="0" borderId="0" xfId="0" applyFont="1"/>
    <xf numFmtId="0" fontId="18" fillId="0" borderId="24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9" fillId="0" borderId="24" xfId="0" applyFont="1" applyBorder="1"/>
    <xf numFmtId="0" fontId="19" fillId="0" borderId="25" xfId="0" applyFont="1" applyBorder="1"/>
    <xf numFmtId="0" fontId="18" fillId="0" borderId="28" xfId="0" applyFont="1" applyBorder="1"/>
    <xf numFmtId="0" fontId="18" fillId="0" borderId="29" xfId="0" applyFont="1" applyBorder="1"/>
    <xf numFmtId="0" fontId="0" fillId="0" borderId="27" xfId="0" applyBorder="1"/>
    <xf numFmtId="0" fontId="19" fillId="0" borderId="27" xfId="0" applyFont="1" applyBorder="1"/>
    <xf numFmtId="0" fontId="19" fillId="0" borderId="31" xfId="0" applyFont="1" applyBorder="1"/>
    <xf numFmtId="0" fontId="19" fillId="0" borderId="32" xfId="0" applyFont="1" applyBorder="1"/>
    <xf numFmtId="0" fontId="18" fillId="0" borderId="31" xfId="0" applyFont="1" applyBorder="1"/>
    <xf numFmtId="0" fontId="0" fillId="0" borderId="31" xfId="0" applyBorder="1"/>
    <xf numFmtId="0" fontId="20" fillId="0" borderId="31" xfId="0" applyFont="1" applyBorder="1"/>
    <xf numFmtId="0" fontId="0" fillId="2" borderId="1" xfId="0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1" fontId="0" fillId="2" borderId="1" xfId="0" applyNumberForma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21" fillId="0" borderId="1" xfId="0" applyFont="1" applyBorder="1" applyAlignment="1">
      <alignment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4" borderId="0" xfId="0" applyFont="1" applyFill="1" applyAlignment="1">
      <alignment horizontal="left" vertical="top" wrapText="1"/>
    </xf>
    <xf numFmtId="0" fontId="8" fillId="0" borderId="2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1" fillId="14" borderId="20" xfId="0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3" fontId="10" fillId="15" borderId="17" xfId="0" applyNumberFormat="1" applyFont="1" applyFill="1" applyBorder="1" applyAlignment="1">
      <alignment vertical="center"/>
    </xf>
    <xf numFmtId="3" fontId="10" fillId="15" borderId="22" xfId="0" applyNumberFormat="1" applyFont="1" applyFill="1" applyBorder="1" applyAlignment="1">
      <alignment vertical="center"/>
    </xf>
    <xf numFmtId="3" fontId="10" fillId="15" borderId="19" xfId="0" applyNumberFormat="1" applyFont="1" applyFill="1" applyBorder="1" applyAlignment="1">
      <alignment vertical="center"/>
    </xf>
    <xf numFmtId="0" fontId="19" fillId="0" borderId="30" xfId="0" applyFont="1" applyBorder="1" applyAlignment="1"/>
    <xf numFmtId="0" fontId="19" fillId="0" borderId="31" xfId="0" applyFont="1" applyBorder="1" applyAlignment="1"/>
    <xf numFmtId="0" fontId="19" fillId="0" borderId="2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ed Adam" id="{3B40081D-BFD5-4433-A4DB-BB3204A430D9}" userId="ahmed.adam@undp.org" providerId="PeoplePicker"/>
  <person displayName="Amna Tameem" id="{6105FD73-D0FA-4314-B722-37F65CA1B6DA}" userId="amna.tameem@undp.org" providerId="PeoplePicker"/>
  <person displayName="Marrian Gebreselassie" id="{F3B3DDB9-BF85-47F1-B5D8-1439A90981F6}" userId="S::marrian.gebreselassie@undp.org::a958bc1d-bd72-465b-aabf-d5afe6e4dcc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6-10-05T19:48:11.94" personId="{F3B3DDB9-BF85-47F1-B5D8-1439A90981F6}" id="{8ADD9A3A-4D3E-43FC-B625-6DE2AEA3E149}">
    <text>In SORR LVGA, written target 1000HH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4" dT="2026-04-05T13:42:28.13" personId="{F3B3DDB9-BF85-47F1-B5D8-1439A90981F6}" id="{103EF3F9-7188-4D4C-8E58-DA9C2F299B74}">
    <text xml:space="preserve">@Amna Tameem  did a slight correction on this column </text>
    <mentions>
      <mention mentionpersonId="{6105FD73-D0FA-4314-B722-37F65CA1B6DA}" mentionId="{2A556001-F52C-4EBC-96D6-2CBF87BD10E9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1" dT="2026-07-26T14:08:36.71" personId="{F3B3DDB9-BF85-47F1-B5D8-1439A90981F6}" id="{5B416C4D-0865-4B6A-94B3-6243A0D4E5DB}">
    <text>@Ahmed Adam @Amna Tameem please complete this column as we'll soon be preparing a report for Kuwait-460</text>
    <mentions>
      <mention mentionpersonId="{3B40081D-BFD5-4433-A4DB-BB3204A430D9}" mentionId="{1E4111A8-CDCE-4DAF-99BB-2B61A1C6F2B3}" startIndex="0" length="11"/>
      <mention mentionpersonId="{6105FD73-D0FA-4314-B722-37F65CA1B6DA}" mentionId="{19BD238C-CE4B-467F-AD05-E752C6297F6C}" startIndex="12" length="12"/>
    </mentions>
  </threadedComment>
  <threadedComment ref="F23" dT="2026-07-26T14:08:36.71" personId="{F3B3DDB9-BF85-47F1-B5D8-1439A90981F6}" id="{1A2C0815-14C0-478E-A1EE-455DDC6C9955}">
    <text>@Ahmed Adam @Amna Tameem please complete this column as we'll soon be preparing a report for Kuwait-460</text>
    <mentions>
      <mention mentionpersonId="{3B40081D-BFD5-4433-A4DB-BB3204A430D9}" mentionId="{AA9F4CA9-9155-42FE-B6E7-1302BFC80481}" startIndex="0" length="11"/>
      <mention mentionpersonId="{6105FD73-D0FA-4314-B722-37F65CA1B6DA}" mentionId="{59F7B03A-6229-4B4D-8EA7-711A603A0A51}" startIndex="12" length="12"/>
    </mentions>
  </threadedComment>
  <threadedComment ref="F31" dT="2026-07-26T14:08:36.71" personId="{F3B3DDB9-BF85-47F1-B5D8-1439A90981F6}" id="{FB64B701-E6DD-42A9-9290-5690A13163DF}">
    <text>@Ahmed Adam @Amna Tameem please complete this column as we'll soon be preparing a report for Kuwait-460</text>
    <mentions>
      <mention mentionpersonId="{3B40081D-BFD5-4433-A4DB-BB3204A430D9}" mentionId="{8391D83B-7951-4FF7-80CD-AE1933F698F6}" startIndex="0" length="11"/>
      <mention mentionpersonId="{6105FD73-D0FA-4314-B722-37F65CA1B6DA}" mentionId="{E5980FC3-676C-41E1-B473-0975C2F13222}" startIndex="12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D1A0-5F6A-4E21-BAA9-FD1E14F0F968}">
  <dimension ref="A1:B17"/>
  <sheetViews>
    <sheetView zoomScale="110" zoomScaleNormal="110" zoomScaleSheetLayoutView="160" workbookViewId="0">
      <selection activeCell="B17" sqref="B17"/>
    </sheetView>
  </sheetViews>
  <sheetFormatPr defaultColWidth="8.7109375" defaultRowHeight="14.45"/>
  <cols>
    <col min="1" max="1" width="24.140625" customWidth="1"/>
    <col min="2" max="2" width="52.85546875" customWidth="1"/>
  </cols>
  <sheetData>
    <row r="1" spans="1:2" ht="29.1">
      <c r="A1" s="12" t="s">
        <v>0</v>
      </c>
      <c r="B1" s="13" t="s">
        <v>1</v>
      </c>
    </row>
    <row r="2" spans="1:2">
      <c r="A2" s="23" t="s">
        <v>2</v>
      </c>
      <c r="B2" s="13" t="s">
        <v>3</v>
      </c>
    </row>
    <row r="3" spans="1:2">
      <c r="A3" s="14" t="s">
        <v>4</v>
      </c>
      <c r="B3" s="21" t="s">
        <v>5</v>
      </c>
    </row>
    <row r="4" spans="1:2">
      <c r="A4" s="14" t="s">
        <v>6</v>
      </c>
      <c r="B4" s="22">
        <v>2000000</v>
      </c>
    </row>
    <row r="5" spans="1:2">
      <c r="A5" s="14" t="s">
        <v>7</v>
      </c>
      <c r="B5" s="16">
        <v>45962</v>
      </c>
    </row>
    <row r="6" spans="1:2">
      <c r="A6" s="14" t="s">
        <v>8</v>
      </c>
      <c r="B6" s="16">
        <v>46691</v>
      </c>
    </row>
    <row r="7" spans="1:2">
      <c r="A7" s="14" t="s">
        <v>9</v>
      </c>
      <c r="B7" s="17" t="s">
        <v>10</v>
      </c>
    </row>
    <row r="8" spans="1:2">
      <c r="A8" s="14" t="s">
        <v>11</v>
      </c>
      <c r="B8" s="17" t="s">
        <v>12</v>
      </c>
    </row>
    <row r="9" spans="1:2">
      <c r="A9" s="14" t="s">
        <v>13</v>
      </c>
      <c r="B9" s="17" t="s">
        <v>14</v>
      </c>
    </row>
    <row r="10" spans="1:2" ht="45" customHeight="1">
      <c r="A10" s="14" t="s">
        <v>15</v>
      </c>
      <c r="B10" s="15"/>
    </row>
    <row r="11" spans="1:2">
      <c r="A11" s="10" t="s">
        <v>16</v>
      </c>
      <c r="B11" s="11"/>
    </row>
    <row r="12" spans="1:2">
      <c r="A12" s="168" t="s">
        <v>17</v>
      </c>
      <c r="B12" s="18" t="s">
        <v>18</v>
      </c>
    </row>
    <row r="13" spans="1:2">
      <c r="A13" s="168"/>
      <c r="B13" s="18" t="s">
        <v>19</v>
      </c>
    </row>
    <row r="14" spans="1:2">
      <c r="A14" s="10" t="s">
        <v>20</v>
      </c>
      <c r="B14" s="11" t="s">
        <v>21</v>
      </c>
    </row>
    <row r="15" spans="1:2">
      <c r="A15" s="11"/>
      <c r="B15" s="11" t="s">
        <v>20</v>
      </c>
    </row>
    <row r="16" spans="1:2">
      <c r="A16" s="19" t="s">
        <v>22</v>
      </c>
      <c r="B16" s="18" t="s">
        <v>23</v>
      </c>
    </row>
    <row r="17" spans="1:2">
      <c r="A17" s="18"/>
      <c r="B17" s="18" t="s">
        <v>24</v>
      </c>
    </row>
  </sheetData>
  <mergeCells count="1">
    <mergeCell ref="A12:A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44ED-18B3-4EC2-BFAE-0E0D8D65CF2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CB15-1CFF-4E15-9C9A-25455F37138B}">
  <dimension ref="A1:O23"/>
  <sheetViews>
    <sheetView tabSelected="1" zoomScaleNormal="100" workbookViewId="0">
      <pane ySplit="2" topLeftCell="A8" activePane="bottomLeft" state="frozen"/>
      <selection pane="bottomLeft" activeCell="Q10" sqref="Q10"/>
    </sheetView>
  </sheetViews>
  <sheetFormatPr defaultRowHeight="15" customHeight="1"/>
  <cols>
    <col min="1" max="1" width="26.140625" customWidth="1"/>
    <col min="2" max="2" width="40.42578125" hidden="1" customWidth="1"/>
    <col min="3" max="3" width="12.42578125" style="1" hidden="1" customWidth="1"/>
    <col min="4" max="4" width="15" style="1" hidden="1" customWidth="1"/>
    <col min="5" max="5" width="64.85546875" customWidth="1"/>
    <col min="6" max="6" width="12.5703125" customWidth="1"/>
    <col min="7" max="7" width="12.140625" customWidth="1"/>
    <col min="8" max="8" width="10.140625" customWidth="1"/>
    <col min="9" max="9" width="6.7109375" customWidth="1"/>
    <col min="10" max="10" width="6.5703125" customWidth="1"/>
    <col min="11" max="11" width="7.7109375" customWidth="1"/>
    <col min="12" max="12" width="6.7109375" customWidth="1"/>
    <col min="13" max="13" width="6.28515625" customWidth="1"/>
    <col min="14" max="14" width="7" customWidth="1"/>
  </cols>
  <sheetData>
    <row r="1" spans="1:15" ht="14.45" customHeight="1">
      <c r="A1" s="157" t="s">
        <v>25</v>
      </c>
      <c r="B1" s="157" t="s">
        <v>26</v>
      </c>
      <c r="C1" s="157" t="s">
        <v>27</v>
      </c>
      <c r="D1" s="157" t="s">
        <v>28</v>
      </c>
      <c r="E1" s="157" t="s">
        <v>29</v>
      </c>
      <c r="F1" s="155" t="s">
        <v>30</v>
      </c>
      <c r="G1" s="155" t="s">
        <v>31</v>
      </c>
      <c r="H1" s="166" t="s">
        <v>32</v>
      </c>
      <c r="I1" s="159" t="s">
        <v>22</v>
      </c>
      <c r="J1" s="159"/>
      <c r="K1" s="160" t="s">
        <v>17</v>
      </c>
      <c r="L1" s="160"/>
      <c r="M1" s="161" t="s">
        <v>20</v>
      </c>
      <c r="N1" s="161"/>
      <c r="O1" s="2"/>
    </row>
    <row r="2" spans="1:15" s="24" customFormat="1" ht="43.5">
      <c r="A2" s="158"/>
      <c r="B2" s="158"/>
      <c r="C2" s="158"/>
      <c r="D2" s="158"/>
      <c r="E2" s="158"/>
      <c r="F2" s="156"/>
      <c r="G2" s="156"/>
      <c r="H2" s="167"/>
      <c r="I2" s="150" t="s">
        <v>33</v>
      </c>
      <c r="J2" s="151" t="s">
        <v>34</v>
      </c>
      <c r="K2" s="151" t="s">
        <v>35</v>
      </c>
      <c r="L2" s="151" t="s">
        <v>36</v>
      </c>
      <c r="M2" s="151" t="s">
        <v>37</v>
      </c>
      <c r="N2" s="151" t="s">
        <v>38</v>
      </c>
      <c r="O2" s="20"/>
    </row>
    <row r="3" spans="1:15" ht="64.5" customHeight="1">
      <c r="A3" s="162" t="s">
        <v>39</v>
      </c>
      <c r="B3" s="162" t="s">
        <v>40</v>
      </c>
      <c r="C3" s="163" t="s">
        <v>14</v>
      </c>
      <c r="D3" s="163" t="s">
        <v>41</v>
      </c>
      <c r="E3" s="5" t="s">
        <v>42</v>
      </c>
      <c r="F3" s="6">
        <v>15000</v>
      </c>
      <c r="G3" s="146">
        <v>4157.7387736494184</v>
      </c>
      <c r="H3" s="6"/>
      <c r="I3" s="149">
        <v>1386</v>
      </c>
      <c r="J3" s="149" t="s">
        <v>43</v>
      </c>
      <c r="K3" s="149">
        <v>1386</v>
      </c>
      <c r="L3" s="149"/>
      <c r="M3" s="149">
        <v>1386</v>
      </c>
      <c r="N3" s="149"/>
      <c r="O3" s="2"/>
    </row>
    <row r="4" spans="1:15" ht="37.5" customHeight="1">
      <c r="A4" s="162"/>
      <c r="B4" s="162"/>
      <c r="C4" s="163"/>
      <c r="D4" s="163"/>
      <c r="E4" s="5" t="s">
        <v>44</v>
      </c>
      <c r="F4" s="6">
        <v>8000</v>
      </c>
      <c r="G4" s="146">
        <v>6522.6253567060739</v>
      </c>
      <c r="H4" s="6"/>
      <c r="I4" s="6">
        <v>2174</v>
      </c>
      <c r="J4">
        <v>1000</v>
      </c>
      <c r="K4" s="6">
        <v>2174</v>
      </c>
      <c r="L4" s="6"/>
      <c r="M4" s="6">
        <v>2174</v>
      </c>
      <c r="N4" s="6"/>
      <c r="O4" s="2"/>
    </row>
    <row r="5" spans="1:15" ht="36" customHeight="1">
      <c r="A5" s="162"/>
      <c r="B5" s="162"/>
      <c r="C5" s="163"/>
      <c r="D5" s="163"/>
      <c r="E5" s="5" t="s">
        <v>45</v>
      </c>
      <c r="F5" s="6">
        <v>12</v>
      </c>
      <c r="G5" s="146">
        <v>3.6753445635528328</v>
      </c>
      <c r="H5" s="6"/>
      <c r="I5" s="6">
        <v>1</v>
      </c>
      <c r="J5" s="6">
        <v>0</v>
      </c>
      <c r="K5" s="6">
        <v>1</v>
      </c>
      <c r="L5" s="6"/>
      <c r="M5" s="6">
        <v>1</v>
      </c>
      <c r="N5" s="6"/>
      <c r="O5" s="2"/>
    </row>
    <row r="6" spans="1:15" ht="49.5" customHeight="1">
      <c r="A6" s="162"/>
      <c r="B6" s="162" t="s">
        <v>46</v>
      </c>
      <c r="C6" s="163">
        <v>0</v>
      </c>
      <c r="D6" s="163">
        <v>20000</v>
      </c>
      <c r="E6" s="5" t="s">
        <v>47</v>
      </c>
      <c r="F6" s="6">
        <v>20000</v>
      </c>
      <c r="G6" s="146">
        <v>5220.2283849918431</v>
      </c>
      <c r="H6" s="6"/>
      <c r="I6" s="6">
        <v>1740</v>
      </c>
      <c r="J6" s="6" t="s">
        <v>48</v>
      </c>
      <c r="K6" s="6">
        <v>1740</v>
      </c>
      <c r="L6" s="6"/>
      <c r="M6" s="6">
        <v>1740</v>
      </c>
      <c r="N6" s="6"/>
      <c r="O6" s="2"/>
    </row>
    <row r="7" spans="1:15" ht="34.5" customHeight="1">
      <c r="A7" s="162"/>
      <c r="B7" s="162"/>
      <c r="C7" s="163"/>
      <c r="D7" s="163"/>
      <c r="E7" s="5" t="s">
        <v>49</v>
      </c>
      <c r="F7" s="6">
        <v>2</v>
      </c>
      <c r="G7" s="146">
        <v>0</v>
      </c>
      <c r="H7" s="6"/>
      <c r="I7" s="6">
        <v>0</v>
      </c>
      <c r="J7" s="6"/>
      <c r="K7" s="6">
        <v>0</v>
      </c>
      <c r="L7" s="6"/>
      <c r="M7" s="6">
        <v>0</v>
      </c>
      <c r="N7" s="6"/>
      <c r="O7" s="2"/>
    </row>
    <row r="8" spans="1:15" ht="34.5" customHeight="1">
      <c r="A8" s="162"/>
      <c r="B8" s="164" t="s">
        <v>50</v>
      </c>
      <c r="C8" s="153" t="s">
        <v>14</v>
      </c>
      <c r="D8" s="153" t="s">
        <v>41</v>
      </c>
      <c r="E8" s="5" t="s">
        <v>51</v>
      </c>
      <c r="F8" s="6">
        <v>6</v>
      </c>
      <c r="G8" s="146">
        <v>2.291950886766712</v>
      </c>
      <c r="H8" s="6"/>
      <c r="I8" s="6">
        <v>1</v>
      </c>
      <c r="J8" s="6"/>
      <c r="K8" s="6">
        <v>1</v>
      </c>
      <c r="L8" s="6"/>
      <c r="M8" s="6">
        <v>1</v>
      </c>
      <c r="N8" s="6"/>
      <c r="O8" s="2"/>
    </row>
    <row r="9" spans="1:15" ht="33" customHeight="1">
      <c r="A9" s="162"/>
      <c r="B9" s="165"/>
      <c r="C9" s="154"/>
      <c r="D9" s="154"/>
      <c r="E9" s="5" t="s">
        <v>52</v>
      </c>
      <c r="F9" s="6">
        <v>4500</v>
      </c>
      <c r="G9" s="146">
        <v>1667.438628994905</v>
      </c>
      <c r="H9" s="6"/>
      <c r="I9" s="6">
        <v>556</v>
      </c>
      <c r="J9" s="6" t="s">
        <v>53</v>
      </c>
      <c r="K9" s="6">
        <v>556</v>
      </c>
      <c r="L9" s="6"/>
      <c r="M9" s="6">
        <v>556</v>
      </c>
      <c r="N9" s="6"/>
      <c r="O9" s="20"/>
    </row>
    <row r="10" spans="1:15" ht="51" customHeight="1">
      <c r="A10" s="162"/>
      <c r="B10" s="60" t="s">
        <v>54</v>
      </c>
      <c r="C10" s="61">
        <v>14</v>
      </c>
      <c r="D10" s="61">
        <v>32</v>
      </c>
      <c r="E10" s="5" t="s">
        <v>55</v>
      </c>
      <c r="F10" s="6">
        <v>32</v>
      </c>
      <c r="G10" s="146">
        <v>2.3459963373132182</v>
      </c>
      <c r="H10" s="6"/>
      <c r="I10" s="6">
        <v>1</v>
      </c>
      <c r="J10" s="6"/>
      <c r="K10" s="6">
        <v>1</v>
      </c>
      <c r="L10" s="6"/>
      <c r="M10" s="6">
        <v>1</v>
      </c>
      <c r="N10" s="6"/>
      <c r="O10" s="20"/>
    </row>
    <row r="11" spans="1:15" ht="36" customHeight="1">
      <c r="A11" s="162"/>
      <c r="B11" s="3" t="s">
        <v>56</v>
      </c>
      <c r="C11" s="4">
        <v>0</v>
      </c>
      <c r="D11" s="4">
        <v>3000</v>
      </c>
      <c r="E11" s="5" t="s">
        <v>57</v>
      </c>
      <c r="F11" s="6">
        <v>3000</v>
      </c>
      <c r="G11" s="146">
        <v>1623.6075404138521</v>
      </c>
      <c r="H11" s="6"/>
      <c r="I11" s="6">
        <v>547</v>
      </c>
      <c r="J11" s="6"/>
      <c r="K11" s="6">
        <v>547</v>
      </c>
      <c r="L11" s="6"/>
      <c r="M11" s="6">
        <v>547</v>
      </c>
      <c r="N11" s="6"/>
      <c r="O11" s="2"/>
    </row>
    <row r="12" spans="1:15" ht="38.25" customHeight="1">
      <c r="A12" s="162"/>
      <c r="B12" s="3" t="s">
        <v>58</v>
      </c>
      <c r="C12" s="4" t="s">
        <v>14</v>
      </c>
      <c r="D12" s="4" t="s">
        <v>59</v>
      </c>
      <c r="E12" s="5" t="s">
        <v>60</v>
      </c>
      <c r="F12" s="6">
        <v>2</v>
      </c>
      <c r="G12" s="146">
        <v>0.36166365280289331</v>
      </c>
      <c r="H12" s="6"/>
      <c r="I12" s="6">
        <v>0</v>
      </c>
      <c r="J12" s="6"/>
      <c r="K12" s="6">
        <v>0</v>
      </c>
      <c r="L12" s="6"/>
      <c r="M12" s="6">
        <v>0</v>
      </c>
      <c r="N12" s="6"/>
      <c r="O12" s="2"/>
    </row>
    <row r="13" spans="1:15" ht="33.75" customHeight="1">
      <c r="A13" s="162" t="s">
        <v>61</v>
      </c>
      <c r="B13" s="5" t="s">
        <v>62</v>
      </c>
      <c r="C13" s="4">
        <v>4</v>
      </c>
      <c r="D13" s="4">
        <v>12</v>
      </c>
      <c r="E13" s="7" t="s">
        <v>63</v>
      </c>
      <c r="F13" s="145">
        <v>12</v>
      </c>
      <c r="G13" s="147">
        <v>4.8567463863337714</v>
      </c>
      <c r="H13" s="6"/>
      <c r="I13" s="152">
        <v>2</v>
      </c>
      <c r="J13" s="6"/>
      <c r="K13" s="152">
        <v>2</v>
      </c>
      <c r="L13" s="6"/>
      <c r="M13" s="152">
        <v>2</v>
      </c>
      <c r="N13" s="6"/>
      <c r="O13" s="2"/>
    </row>
    <row r="14" spans="1:15" ht="47.25" customHeight="1">
      <c r="A14" s="162"/>
      <c r="B14" s="5" t="s">
        <v>64</v>
      </c>
      <c r="C14" s="4">
        <v>20000</v>
      </c>
      <c r="D14" s="8" t="s">
        <v>65</v>
      </c>
      <c r="E14" s="5" t="s">
        <v>66</v>
      </c>
      <c r="F14" s="6">
        <v>12</v>
      </c>
      <c r="G14" s="146">
        <v>7.6616121308858744</v>
      </c>
      <c r="H14" s="6"/>
      <c r="I14" s="152">
        <v>3</v>
      </c>
      <c r="J14" s="6"/>
      <c r="K14" s="152">
        <v>3</v>
      </c>
      <c r="L14" s="6"/>
      <c r="M14" s="152">
        <v>3</v>
      </c>
      <c r="N14" s="6"/>
      <c r="O14" s="2"/>
    </row>
    <row r="15" spans="1:15" ht="36" customHeight="1">
      <c r="A15" s="162"/>
      <c r="B15" s="5" t="s">
        <v>67</v>
      </c>
      <c r="C15" s="4">
        <v>15</v>
      </c>
      <c r="D15" s="4">
        <v>20</v>
      </c>
      <c r="E15" s="7" t="s">
        <v>68</v>
      </c>
      <c r="F15" s="145">
        <v>20</v>
      </c>
      <c r="G15" s="147">
        <v>8.9811956216671334</v>
      </c>
      <c r="H15" s="6"/>
      <c r="I15" s="152">
        <v>3</v>
      </c>
      <c r="J15" s="6"/>
      <c r="K15" s="152">
        <v>3</v>
      </c>
      <c r="L15" s="6"/>
      <c r="M15" s="152">
        <v>3</v>
      </c>
      <c r="N15" s="6"/>
      <c r="O15" s="2"/>
    </row>
    <row r="16" spans="1:15" ht="42" customHeight="1">
      <c r="A16" s="162"/>
      <c r="B16" s="5" t="s">
        <v>69</v>
      </c>
      <c r="C16" s="4">
        <v>0</v>
      </c>
      <c r="D16" s="4">
        <v>15</v>
      </c>
      <c r="E16" s="5" t="s">
        <v>70</v>
      </c>
      <c r="F16" s="6">
        <v>10</v>
      </c>
      <c r="G16" s="146">
        <v>4.6893207753322965</v>
      </c>
      <c r="H16" s="6"/>
      <c r="I16" s="152">
        <v>2</v>
      </c>
      <c r="J16" s="6"/>
      <c r="K16" s="152">
        <v>2</v>
      </c>
      <c r="L16" s="6"/>
      <c r="M16" s="152">
        <v>2</v>
      </c>
      <c r="N16" s="6"/>
      <c r="O16" s="2"/>
    </row>
    <row r="17" spans="1:15" ht="39.75" customHeight="1">
      <c r="A17" s="162"/>
      <c r="B17" s="5" t="s">
        <v>71</v>
      </c>
      <c r="C17" s="4" t="s">
        <v>14</v>
      </c>
      <c r="D17" s="9">
        <v>0.85</v>
      </c>
      <c r="E17" s="5" t="s">
        <v>72</v>
      </c>
      <c r="F17" s="6">
        <v>8000</v>
      </c>
      <c r="G17" s="146">
        <v>2964.3446700422974</v>
      </c>
      <c r="H17" s="6"/>
      <c r="I17" s="152">
        <v>988</v>
      </c>
      <c r="J17" s="6"/>
      <c r="K17" s="152">
        <v>988</v>
      </c>
      <c r="L17" s="6"/>
      <c r="M17" s="152">
        <v>988</v>
      </c>
      <c r="N17" s="6"/>
      <c r="O17" s="2"/>
    </row>
    <row r="18" spans="1:15" ht="33.75" customHeight="1">
      <c r="A18" s="162"/>
      <c r="B18" s="5" t="s">
        <v>73</v>
      </c>
      <c r="C18" s="4" t="s">
        <v>14</v>
      </c>
      <c r="D18" s="9">
        <v>0.9</v>
      </c>
      <c r="E18" s="5" t="s">
        <v>74</v>
      </c>
      <c r="F18" s="6">
        <v>100</v>
      </c>
      <c r="G18" s="146">
        <v>28.184152953486159</v>
      </c>
      <c r="H18" s="6"/>
      <c r="I18" s="152">
        <v>9</v>
      </c>
      <c r="J18" s="6"/>
      <c r="K18" s="152">
        <v>9</v>
      </c>
      <c r="L18" s="6"/>
      <c r="M18" s="152">
        <v>9</v>
      </c>
      <c r="N18" s="6"/>
      <c r="O18" s="2"/>
    </row>
    <row r="19" spans="1:15" ht="51" customHeight="1">
      <c r="A19" s="162" t="s">
        <v>75</v>
      </c>
      <c r="B19" s="5" t="s">
        <v>76</v>
      </c>
      <c r="C19" s="4">
        <v>15</v>
      </c>
      <c r="D19" s="4">
        <v>12</v>
      </c>
      <c r="E19" s="5" t="s">
        <v>77</v>
      </c>
      <c r="F19" s="6">
        <v>12</v>
      </c>
      <c r="G19" s="146">
        <v>4.8987589810581325</v>
      </c>
      <c r="H19" s="6"/>
      <c r="I19" s="6">
        <v>2</v>
      </c>
      <c r="J19" s="6">
        <v>5</v>
      </c>
      <c r="K19" s="6">
        <v>2</v>
      </c>
      <c r="L19" s="6"/>
      <c r="M19" s="6">
        <v>2</v>
      </c>
      <c r="N19" s="6"/>
      <c r="O19" s="2"/>
    </row>
    <row r="20" spans="1:15" ht="50.25" customHeight="1">
      <c r="A20" s="162"/>
      <c r="B20" s="5" t="s">
        <v>78</v>
      </c>
      <c r="C20" s="4" t="s">
        <v>14</v>
      </c>
      <c r="D20" s="4" t="s">
        <v>79</v>
      </c>
      <c r="E20" s="5" t="s">
        <v>80</v>
      </c>
      <c r="F20" s="6">
        <v>300</v>
      </c>
      <c r="G20" s="146">
        <v>140.67995310668229</v>
      </c>
      <c r="H20" s="6"/>
      <c r="I20" s="6">
        <v>47</v>
      </c>
      <c r="J20" s="6" t="s">
        <v>81</v>
      </c>
      <c r="K20" s="6">
        <v>47</v>
      </c>
      <c r="L20" s="6"/>
      <c r="M20" s="6">
        <v>47</v>
      </c>
      <c r="N20" s="6"/>
      <c r="O20" s="2"/>
    </row>
    <row r="21" spans="1:15" ht="34.5" customHeight="1">
      <c r="A21" s="162"/>
      <c r="B21" s="5" t="s">
        <v>82</v>
      </c>
      <c r="C21" s="4">
        <v>0</v>
      </c>
      <c r="D21" s="4">
        <v>12</v>
      </c>
      <c r="E21" s="5" t="s">
        <v>83</v>
      </c>
      <c r="F21" s="6">
        <v>12</v>
      </c>
      <c r="G21" s="146">
        <v>6.5502183406113543</v>
      </c>
      <c r="H21" s="6"/>
      <c r="I21" s="6">
        <v>2</v>
      </c>
      <c r="J21" s="6"/>
      <c r="K21" s="6">
        <v>2</v>
      </c>
      <c r="L21" s="6"/>
      <c r="M21" s="6">
        <v>2</v>
      </c>
      <c r="N21" s="6"/>
      <c r="O21" s="2"/>
    </row>
    <row r="22" spans="1:15" ht="48" customHeight="1">
      <c r="A22" s="162"/>
      <c r="B22" s="5" t="s">
        <v>84</v>
      </c>
      <c r="C22" s="4" t="s">
        <v>14</v>
      </c>
      <c r="D22" s="4" t="s">
        <v>85</v>
      </c>
      <c r="E22" s="5" t="s">
        <v>86</v>
      </c>
      <c r="F22" s="7" t="s">
        <v>87</v>
      </c>
      <c r="G22" s="148">
        <v>0</v>
      </c>
      <c r="H22" s="6"/>
      <c r="I22" s="6">
        <v>0</v>
      </c>
      <c r="J22" s="6"/>
      <c r="K22" s="6">
        <v>0</v>
      </c>
      <c r="L22" s="6"/>
      <c r="M22" s="6">
        <v>0</v>
      </c>
      <c r="N22" s="6"/>
      <c r="O22" s="2"/>
    </row>
    <row r="23" spans="1:15"/>
  </sheetData>
  <mergeCells count="23">
    <mergeCell ref="I1:J1"/>
    <mergeCell ref="K1:L1"/>
    <mergeCell ref="M1:N1"/>
    <mergeCell ref="A19:A22"/>
    <mergeCell ref="A3:A12"/>
    <mergeCell ref="B3:B5"/>
    <mergeCell ref="C3:C5"/>
    <mergeCell ref="B6:B7"/>
    <mergeCell ref="C6:C7"/>
    <mergeCell ref="C8:C9"/>
    <mergeCell ref="B8:B9"/>
    <mergeCell ref="D3:D5"/>
    <mergeCell ref="D6:D7"/>
    <mergeCell ref="H1:H2"/>
    <mergeCell ref="A13:A18"/>
    <mergeCell ref="A1:A2"/>
    <mergeCell ref="D8:D9"/>
    <mergeCell ref="G1:G2"/>
    <mergeCell ref="E1:E2"/>
    <mergeCell ref="F1:F2"/>
    <mergeCell ref="B1:B2"/>
    <mergeCell ref="D1:D2"/>
    <mergeCell ref="C1:C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B8DC-392F-45E8-A8A2-3623F76007D9}">
  <dimension ref="A1:B2"/>
  <sheetViews>
    <sheetView workbookViewId="0">
      <selection activeCell="C1" sqref="C1"/>
    </sheetView>
  </sheetViews>
  <sheetFormatPr defaultRowHeight="14.45"/>
  <cols>
    <col min="1" max="1" width="20" customWidth="1"/>
    <col min="2" max="2" width="81.28515625" customWidth="1"/>
  </cols>
  <sheetData>
    <row r="1" spans="1:2">
      <c r="A1" t="s">
        <v>88</v>
      </c>
      <c r="B1" t="s">
        <v>89</v>
      </c>
    </row>
    <row r="2" spans="1:2" ht="120.75" customHeight="1">
      <c r="A2" t="s">
        <v>90</v>
      </c>
      <c r="B2" s="2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5290-C983-4CA8-909C-9E081D1F4193}">
  <dimension ref="A1:G38"/>
  <sheetViews>
    <sheetView topLeftCell="A13" workbookViewId="0">
      <selection activeCell="G21" sqref="G21:G24"/>
    </sheetView>
  </sheetViews>
  <sheetFormatPr defaultRowHeight="14.45"/>
  <cols>
    <col min="1" max="1" width="16.28515625" customWidth="1"/>
    <col min="2" max="2" width="78.140625" customWidth="1"/>
    <col min="3" max="3" width="13.7109375" customWidth="1"/>
    <col min="4" max="4" width="12.42578125" customWidth="1"/>
    <col min="5" max="5" width="12" customWidth="1"/>
    <col min="6" max="6" width="9.7109375" customWidth="1"/>
    <col min="7" max="7" width="18" customWidth="1"/>
  </cols>
  <sheetData>
    <row r="1" spans="1:7">
      <c r="B1" s="28" t="s">
        <v>92</v>
      </c>
      <c r="C1" s="171" t="s">
        <v>93</v>
      </c>
      <c r="D1" s="172"/>
      <c r="E1" s="173"/>
      <c r="F1" s="25"/>
    </row>
    <row r="2" spans="1:7" ht="47.25" customHeight="1">
      <c r="A2" s="45" t="s">
        <v>94</v>
      </c>
      <c r="B2" s="45" t="s">
        <v>92</v>
      </c>
      <c r="C2" s="27" t="s">
        <v>95</v>
      </c>
      <c r="D2" s="29" t="s">
        <v>96</v>
      </c>
      <c r="E2" s="28" t="s">
        <v>97</v>
      </c>
      <c r="F2" s="46" t="s">
        <v>98</v>
      </c>
      <c r="G2" s="46" t="s">
        <v>99</v>
      </c>
    </row>
    <row r="3" spans="1:7">
      <c r="A3" s="169" t="s">
        <v>100</v>
      </c>
      <c r="B3" s="47" t="s">
        <v>101</v>
      </c>
      <c r="C3" s="55">
        <v>152000</v>
      </c>
      <c r="D3" s="54">
        <v>396375</v>
      </c>
      <c r="E3" s="37">
        <f>C3+D3</f>
        <v>548375</v>
      </c>
      <c r="F3" s="50">
        <v>15000</v>
      </c>
      <c r="G3" s="53">
        <f>(C3/E3)*F3</f>
        <v>4157.7387736494184</v>
      </c>
    </row>
    <row r="4" spans="1:7">
      <c r="A4" s="169"/>
      <c r="B4" s="79" t="s">
        <v>102</v>
      </c>
      <c r="C4" s="80">
        <v>30000</v>
      </c>
      <c r="D4" s="81">
        <v>6795</v>
      </c>
      <c r="E4" s="82">
        <f t="shared" ref="E4:E12" si="0">C4+D4</f>
        <v>36795</v>
      </c>
      <c r="F4" s="83">
        <v>8000</v>
      </c>
      <c r="G4" s="84">
        <f t="shared" ref="G4:G12" si="1">(C4/E4)*F4</f>
        <v>6522.6253567060739</v>
      </c>
    </row>
    <row r="5" spans="1:7">
      <c r="A5" s="169"/>
      <c r="B5" s="51" t="s">
        <v>45</v>
      </c>
      <c r="C5" s="56">
        <v>10000</v>
      </c>
      <c r="D5" s="54">
        <v>22650</v>
      </c>
      <c r="E5" s="37">
        <f t="shared" si="0"/>
        <v>32650</v>
      </c>
      <c r="F5" s="50">
        <v>12</v>
      </c>
      <c r="G5" s="53">
        <f t="shared" si="1"/>
        <v>3.6753445635528328</v>
      </c>
    </row>
    <row r="6" spans="1:7">
      <c r="A6" s="169"/>
      <c r="B6" s="48" t="s">
        <v>103</v>
      </c>
      <c r="C6" s="56">
        <v>20000</v>
      </c>
      <c r="D6" s="54">
        <v>56625</v>
      </c>
      <c r="E6" s="37">
        <f t="shared" si="0"/>
        <v>76625</v>
      </c>
      <c r="F6" s="50">
        <v>20000</v>
      </c>
      <c r="G6" s="53">
        <f t="shared" si="1"/>
        <v>5220.2283849918431</v>
      </c>
    </row>
    <row r="7" spans="1:7">
      <c r="A7" s="169"/>
      <c r="B7" s="48" t="s">
        <v>49</v>
      </c>
      <c r="C7" s="57">
        <v>0</v>
      </c>
      <c r="D7" s="58">
        <v>11905</v>
      </c>
      <c r="E7" s="59">
        <f t="shared" si="0"/>
        <v>11905</v>
      </c>
      <c r="F7" s="50">
        <v>2</v>
      </c>
      <c r="G7" s="53">
        <f t="shared" si="1"/>
        <v>0</v>
      </c>
    </row>
    <row r="8" spans="1:7" ht="15.75" customHeight="1">
      <c r="A8" s="169"/>
      <c r="B8" s="48" t="s">
        <v>51</v>
      </c>
      <c r="C8" s="56">
        <v>35000</v>
      </c>
      <c r="D8" s="54">
        <v>56625</v>
      </c>
      <c r="E8" s="37">
        <f t="shared" si="0"/>
        <v>91625</v>
      </c>
      <c r="F8" s="50">
        <v>6</v>
      </c>
      <c r="G8" s="53">
        <f t="shared" si="1"/>
        <v>2.291950886766712</v>
      </c>
    </row>
    <row r="9" spans="1:7">
      <c r="A9" s="169"/>
      <c r="B9" s="48" t="s">
        <v>52</v>
      </c>
      <c r="C9" s="56">
        <v>100000</v>
      </c>
      <c r="D9" s="54">
        <v>169875</v>
      </c>
      <c r="E9" s="37">
        <f t="shared" si="0"/>
        <v>269875</v>
      </c>
      <c r="F9" s="50">
        <v>4500</v>
      </c>
      <c r="G9" s="53">
        <f t="shared" si="1"/>
        <v>1667.438628994905</v>
      </c>
    </row>
    <row r="10" spans="1:7">
      <c r="A10" s="169"/>
      <c r="B10" s="48" t="s">
        <v>104</v>
      </c>
      <c r="C10" s="56">
        <v>50000</v>
      </c>
      <c r="D10" s="54">
        <v>632013</v>
      </c>
      <c r="E10" s="37">
        <f t="shared" si="0"/>
        <v>682013</v>
      </c>
      <c r="F10" s="50">
        <v>32</v>
      </c>
      <c r="G10" s="53">
        <f t="shared" si="1"/>
        <v>2.3459963373132182</v>
      </c>
    </row>
    <row r="11" spans="1:7">
      <c r="A11" s="169"/>
      <c r="B11" s="48" t="s">
        <v>57</v>
      </c>
      <c r="C11" s="56">
        <v>401444</v>
      </c>
      <c r="D11" s="54">
        <v>340319</v>
      </c>
      <c r="E11" s="37">
        <f t="shared" si="0"/>
        <v>741763</v>
      </c>
      <c r="F11" s="50">
        <v>3000</v>
      </c>
      <c r="G11" s="53">
        <f t="shared" si="1"/>
        <v>1623.6075404138521</v>
      </c>
    </row>
    <row r="12" spans="1:7">
      <c r="A12" s="170"/>
      <c r="B12" s="48" t="s">
        <v>60</v>
      </c>
      <c r="C12" s="56">
        <v>10000</v>
      </c>
      <c r="D12" s="54">
        <v>45300</v>
      </c>
      <c r="E12" s="37">
        <f t="shared" si="0"/>
        <v>55300</v>
      </c>
      <c r="F12" s="50">
        <v>2</v>
      </c>
      <c r="G12" s="53">
        <f t="shared" si="1"/>
        <v>0.36166365280289331</v>
      </c>
    </row>
    <row r="13" spans="1:7">
      <c r="A13" s="33" t="s">
        <v>105</v>
      </c>
      <c r="B13" s="33" t="s">
        <v>106</v>
      </c>
      <c r="C13" s="35">
        <f>SUM(C3:C12)</f>
        <v>808444</v>
      </c>
      <c r="D13" s="35">
        <f t="shared" ref="D13:E13" si="2">SUM(D3:D12)</f>
        <v>1738482</v>
      </c>
      <c r="E13" s="35">
        <f t="shared" si="2"/>
        <v>2546926</v>
      </c>
      <c r="F13" s="67"/>
      <c r="G13" s="44"/>
    </row>
    <row r="14" spans="1:7">
      <c r="A14" s="36" t="s">
        <v>107</v>
      </c>
      <c r="B14" s="47" t="s">
        <v>63</v>
      </c>
      <c r="C14" s="55">
        <v>230999</v>
      </c>
      <c r="D14" s="75">
        <v>339751</v>
      </c>
      <c r="E14" s="65">
        <f>C14+D14</f>
        <v>570750</v>
      </c>
      <c r="F14" s="63">
        <v>12</v>
      </c>
      <c r="G14" s="53">
        <f>(C14/E14)*F14</f>
        <v>4.8567463863337714</v>
      </c>
    </row>
    <row r="15" spans="1:7">
      <c r="A15" s="26"/>
      <c r="B15" s="51" t="s">
        <v>66</v>
      </c>
      <c r="C15" s="56">
        <v>20000</v>
      </c>
      <c r="D15" s="75">
        <v>11325</v>
      </c>
      <c r="E15" s="65">
        <f t="shared" ref="E15:E19" si="3">C15+D15</f>
        <v>31325</v>
      </c>
      <c r="F15" s="63">
        <v>12</v>
      </c>
      <c r="G15" s="53">
        <f t="shared" ref="G15:G19" si="4">(C15/E15)*F15</f>
        <v>7.6616121308858744</v>
      </c>
    </row>
    <row r="16" spans="1:7">
      <c r="A16" s="26"/>
      <c r="B16" s="48" t="s">
        <v>68</v>
      </c>
      <c r="C16" s="56">
        <v>120000</v>
      </c>
      <c r="D16" s="75">
        <v>147225</v>
      </c>
      <c r="E16" s="65">
        <f t="shared" si="3"/>
        <v>267225</v>
      </c>
      <c r="F16" s="63">
        <v>20</v>
      </c>
      <c r="G16" s="53">
        <f t="shared" si="4"/>
        <v>8.9811956216671334</v>
      </c>
    </row>
    <row r="17" spans="1:7">
      <c r="A17" s="26"/>
      <c r="B17" s="48" t="s">
        <v>70</v>
      </c>
      <c r="C17" s="56">
        <v>200000</v>
      </c>
      <c r="D17" s="75">
        <v>226501</v>
      </c>
      <c r="E17" s="65">
        <f>C17+D17</f>
        <v>426501</v>
      </c>
      <c r="F17" s="63">
        <v>10</v>
      </c>
      <c r="G17" s="53">
        <f t="shared" si="4"/>
        <v>4.6893207753322965</v>
      </c>
    </row>
    <row r="18" spans="1:7">
      <c r="A18" s="26"/>
      <c r="B18" s="48" t="s">
        <v>72</v>
      </c>
      <c r="C18" s="56">
        <v>66667</v>
      </c>
      <c r="D18" s="75">
        <v>113250</v>
      </c>
      <c r="E18" s="65">
        <f t="shared" si="3"/>
        <v>179917</v>
      </c>
      <c r="F18" s="63">
        <v>8000</v>
      </c>
      <c r="G18" s="53">
        <f t="shared" si="4"/>
        <v>2964.3446700422974</v>
      </c>
    </row>
    <row r="19" spans="1:7">
      <c r="A19" s="26"/>
      <c r="B19" s="48" t="s">
        <v>74</v>
      </c>
      <c r="C19" s="56">
        <v>26667</v>
      </c>
      <c r="D19" s="75">
        <v>67950</v>
      </c>
      <c r="E19" s="65">
        <f t="shared" si="3"/>
        <v>94617</v>
      </c>
      <c r="F19" s="74">
        <v>100</v>
      </c>
      <c r="G19" s="53">
        <f t="shared" si="4"/>
        <v>28.184152953486159</v>
      </c>
    </row>
    <row r="20" spans="1:7">
      <c r="A20" s="38" t="s">
        <v>105</v>
      </c>
      <c r="B20" s="38" t="s">
        <v>108</v>
      </c>
      <c r="C20" s="62">
        <v>671000</v>
      </c>
      <c r="D20" s="68">
        <f>SUM(D14:D19)</f>
        <v>906002</v>
      </c>
      <c r="E20" s="68">
        <f>SUM(E14:E19)</f>
        <v>1570335</v>
      </c>
      <c r="F20" s="69"/>
      <c r="G20" s="71"/>
    </row>
    <row r="21" spans="1:7">
      <c r="A21" s="30" t="s">
        <v>109</v>
      </c>
      <c r="B21" s="52" t="s">
        <v>77</v>
      </c>
      <c r="C21" s="55">
        <v>20000</v>
      </c>
      <c r="D21" s="75">
        <v>28992</v>
      </c>
      <c r="E21" s="65">
        <f>C21+D21</f>
        <v>48992</v>
      </c>
      <c r="F21" s="63">
        <v>12</v>
      </c>
      <c r="G21" s="53">
        <f>(C21/E21)*F21</f>
        <v>4.8987589810581325</v>
      </c>
    </row>
    <row r="22" spans="1:7">
      <c r="A22" s="26"/>
      <c r="B22" s="48" t="s">
        <v>80</v>
      </c>
      <c r="C22" s="56">
        <v>10000</v>
      </c>
      <c r="D22" s="75">
        <v>11325</v>
      </c>
      <c r="E22" s="65">
        <f t="shared" ref="E22:E24" si="5">C22+D22</f>
        <v>21325</v>
      </c>
      <c r="F22" s="63">
        <v>300</v>
      </c>
      <c r="G22" s="53">
        <f t="shared" ref="G22:G24" si="6">(C22/E22)*F22</f>
        <v>140.67995310668229</v>
      </c>
    </row>
    <row r="23" spans="1:7">
      <c r="A23" s="26"/>
      <c r="B23" s="48" t="s">
        <v>83</v>
      </c>
      <c r="C23" s="32">
        <v>20000</v>
      </c>
      <c r="D23" s="76">
        <v>16640</v>
      </c>
      <c r="E23" s="65">
        <f t="shared" si="5"/>
        <v>36640</v>
      </c>
      <c r="F23" s="63">
        <v>12</v>
      </c>
      <c r="G23" s="53">
        <f t="shared" si="6"/>
        <v>6.5502183406113543</v>
      </c>
    </row>
    <row r="24" spans="1:7">
      <c r="A24" s="26"/>
      <c r="B24" s="48" t="s">
        <v>86</v>
      </c>
      <c r="C24" s="32">
        <v>16000</v>
      </c>
      <c r="D24" s="76">
        <v>16640</v>
      </c>
      <c r="E24" s="65">
        <f t="shared" si="5"/>
        <v>32640</v>
      </c>
      <c r="F24" s="72"/>
      <c r="G24" s="53">
        <f t="shared" si="6"/>
        <v>0</v>
      </c>
    </row>
    <row r="25" spans="1:7">
      <c r="A25" s="34" t="s">
        <v>105</v>
      </c>
      <c r="B25" s="34" t="s">
        <v>110</v>
      </c>
      <c r="C25" s="70">
        <v>66000</v>
      </c>
      <c r="D25" s="68">
        <f>SUM(D21:D24)</f>
        <v>73597</v>
      </c>
      <c r="E25" s="68">
        <f>SUM(E21:E24)</f>
        <v>139597</v>
      </c>
      <c r="F25" s="69"/>
    </row>
    <row r="26" spans="1:7">
      <c r="A26" s="39" t="s">
        <v>111</v>
      </c>
      <c r="B26" s="48" t="s">
        <v>112</v>
      </c>
      <c r="C26" s="32">
        <v>1900000</v>
      </c>
      <c r="D26" s="76">
        <v>3912993</v>
      </c>
      <c r="E26" s="66">
        <f>C26+D26</f>
        <v>5812993</v>
      </c>
      <c r="F26" s="64"/>
    </row>
    <row r="27" spans="1:7">
      <c r="A27" s="39" t="s">
        <v>113</v>
      </c>
      <c r="B27" s="48" t="s">
        <v>114</v>
      </c>
      <c r="C27" s="31">
        <v>0</v>
      </c>
      <c r="D27" s="76">
        <v>42260</v>
      </c>
      <c r="E27" s="66">
        <f t="shared" ref="E27:E30" si="7">C27+D27</f>
        <v>42260</v>
      </c>
      <c r="F27" s="64"/>
    </row>
    <row r="28" spans="1:7">
      <c r="A28" s="40"/>
      <c r="B28" s="48" t="s">
        <v>115</v>
      </c>
      <c r="C28" s="31">
        <v>0</v>
      </c>
      <c r="D28" s="76">
        <v>313039</v>
      </c>
      <c r="E28" s="66">
        <f t="shared" si="7"/>
        <v>313039</v>
      </c>
      <c r="F28" s="64"/>
    </row>
    <row r="29" spans="1:7">
      <c r="A29" s="39" t="s">
        <v>105</v>
      </c>
      <c r="B29" s="48" t="s">
        <v>116</v>
      </c>
      <c r="C29" s="32">
        <v>100000</v>
      </c>
      <c r="D29" s="77">
        <v>0</v>
      </c>
      <c r="E29" s="66">
        <f t="shared" si="7"/>
        <v>100000</v>
      </c>
      <c r="F29" s="64"/>
    </row>
    <row r="30" spans="1:7">
      <c r="A30" s="39" t="s">
        <v>105</v>
      </c>
      <c r="B30" s="48" t="s">
        <v>117</v>
      </c>
      <c r="C30" s="32">
        <v>100000</v>
      </c>
      <c r="D30" s="78">
        <v>355299</v>
      </c>
      <c r="E30" s="66">
        <f t="shared" si="7"/>
        <v>455299</v>
      </c>
      <c r="F30" s="64"/>
    </row>
    <row r="31" spans="1:7">
      <c r="A31" s="41" t="s">
        <v>118</v>
      </c>
      <c r="B31" s="49"/>
      <c r="C31" s="42">
        <v>2000000</v>
      </c>
      <c r="D31" s="43">
        <v>4268292</v>
      </c>
      <c r="E31" s="73">
        <v>6867916</v>
      </c>
      <c r="F31" s="64"/>
    </row>
    <row r="33" spans="3:4" ht="15">
      <c r="C33" s="126">
        <f>C13+C20+C25</f>
        <v>1545444</v>
      </c>
    </row>
    <row r="34" spans="3:4">
      <c r="C34" s="127">
        <f>C26-C33</f>
        <v>354556</v>
      </c>
    </row>
    <row r="35" spans="3:4">
      <c r="C35">
        <f>C31/1.05</f>
        <v>1904761.9047619046</v>
      </c>
    </row>
    <row r="36" spans="3:4">
      <c r="C36">
        <f>C35/1.06</f>
        <v>1796945.193171608</v>
      </c>
    </row>
    <row r="37" spans="3:4">
      <c r="C37">
        <f>C35-C36</f>
        <v>107816.71159029659</v>
      </c>
      <c r="D37" t="s">
        <v>119</v>
      </c>
    </row>
    <row r="38" spans="3:4">
      <c r="C38" s="127">
        <f>C34-C37</f>
        <v>246739.28840970341</v>
      </c>
      <c r="D38" t="s">
        <v>120</v>
      </c>
    </row>
  </sheetData>
  <mergeCells count="2">
    <mergeCell ref="A3:A12"/>
    <mergeCell ref="C1:E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333A-A6E2-4C99-BBD9-85BC430780E8}">
  <dimension ref="A1:I31"/>
  <sheetViews>
    <sheetView topLeftCell="B13" workbookViewId="0">
      <selection activeCell="I21" sqref="I21:I24"/>
    </sheetView>
  </sheetViews>
  <sheetFormatPr defaultRowHeight="14.45"/>
  <cols>
    <col min="1" max="1" width="16.28515625" customWidth="1"/>
    <col min="2" max="2" width="95.85546875" customWidth="1"/>
    <col min="3" max="3" width="13.7109375" customWidth="1"/>
    <col min="4" max="4" width="12.42578125" customWidth="1"/>
    <col min="5" max="6" width="12" customWidth="1"/>
    <col min="7" max="7" width="11.85546875" customWidth="1"/>
    <col min="8" max="8" width="15.42578125" customWidth="1"/>
    <col min="9" max="9" width="10.42578125" bestFit="1" customWidth="1"/>
  </cols>
  <sheetData>
    <row r="1" spans="1:9">
      <c r="B1" s="88" t="s">
        <v>92</v>
      </c>
      <c r="C1" s="176" t="s">
        <v>93</v>
      </c>
      <c r="D1" s="176"/>
      <c r="E1" s="176"/>
      <c r="F1" s="176"/>
      <c r="G1" s="174" t="s">
        <v>121</v>
      </c>
      <c r="H1" s="175"/>
      <c r="I1" s="175"/>
    </row>
    <row r="2" spans="1:9" ht="47.25" customHeight="1">
      <c r="A2" s="45" t="s">
        <v>94</v>
      </c>
      <c r="B2" s="45" t="s">
        <v>92</v>
      </c>
      <c r="C2" s="89" t="s">
        <v>122</v>
      </c>
      <c r="D2" s="90" t="s">
        <v>123</v>
      </c>
      <c r="E2" s="90" t="s">
        <v>124</v>
      </c>
      <c r="F2" s="114" t="s">
        <v>125</v>
      </c>
      <c r="G2" s="87" t="s">
        <v>126</v>
      </c>
      <c r="H2" s="86" t="s">
        <v>127</v>
      </c>
      <c r="I2" s="118" t="s">
        <v>128</v>
      </c>
    </row>
    <row r="3" spans="1:9">
      <c r="A3" s="169" t="s">
        <v>100</v>
      </c>
      <c r="B3" s="47" t="s">
        <v>101</v>
      </c>
      <c r="C3" s="55">
        <v>152000</v>
      </c>
      <c r="D3" s="54">
        <v>102000</v>
      </c>
      <c r="E3" s="37">
        <f>C3-D3</f>
        <v>50000</v>
      </c>
      <c r="F3" s="115">
        <f>D3/3</f>
        <v>34000</v>
      </c>
      <c r="G3" s="112">
        <v>15000</v>
      </c>
      <c r="H3" s="110">
        <v>4158</v>
      </c>
      <c r="I3" s="119">
        <f>H3/3</f>
        <v>1386</v>
      </c>
    </row>
    <row r="4" spans="1:9">
      <c r="A4" s="169"/>
      <c r="B4" s="51" t="s">
        <v>102</v>
      </c>
      <c r="C4" s="108">
        <v>30000</v>
      </c>
      <c r="D4" s="58">
        <v>30000</v>
      </c>
      <c r="E4" s="59">
        <f t="shared" ref="E4:E12" si="0">C4-D4</f>
        <v>0</v>
      </c>
      <c r="F4" s="59">
        <f t="shared" ref="F4:F12" si="1">D4/3</f>
        <v>10000</v>
      </c>
      <c r="G4" s="113">
        <v>8000</v>
      </c>
      <c r="H4" s="111">
        <v>6523</v>
      </c>
      <c r="I4" s="109">
        <f t="shared" ref="I4:I12" si="2">H4/3</f>
        <v>2174.3333333333335</v>
      </c>
    </row>
    <row r="5" spans="1:9">
      <c r="A5" s="169"/>
      <c r="B5" s="51" t="s">
        <v>45</v>
      </c>
      <c r="C5" s="56">
        <v>10000</v>
      </c>
      <c r="D5" s="54">
        <v>10000</v>
      </c>
      <c r="E5" s="37">
        <f t="shared" si="0"/>
        <v>0</v>
      </c>
      <c r="F5" s="115">
        <f t="shared" si="1"/>
        <v>3333.3333333333335</v>
      </c>
      <c r="G5" s="112">
        <v>12</v>
      </c>
      <c r="H5" s="110">
        <v>4</v>
      </c>
      <c r="I5" s="119">
        <f t="shared" si="2"/>
        <v>1.3333333333333333</v>
      </c>
    </row>
    <row r="6" spans="1:9">
      <c r="A6" s="169"/>
      <c r="B6" s="48" t="s">
        <v>103</v>
      </c>
      <c r="C6" s="56">
        <v>20000</v>
      </c>
      <c r="D6" s="54">
        <v>20000</v>
      </c>
      <c r="E6" s="37">
        <f t="shared" si="0"/>
        <v>0</v>
      </c>
      <c r="F6" s="115">
        <f t="shared" si="1"/>
        <v>6666.666666666667</v>
      </c>
      <c r="G6" s="112">
        <v>20000</v>
      </c>
      <c r="H6" s="110">
        <v>5220</v>
      </c>
      <c r="I6" s="119">
        <f t="shared" si="2"/>
        <v>1740</v>
      </c>
    </row>
    <row r="7" spans="1:9">
      <c r="A7" s="169"/>
      <c r="B7" s="48" t="s">
        <v>49</v>
      </c>
      <c r="C7" s="57">
        <v>0</v>
      </c>
      <c r="D7" s="75">
        <v>0</v>
      </c>
      <c r="E7" s="37">
        <f t="shared" si="0"/>
        <v>0</v>
      </c>
      <c r="F7" s="115">
        <f t="shared" si="1"/>
        <v>0</v>
      </c>
      <c r="G7" s="112">
        <v>2</v>
      </c>
      <c r="H7" s="110">
        <v>0</v>
      </c>
      <c r="I7" s="119">
        <f t="shared" si="2"/>
        <v>0</v>
      </c>
    </row>
    <row r="8" spans="1:9" ht="15.75" customHeight="1">
      <c r="A8" s="169"/>
      <c r="B8" s="48" t="s">
        <v>51</v>
      </c>
      <c r="C8" s="56">
        <v>35000</v>
      </c>
      <c r="D8" s="54">
        <v>35000</v>
      </c>
      <c r="E8" s="37">
        <f t="shared" si="0"/>
        <v>0</v>
      </c>
      <c r="F8" s="115">
        <f t="shared" si="1"/>
        <v>11666.666666666666</v>
      </c>
      <c r="G8" s="112">
        <v>6</v>
      </c>
      <c r="H8" s="110">
        <v>2</v>
      </c>
      <c r="I8" s="119">
        <f t="shared" si="2"/>
        <v>0.66666666666666663</v>
      </c>
    </row>
    <row r="9" spans="1:9">
      <c r="A9" s="169"/>
      <c r="B9" s="48" t="s">
        <v>52</v>
      </c>
      <c r="C9" s="56">
        <v>100000</v>
      </c>
      <c r="D9" s="54">
        <v>50000</v>
      </c>
      <c r="E9" s="37">
        <f t="shared" si="0"/>
        <v>50000</v>
      </c>
      <c r="F9" s="115">
        <f t="shared" si="1"/>
        <v>16666.666666666668</v>
      </c>
      <c r="G9" s="112">
        <v>4500</v>
      </c>
      <c r="H9" s="110">
        <v>1667</v>
      </c>
      <c r="I9" s="119">
        <f t="shared" si="2"/>
        <v>555.66666666666663</v>
      </c>
    </row>
    <row r="10" spans="1:9">
      <c r="A10" s="169"/>
      <c r="B10" s="48" t="s">
        <v>104</v>
      </c>
      <c r="C10" s="56">
        <v>50000</v>
      </c>
      <c r="D10" s="54">
        <v>50000</v>
      </c>
      <c r="E10" s="37">
        <f t="shared" si="0"/>
        <v>0</v>
      </c>
      <c r="F10" s="115">
        <f t="shared" si="1"/>
        <v>16666.666666666668</v>
      </c>
      <c r="G10" s="112">
        <v>32</v>
      </c>
      <c r="H10" s="110">
        <v>2</v>
      </c>
      <c r="I10" s="119">
        <f t="shared" si="2"/>
        <v>0.66666666666666663</v>
      </c>
    </row>
    <row r="11" spans="1:9">
      <c r="A11" s="169"/>
      <c r="B11" s="48" t="s">
        <v>57</v>
      </c>
      <c r="C11" s="56">
        <v>301444</v>
      </c>
      <c r="D11" s="54">
        <v>101444</v>
      </c>
      <c r="E11" s="37">
        <f t="shared" si="0"/>
        <v>200000</v>
      </c>
      <c r="F11" s="115">
        <f t="shared" si="1"/>
        <v>33814.666666666664</v>
      </c>
      <c r="G11" s="112">
        <v>3000</v>
      </c>
      <c r="H11" s="110">
        <v>1642</v>
      </c>
      <c r="I11" s="119">
        <f t="shared" si="2"/>
        <v>547.33333333333337</v>
      </c>
    </row>
    <row r="12" spans="1:9">
      <c r="A12" s="170"/>
      <c r="B12" s="48" t="s">
        <v>60</v>
      </c>
      <c r="C12" s="56">
        <v>10000</v>
      </c>
      <c r="D12" s="54">
        <v>0</v>
      </c>
      <c r="E12" s="37">
        <f t="shared" si="0"/>
        <v>10000</v>
      </c>
      <c r="F12" s="115">
        <f t="shared" si="1"/>
        <v>0</v>
      </c>
      <c r="G12" s="112">
        <v>2</v>
      </c>
      <c r="H12" s="85">
        <v>0</v>
      </c>
      <c r="I12" s="119">
        <f t="shared" si="2"/>
        <v>0</v>
      </c>
    </row>
    <row r="13" spans="1:9" ht="15">
      <c r="A13" s="33" t="s">
        <v>105</v>
      </c>
      <c r="B13" s="33" t="s">
        <v>106</v>
      </c>
      <c r="C13" s="35">
        <f>SUM(C3:C12)</f>
        <v>708444</v>
      </c>
      <c r="D13" s="35">
        <f>SUM(D3:D12)</f>
        <v>398444</v>
      </c>
      <c r="E13" s="121">
        <f>SUM(E3:E12)</f>
        <v>310000</v>
      </c>
      <c r="F13" s="98">
        <f>SUM(F3:F12)</f>
        <v>132814.66666666669</v>
      </c>
      <c r="G13" s="122"/>
      <c r="H13" s="123"/>
      <c r="I13" s="69"/>
    </row>
    <row r="14" spans="1:9" ht="14.45" customHeight="1">
      <c r="A14" s="36" t="s">
        <v>107</v>
      </c>
      <c r="B14" s="47" t="s">
        <v>63</v>
      </c>
      <c r="C14" s="55">
        <v>230999</v>
      </c>
      <c r="D14" s="75">
        <v>201190.39999999999</v>
      </c>
      <c r="E14" s="91">
        <f>C14-D14</f>
        <v>29808.600000000006</v>
      </c>
      <c r="F14" s="177" t="s">
        <v>129</v>
      </c>
      <c r="G14" s="92">
        <v>12</v>
      </c>
      <c r="H14" s="85">
        <v>5</v>
      </c>
      <c r="I14" s="119">
        <f>H14/3</f>
        <v>1.6666666666666667</v>
      </c>
    </row>
    <row r="15" spans="1:9" ht="14.45" customHeight="1">
      <c r="A15" s="26"/>
      <c r="B15" s="51" t="s">
        <v>66</v>
      </c>
      <c r="C15" s="56">
        <v>20000</v>
      </c>
      <c r="D15" s="75">
        <v>20000</v>
      </c>
      <c r="E15" s="91">
        <f t="shared" ref="E15:E24" si="3">C15-D15</f>
        <v>0</v>
      </c>
      <c r="F15" s="178"/>
      <c r="G15" s="92">
        <v>12</v>
      </c>
      <c r="H15" s="85">
        <v>8</v>
      </c>
      <c r="I15" s="119">
        <f t="shared" ref="I15:I24" si="4">H15/3</f>
        <v>2.6666666666666665</v>
      </c>
    </row>
    <row r="16" spans="1:9" ht="14.45" customHeight="1">
      <c r="A16" s="26"/>
      <c r="B16" s="48" t="s">
        <v>68</v>
      </c>
      <c r="C16" s="56">
        <v>120000</v>
      </c>
      <c r="D16" s="75">
        <v>53092</v>
      </c>
      <c r="E16" s="91">
        <f t="shared" si="3"/>
        <v>66908</v>
      </c>
      <c r="F16" s="178"/>
      <c r="G16" s="92">
        <v>20</v>
      </c>
      <c r="H16" s="85">
        <v>9</v>
      </c>
      <c r="I16" s="119">
        <f t="shared" si="4"/>
        <v>3</v>
      </c>
    </row>
    <row r="17" spans="1:9" ht="14.45" customHeight="1">
      <c r="A17" s="26"/>
      <c r="B17" s="48" t="s">
        <v>70</v>
      </c>
      <c r="C17" s="56">
        <v>200000</v>
      </c>
      <c r="D17" s="75">
        <v>75000</v>
      </c>
      <c r="E17" s="91">
        <f t="shared" si="3"/>
        <v>125000</v>
      </c>
      <c r="F17" s="178"/>
      <c r="G17" s="92">
        <v>10</v>
      </c>
      <c r="H17" s="85">
        <v>5</v>
      </c>
      <c r="I17" s="119">
        <f t="shared" si="4"/>
        <v>1.6666666666666667</v>
      </c>
    </row>
    <row r="18" spans="1:9" ht="14.45" customHeight="1">
      <c r="A18" s="26"/>
      <c r="B18" s="48" t="s">
        <v>72</v>
      </c>
      <c r="C18" s="56">
        <v>66667</v>
      </c>
      <c r="D18" s="75">
        <v>66667</v>
      </c>
      <c r="E18" s="91">
        <f>C18-D18</f>
        <v>0</v>
      </c>
      <c r="F18" s="178"/>
      <c r="G18" s="92">
        <v>8000</v>
      </c>
      <c r="H18" s="85">
        <v>2964</v>
      </c>
      <c r="I18" s="119">
        <f t="shared" si="4"/>
        <v>988</v>
      </c>
    </row>
    <row r="19" spans="1:9" ht="14.45" customHeight="1">
      <c r="A19" s="26"/>
      <c r="B19" s="48" t="s">
        <v>74</v>
      </c>
      <c r="C19" s="56">
        <v>26667</v>
      </c>
      <c r="D19" s="75">
        <v>26667</v>
      </c>
      <c r="E19" s="91">
        <f t="shared" si="3"/>
        <v>0</v>
      </c>
      <c r="F19" s="179"/>
      <c r="G19" s="124">
        <v>100</v>
      </c>
      <c r="H19" s="85">
        <v>28</v>
      </c>
      <c r="I19" s="119">
        <f t="shared" si="4"/>
        <v>9.3333333333333339</v>
      </c>
    </row>
    <row r="20" spans="1:9" ht="15">
      <c r="A20" s="38" t="s">
        <v>105</v>
      </c>
      <c r="B20" s="38" t="s">
        <v>108</v>
      </c>
      <c r="C20" s="62">
        <v>671000</v>
      </c>
      <c r="D20" s="68">
        <f>SUM(D14:D19)</f>
        <v>442616.4</v>
      </c>
      <c r="E20" s="68">
        <f>SUM(E14:E19)</f>
        <v>221716.6</v>
      </c>
      <c r="F20" s="120"/>
      <c r="G20" s="94"/>
      <c r="H20" s="71"/>
      <c r="I20" s="119">
        <f t="shared" si="4"/>
        <v>0</v>
      </c>
    </row>
    <row r="21" spans="1:9">
      <c r="A21" s="30" t="s">
        <v>109</v>
      </c>
      <c r="B21" s="52" t="s">
        <v>77</v>
      </c>
      <c r="C21" s="55">
        <v>20000</v>
      </c>
      <c r="D21" s="75">
        <v>20000</v>
      </c>
      <c r="E21" s="91">
        <f t="shared" si="3"/>
        <v>0</v>
      </c>
      <c r="F21" s="125">
        <f>D21/3</f>
        <v>6666.666666666667</v>
      </c>
      <c r="G21" s="92">
        <v>12</v>
      </c>
      <c r="H21" s="85">
        <v>5</v>
      </c>
      <c r="I21" s="119">
        <f t="shared" si="4"/>
        <v>1.6666666666666667</v>
      </c>
    </row>
    <row r="22" spans="1:9">
      <c r="A22" s="26"/>
      <c r="B22" s="48" t="s">
        <v>80</v>
      </c>
      <c r="C22" s="56">
        <v>10000</v>
      </c>
      <c r="D22" s="75">
        <v>10000</v>
      </c>
      <c r="E22" s="91">
        <f t="shared" si="3"/>
        <v>0</v>
      </c>
      <c r="F22" s="116">
        <f t="shared" ref="F22:F24" si="5">D22/3</f>
        <v>3333.3333333333335</v>
      </c>
      <c r="G22" s="92">
        <v>300</v>
      </c>
      <c r="H22" s="85">
        <v>141</v>
      </c>
      <c r="I22" s="119">
        <f t="shared" si="4"/>
        <v>47</v>
      </c>
    </row>
    <row r="23" spans="1:9">
      <c r="A23" s="26"/>
      <c r="B23" s="48" t="s">
        <v>83</v>
      </c>
      <c r="C23" s="32">
        <v>20000</v>
      </c>
      <c r="D23" s="76">
        <v>20000</v>
      </c>
      <c r="E23" s="91">
        <f t="shared" si="3"/>
        <v>0</v>
      </c>
      <c r="F23" s="116">
        <f t="shared" si="5"/>
        <v>6666.666666666667</v>
      </c>
      <c r="G23" s="92">
        <v>12</v>
      </c>
      <c r="H23" s="85">
        <v>7</v>
      </c>
      <c r="I23" s="119">
        <f t="shared" si="4"/>
        <v>2.3333333333333335</v>
      </c>
    </row>
    <row r="24" spans="1:9">
      <c r="A24" s="26"/>
      <c r="B24" s="48" t="s">
        <v>86</v>
      </c>
      <c r="C24" s="32">
        <v>16000</v>
      </c>
      <c r="D24" s="76">
        <v>16000</v>
      </c>
      <c r="E24" s="91">
        <f t="shared" si="3"/>
        <v>0</v>
      </c>
      <c r="F24" s="116">
        <f t="shared" si="5"/>
        <v>5333.333333333333</v>
      </c>
      <c r="G24" s="93"/>
      <c r="H24" s="85">
        <v>0</v>
      </c>
      <c r="I24" s="119">
        <f t="shared" si="4"/>
        <v>0</v>
      </c>
    </row>
    <row r="25" spans="1:9">
      <c r="A25" s="34" t="s">
        <v>105</v>
      </c>
      <c r="B25" s="34" t="s">
        <v>110</v>
      </c>
      <c r="C25" s="70">
        <v>66000</v>
      </c>
      <c r="D25" s="68">
        <f>SUM(D21:D24)</f>
        <v>66000</v>
      </c>
      <c r="E25" s="97">
        <f>SUM(E21:E24)</f>
        <v>0</v>
      </c>
      <c r="F25" s="117">
        <f>SUM(F21:F24)</f>
        <v>22000</v>
      </c>
      <c r="G25" s="99"/>
    </row>
    <row r="26" spans="1:9">
      <c r="A26" s="39" t="s">
        <v>111</v>
      </c>
      <c r="B26" s="48" t="s">
        <v>112</v>
      </c>
      <c r="C26" s="32">
        <v>1900000</v>
      </c>
      <c r="D26" s="96"/>
      <c r="E26" s="95"/>
      <c r="F26" s="95"/>
      <c r="G26" s="64"/>
    </row>
    <row r="27" spans="1:9">
      <c r="A27" s="39" t="s">
        <v>113</v>
      </c>
      <c r="B27" s="48" t="s">
        <v>114</v>
      </c>
      <c r="C27" s="31">
        <v>0</v>
      </c>
      <c r="D27" s="96"/>
      <c r="E27" s="95"/>
      <c r="F27" s="95"/>
      <c r="G27" s="64"/>
    </row>
    <row r="28" spans="1:9">
      <c r="A28" s="40"/>
      <c r="B28" s="48" t="s">
        <v>115</v>
      </c>
      <c r="C28" s="31">
        <v>0</v>
      </c>
      <c r="D28" s="96"/>
      <c r="E28" s="95"/>
      <c r="F28" s="95"/>
      <c r="G28" s="64"/>
    </row>
    <row r="29" spans="1:9">
      <c r="A29" s="39" t="s">
        <v>105</v>
      </c>
      <c r="B29" s="48" t="s">
        <v>116</v>
      </c>
      <c r="C29" s="105">
        <v>100000</v>
      </c>
      <c r="D29" s="106"/>
      <c r="E29" s="107"/>
      <c r="F29" s="107"/>
      <c r="G29" s="74"/>
    </row>
    <row r="30" spans="1:9">
      <c r="A30" s="39" t="s">
        <v>105</v>
      </c>
      <c r="B30" s="103" t="s">
        <v>117</v>
      </c>
      <c r="C30" s="54">
        <v>100000</v>
      </c>
      <c r="D30" s="100"/>
      <c r="E30" s="95"/>
      <c r="F30" s="95"/>
      <c r="G30" s="64"/>
    </row>
    <row r="31" spans="1:9">
      <c r="A31" s="41" t="s">
        <v>118</v>
      </c>
      <c r="B31" s="104" t="s">
        <v>130</v>
      </c>
      <c r="C31" s="101">
        <v>2000000</v>
      </c>
      <c r="D31" s="101">
        <f>D13+D20+D25</f>
        <v>907060.4</v>
      </c>
      <c r="E31" s="102"/>
      <c r="F31" s="102"/>
      <c r="G31" s="64"/>
    </row>
  </sheetData>
  <mergeCells count="4">
    <mergeCell ref="A3:A12"/>
    <mergeCell ref="G1:I1"/>
    <mergeCell ref="C1:F1"/>
    <mergeCell ref="F14:F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257D-0B84-48E2-8C46-E9AA4B69A6A1}">
  <dimension ref="A2:K37"/>
  <sheetViews>
    <sheetView topLeftCell="A19" workbookViewId="0">
      <selection activeCell="C35" sqref="C35"/>
    </sheetView>
  </sheetViews>
  <sheetFormatPr defaultRowHeight="15"/>
  <cols>
    <col min="1" max="1" width="19" customWidth="1"/>
    <col min="2" max="2" width="17" customWidth="1"/>
    <col min="3" max="3" width="18.140625" customWidth="1"/>
    <col min="4" max="4" width="11" customWidth="1"/>
    <col min="5" max="5" width="16.42578125" customWidth="1"/>
    <col min="11" max="11" width="13.140625" customWidth="1"/>
  </cols>
  <sheetData>
    <row r="2" spans="1:11" ht="15.75">
      <c r="A2" s="128">
        <v>1</v>
      </c>
      <c r="B2" s="129" t="s">
        <v>131</v>
      </c>
    </row>
    <row r="3" spans="1:11" ht="15.75">
      <c r="A3" s="128">
        <v>2</v>
      </c>
      <c r="B3" s="129" t="s">
        <v>105</v>
      </c>
    </row>
    <row r="4" spans="1:11">
      <c r="A4" s="130" t="s">
        <v>132</v>
      </c>
      <c r="B4" s="131" t="s">
        <v>133</v>
      </c>
      <c r="C4" s="131" t="s">
        <v>134</v>
      </c>
      <c r="D4" s="131" t="s">
        <v>135</v>
      </c>
    </row>
    <row r="5" spans="1:11">
      <c r="A5" s="132" t="s">
        <v>136</v>
      </c>
      <c r="B5" s="133" t="s">
        <v>137</v>
      </c>
      <c r="C5" s="133" t="s">
        <v>20</v>
      </c>
      <c r="D5" s="133">
        <v>10</v>
      </c>
    </row>
    <row r="6" spans="1:11">
      <c r="A6" s="132" t="s">
        <v>138</v>
      </c>
      <c r="B6" s="133" t="s">
        <v>138</v>
      </c>
      <c r="C6" s="133" t="s">
        <v>20</v>
      </c>
      <c r="D6" s="133">
        <v>10</v>
      </c>
    </row>
    <row r="7" spans="1:11">
      <c r="A7" s="132" t="s">
        <v>139</v>
      </c>
      <c r="B7" s="133" t="s">
        <v>139</v>
      </c>
      <c r="C7" s="133" t="s">
        <v>20</v>
      </c>
      <c r="D7" s="133">
        <v>10</v>
      </c>
    </row>
    <row r="8" spans="1:11">
      <c r="A8" s="129" t="s">
        <v>105</v>
      </c>
    </row>
    <row r="9" spans="1:11" ht="15.75">
      <c r="A9" s="128">
        <v>3</v>
      </c>
      <c r="B9" s="129" t="s">
        <v>140</v>
      </c>
    </row>
    <row r="10" spans="1:11">
      <c r="A10" s="129" t="s">
        <v>105</v>
      </c>
    </row>
    <row r="11" spans="1:11">
      <c r="A11" s="134" t="s">
        <v>141</v>
      </c>
      <c r="B11" s="135" t="s">
        <v>142</v>
      </c>
      <c r="C11" s="135" t="s">
        <v>143</v>
      </c>
      <c r="D11" s="135" t="s">
        <v>144</v>
      </c>
      <c r="E11" s="141" t="s">
        <v>145</v>
      </c>
      <c r="F11" s="141" t="s">
        <v>146</v>
      </c>
    </row>
    <row r="12" spans="1:11">
      <c r="A12" s="132">
        <v>1</v>
      </c>
      <c r="B12" s="133" t="s">
        <v>147</v>
      </c>
      <c r="C12" s="133" t="s">
        <v>148</v>
      </c>
      <c r="D12" s="133" t="s">
        <v>22</v>
      </c>
      <c r="E12" s="142">
        <v>670</v>
      </c>
      <c r="F12" s="64"/>
      <c r="J12" s="64" t="s">
        <v>146</v>
      </c>
      <c r="K12" s="64" t="s">
        <v>149</v>
      </c>
    </row>
    <row r="13" spans="1:11">
      <c r="A13" s="132">
        <v>2</v>
      </c>
      <c r="B13" s="133" t="s">
        <v>150</v>
      </c>
      <c r="C13" s="133" t="s">
        <v>22</v>
      </c>
      <c r="D13" s="133" t="s">
        <v>22</v>
      </c>
      <c r="E13" s="142">
        <v>670</v>
      </c>
      <c r="F13" s="64"/>
      <c r="J13" s="64"/>
      <c r="K13" s="64" t="s">
        <v>151</v>
      </c>
    </row>
    <row r="14" spans="1:11">
      <c r="A14" s="136">
        <v>3</v>
      </c>
      <c r="B14" s="137" t="s">
        <v>152</v>
      </c>
      <c r="C14" s="137" t="s">
        <v>153</v>
      </c>
      <c r="D14" s="137" t="s">
        <v>22</v>
      </c>
      <c r="E14" s="129">
        <v>660</v>
      </c>
      <c r="F14" s="64"/>
      <c r="J14" s="64"/>
      <c r="K14" s="64" t="s">
        <v>154</v>
      </c>
    </row>
    <row r="15" spans="1:11">
      <c r="A15" s="132" t="s">
        <v>105</v>
      </c>
      <c r="B15" s="138"/>
      <c r="C15" s="138"/>
      <c r="D15" s="138"/>
      <c r="E15" s="143"/>
      <c r="F15" s="64"/>
    </row>
    <row r="16" spans="1:11">
      <c r="A16" s="132">
        <v>8</v>
      </c>
      <c r="B16" s="133" t="s">
        <v>136</v>
      </c>
      <c r="C16" s="133" t="s">
        <v>137</v>
      </c>
      <c r="D16" s="133" t="s">
        <v>20</v>
      </c>
      <c r="E16" s="142">
        <v>660</v>
      </c>
      <c r="F16" s="64"/>
    </row>
    <row r="17" spans="1:6">
      <c r="A17" s="132">
        <v>9</v>
      </c>
      <c r="B17" s="133" t="s">
        <v>138</v>
      </c>
      <c r="C17" s="133" t="s">
        <v>138</v>
      </c>
      <c r="D17" s="133" t="s">
        <v>20</v>
      </c>
      <c r="E17" s="142">
        <v>670</v>
      </c>
      <c r="F17" s="64"/>
    </row>
    <row r="18" spans="1:6">
      <c r="A18" s="132">
        <v>10</v>
      </c>
      <c r="B18" s="133" t="s">
        <v>139</v>
      </c>
      <c r="C18" s="133" t="s">
        <v>139</v>
      </c>
      <c r="D18" s="133" t="s">
        <v>20</v>
      </c>
      <c r="E18" s="142">
        <v>670</v>
      </c>
      <c r="F18" s="64"/>
    </row>
    <row r="19" spans="1:6" ht="14.45" customHeight="1">
      <c r="A19" s="180" t="s">
        <v>155</v>
      </c>
      <c r="B19" s="181"/>
      <c r="C19" s="181"/>
      <c r="D19" s="182"/>
      <c r="E19" s="144">
        <v>3200</v>
      </c>
      <c r="F19" s="64"/>
    </row>
    <row r="20" spans="1:6">
      <c r="A20" s="129" t="s">
        <v>105</v>
      </c>
    </row>
    <row r="21" spans="1:6" ht="15.75">
      <c r="A21" s="128">
        <v>4</v>
      </c>
      <c r="B21" s="129" t="s">
        <v>156</v>
      </c>
    </row>
    <row r="22" spans="1:6">
      <c r="A22" s="129" t="s">
        <v>105</v>
      </c>
    </row>
    <row r="23" spans="1:6">
      <c r="A23" s="134" t="s">
        <v>141</v>
      </c>
      <c r="B23" s="135" t="s">
        <v>142</v>
      </c>
      <c r="C23" s="135" t="s">
        <v>143</v>
      </c>
      <c r="D23" s="135" t="s">
        <v>144</v>
      </c>
      <c r="E23" s="141" t="s">
        <v>157</v>
      </c>
      <c r="F23" s="141" t="s">
        <v>146</v>
      </c>
    </row>
    <row r="24" spans="1:6">
      <c r="A24" s="132">
        <v>1</v>
      </c>
      <c r="B24" s="133" t="s">
        <v>158</v>
      </c>
      <c r="C24" s="133" t="s">
        <v>20</v>
      </c>
      <c r="D24" s="133" t="s">
        <v>20</v>
      </c>
      <c r="E24" s="142">
        <v>3</v>
      </c>
      <c r="F24" s="64"/>
    </row>
    <row r="25" spans="1:6">
      <c r="A25" s="132">
        <v>2</v>
      </c>
      <c r="B25" s="133" t="s">
        <v>159</v>
      </c>
      <c r="C25" s="133" t="s">
        <v>160</v>
      </c>
      <c r="D25" s="133" t="s">
        <v>22</v>
      </c>
      <c r="E25" s="142">
        <v>1</v>
      </c>
      <c r="F25" s="64"/>
    </row>
    <row r="26" spans="1:6">
      <c r="A26" s="136">
        <v>3</v>
      </c>
      <c r="B26" s="137" t="s">
        <v>161</v>
      </c>
      <c r="C26" s="137" t="s">
        <v>162</v>
      </c>
      <c r="D26" s="137" t="s">
        <v>17</v>
      </c>
      <c r="E26" s="129">
        <v>6</v>
      </c>
      <c r="F26" s="64"/>
    </row>
    <row r="27" spans="1:6">
      <c r="A27" s="132" t="s">
        <v>105</v>
      </c>
      <c r="B27" s="138"/>
      <c r="C27" s="138"/>
      <c r="D27" s="138"/>
      <c r="E27" s="143"/>
      <c r="F27" s="64"/>
    </row>
    <row r="28" spans="1:6">
      <c r="A28" s="129" t="s">
        <v>105</v>
      </c>
    </row>
    <row r="29" spans="1:6" ht="15.75">
      <c r="A29" s="128">
        <v>5</v>
      </c>
      <c r="B29" s="129" t="s">
        <v>163</v>
      </c>
    </row>
    <row r="30" spans="1:6" ht="15.75">
      <c r="A30" s="128" t="s">
        <v>105</v>
      </c>
    </row>
    <row r="31" spans="1:6">
      <c r="A31" s="134" t="s">
        <v>141</v>
      </c>
      <c r="B31" s="135" t="s">
        <v>142</v>
      </c>
      <c r="C31" s="135" t="s">
        <v>143</v>
      </c>
      <c r="D31" s="135" t="s">
        <v>144</v>
      </c>
      <c r="E31" s="141" t="s">
        <v>157</v>
      </c>
      <c r="F31" s="141" t="s">
        <v>146</v>
      </c>
    </row>
    <row r="32" spans="1:6">
      <c r="A32" s="132">
        <v>1</v>
      </c>
      <c r="B32" s="133" t="s">
        <v>164</v>
      </c>
      <c r="C32" s="133" t="s">
        <v>164</v>
      </c>
      <c r="D32" s="133" t="s">
        <v>20</v>
      </c>
      <c r="E32" s="142">
        <v>3</v>
      </c>
      <c r="F32" s="64"/>
    </row>
    <row r="33" spans="1:6">
      <c r="A33" s="132">
        <v>2</v>
      </c>
      <c r="B33" s="133" t="s">
        <v>165</v>
      </c>
      <c r="C33" s="139" t="s">
        <v>139</v>
      </c>
      <c r="D33" s="139" t="s">
        <v>20</v>
      </c>
      <c r="E33" s="140">
        <v>1</v>
      </c>
      <c r="F33" s="64"/>
    </row>
    <row r="34" spans="1:6">
      <c r="A34" s="132">
        <v>3</v>
      </c>
      <c r="B34" s="133" t="s">
        <v>19</v>
      </c>
      <c r="C34" s="133" t="s">
        <v>19</v>
      </c>
      <c r="D34" s="133" t="s">
        <v>17</v>
      </c>
      <c r="E34" s="142">
        <v>1</v>
      </c>
      <c r="F34" s="64"/>
    </row>
    <row r="35" spans="1:6">
      <c r="A35" s="136">
        <v>4</v>
      </c>
      <c r="B35" s="137" t="s">
        <v>166</v>
      </c>
      <c r="C35" s="137" t="s">
        <v>19</v>
      </c>
      <c r="D35" s="137" t="s">
        <v>17</v>
      </c>
      <c r="E35" s="129">
        <v>1</v>
      </c>
      <c r="F35" s="64"/>
    </row>
    <row r="36" spans="1:6">
      <c r="A36" s="132" t="s">
        <v>105</v>
      </c>
      <c r="B36" s="138"/>
      <c r="C36" s="138"/>
      <c r="D36" s="138"/>
      <c r="E36" s="143"/>
      <c r="F36" s="64"/>
    </row>
    <row r="37" spans="1:6">
      <c r="A37" s="132">
        <v>5</v>
      </c>
      <c r="B37" s="133" t="s">
        <v>167</v>
      </c>
      <c r="C37" s="133" t="s">
        <v>19</v>
      </c>
      <c r="D37" s="133" t="s">
        <v>17</v>
      </c>
      <c r="E37" s="142">
        <v>1</v>
      </c>
      <c r="F37" s="64"/>
    </row>
  </sheetData>
  <mergeCells count="1">
    <mergeCell ref="A19:D19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5a8ea-eaed-4de4-a4c1-bb274ab7d611">
      <Terms xmlns="http://schemas.microsoft.com/office/infopath/2007/PartnerControls"/>
    </lcf76f155ced4ddcb4097134ff3c332f>
    <TaxCatchAll xmlns="8dcc6fa3-9f4a-44be-8138-52b0a77146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E7B6247FD234A9D5B6036ABF788CD" ma:contentTypeVersion="13" ma:contentTypeDescription="Create a new document." ma:contentTypeScope="" ma:versionID="b50dc4aa3594d91fde16775b8441a32e">
  <xsd:schema xmlns:xsd="http://www.w3.org/2001/XMLSchema" xmlns:xs="http://www.w3.org/2001/XMLSchema" xmlns:p="http://schemas.microsoft.com/office/2006/metadata/properties" xmlns:ns2="6fc5a8ea-eaed-4de4-a4c1-bb274ab7d611" xmlns:ns3="8dcc6fa3-9f4a-44be-8138-52b0a7714600" targetNamespace="http://schemas.microsoft.com/office/2006/metadata/properties" ma:root="true" ma:fieldsID="1877d62fc6685f2668d5ea3d4d9ea396" ns2:_="" ns3:_="">
    <xsd:import namespace="6fc5a8ea-eaed-4de4-a4c1-bb274ab7d611"/>
    <xsd:import namespace="8dcc6fa3-9f4a-44be-8138-52b0a7714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5a8ea-eaed-4de4-a4c1-bb274ab7d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c6fa3-9f4a-44be-8138-52b0a77146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8e6159-c170-46ef-874c-a5c14db90d07}" ma:internalName="TaxCatchAll" ma:showField="CatchAllData" ma:web="8dcc6fa3-9f4a-44be-8138-52b0a77146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CCE81-5D1A-4B02-BC0C-F8717DC42EC9}"/>
</file>

<file path=customXml/itemProps2.xml><?xml version="1.0" encoding="utf-8"?>
<ds:datastoreItem xmlns:ds="http://schemas.openxmlformats.org/officeDocument/2006/customXml" ds:itemID="{280794EC-7CFD-41E3-8F2E-B855C94B87FB}"/>
</file>

<file path=customXml/itemProps3.xml><?xml version="1.0" encoding="utf-8"?>
<ds:datastoreItem xmlns:ds="http://schemas.openxmlformats.org/officeDocument/2006/customXml" ds:itemID="{7C5DAB6D-2341-474F-ACCA-9801EA0B01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Marrian Gebreselassie</dc:creator>
  <cp:keywords/>
  <dc:description/>
  <cp:lastModifiedBy/>
  <cp:revision/>
  <dcterms:created xsi:type="dcterms:W3CDTF">2025-09-28T12:38:20Z</dcterms:created>
  <dcterms:modified xsi:type="dcterms:W3CDTF">2026-10-18T21:48:37Z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0x0101009E1E7B6247FD234A9D5B6036ABF788CD</vt:lpwstr>
  </property>
  <property fmtid="{D5CDD505-2E9C-101B-9397-08002B2CF9AE}" pid="3" name="MediaServiceImageTags">
    <vt:lpwstr/>
  </property>
</Properties>
</file>