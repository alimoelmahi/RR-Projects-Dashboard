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marrian.gebreselassi\Downloads\"/>
    </mc:Choice>
  </mc:AlternateContent>
  <xr:revisionPtr revIDLastSave="0" documentId="8_{4463A9AC-692D-44E3-B0BF-AA90A5B372DC}" xr6:coauthVersionLast="47" xr6:coauthVersionMax="47" xr10:uidLastSave="{00000000-0000-0000-0000-000000000000}"/>
  <bookViews>
    <workbookView xWindow="-110" yWindow="-110" windowWidth="19420" windowHeight="10300" firstSheet="2" activeTab="2" xr2:uid="{D31C33F6-BEF3-4292-9126-23C5823CBC30}"/>
  </bookViews>
  <sheets>
    <sheet name="Project_FactSheet" sheetId="1" r:id="rId1"/>
    <sheet name="CERF_Tracker" sheetId="2" r:id="rId2"/>
    <sheet name="CERF_WaterSites" sheetId="3" r:id="rId3"/>
    <sheet name="Beneficiaries" sheetId="7" r:id="rId4"/>
    <sheet name="Consolidated Annual Operational" sheetId="5" r:id="rId5"/>
    <sheet name="Weekly_Updates" sheetId="4" r:id="rId6"/>
    <sheet name="Water_Locations" sheetId="6" r:id="rId7"/>
  </sheets>
  <definedNames>
    <definedName name="_xlnm._FilterDatabase" localSheetId="2" hidden="1">CERF_WaterSites!$A$1:$R$40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3" l="1"/>
  <c r="N54" i="3"/>
  <c r="P56" i="3"/>
  <c r="G12" i="2"/>
  <c r="G11" i="2"/>
  <c r="E13" i="2"/>
  <c r="E11" i="2"/>
  <c r="E19" i="7"/>
  <c r="G2" i="7"/>
  <c r="J3" i="7"/>
  <c r="J4" i="7"/>
  <c r="J5" i="7"/>
  <c r="G3" i="7"/>
  <c r="G4" i="7"/>
  <c r="G5" i="7"/>
  <c r="J2" i="7"/>
  <c r="C19" i="7"/>
  <c r="F13" i="7"/>
  <c r="F15" i="7"/>
  <c r="I10" i="7"/>
  <c r="V11" i="7"/>
  <c r="V12" i="7" s="1"/>
  <c r="C15" i="7"/>
  <c r="C13" i="7"/>
  <c r="C14" i="7"/>
  <c r="C12" i="7"/>
  <c r="C3" i="7"/>
  <c r="D3" i="7" s="1"/>
  <c r="C4" i="7"/>
  <c r="D4" i="7" s="1"/>
  <c r="D21" i="7" s="1"/>
  <c r="E21" i="7" s="1"/>
  <c r="C5" i="7"/>
  <c r="D5" i="7" s="1"/>
  <c r="C2" i="7"/>
  <c r="D2" i="7" s="1"/>
  <c r="M47" i="3"/>
  <c r="N2" i="3"/>
  <c r="O2" i="3"/>
  <c r="O20" i="3"/>
  <c r="N47" i="3"/>
  <c r="O47" i="3"/>
  <c r="O55" i="3" s="1"/>
  <c r="L47" i="3"/>
  <c r="I47" i="3"/>
  <c r="K47" i="3"/>
  <c r="K38" i="3"/>
  <c r="L38" i="3"/>
  <c r="M38" i="3"/>
  <c r="N38" i="3"/>
  <c r="O38" i="3"/>
  <c r="K2" i="3"/>
  <c r="L2" i="3" s="1"/>
  <c r="M2" i="3" s="1"/>
  <c r="K4" i="3"/>
  <c r="L4" i="3" s="1"/>
  <c r="M4" i="3" s="1"/>
  <c r="K5" i="3"/>
  <c r="L5" i="3" s="1"/>
  <c r="M5" i="3" s="1"/>
  <c r="K6" i="3"/>
  <c r="L6" i="3" s="1"/>
  <c r="M6" i="3" s="1"/>
  <c r="K7" i="3"/>
  <c r="L7" i="3" s="1"/>
  <c r="M7" i="3" s="1"/>
  <c r="K8" i="3"/>
  <c r="L8" i="3" s="1"/>
  <c r="M8" i="3" s="1"/>
  <c r="K9" i="3"/>
  <c r="L9" i="3" s="1"/>
  <c r="M9" i="3" s="1"/>
  <c r="K10" i="3"/>
  <c r="L10" i="3" s="1"/>
  <c r="M10" i="3" s="1"/>
  <c r="K11" i="3"/>
  <c r="L11" i="3" s="1"/>
  <c r="M11" i="3" s="1"/>
  <c r="K12" i="3"/>
  <c r="L12" i="3" s="1"/>
  <c r="M12" i="3" s="1"/>
  <c r="K13" i="3"/>
  <c r="L13" i="3" s="1"/>
  <c r="M13" i="3" s="1"/>
  <c r="K14" i="3"/>
  <c r="L14" i="3" s="1"/>
  <c r="M14" i="3" s="1"/>
  <c r="K15" i="3"/>
  <c r="L15" i="3" s="1"/>
  <c r="M15" i="3" s="1"/>
  <c r="K16" i="3"/>
  <c r="L16" i="3" s="1"/>
  <c r="M16" i="3" s="1"/>
  <c r="K17" i="3"/>
  <c r="L17" i="3" s="1"/>
  <c r="M17" i="3" s="1"/>
  <c r="K18" i="3"/>
  <c r="L18" i="3" s="1"/>
  <c r="M18" i="3" s="1"/>
  <c r="K19" i="3"/>
  <c r="L19" i="3" s="1"/>
  <c r="M19" i="3" s="1"/>
  <c r="K20" i="3"/>
  <c r="L20" i="3" s="1"/>
  <c r="M20" i="3" s="1"/>
  <c r="N20" i="3" s="1"/>
  <c r="K21" i="3"/>
  <c r="L21" i="3" s="1"/>
  <c r="M21" i="3" s="1"/>
  <c r="K22" i="3"/>
  <c r="L22" i="3" s="1"/>
  <c r="M22" i="3" s="1"/>
  <c r="K23" i="3"/>
  <c r="L23" i="3" s="1"/>
  <c r="M23" i="3" s="1"/>
  <c r="K24" i="3"/>
  <c r="L24" i="3" s="1"/>
  <c r="M24" i="3" s="1"/>
  <c r="K25" i="3"/>
  <c r="L25" i="3" s="1"/>
  <c r="M25" i="3" s="1"/>
  <c r="K26" i="3"/>
  <c r="L26" i="3" s="1"/>
  <c r="M26" i="3" s="1"/>
  <c r="K27" i="3"/>
  <c r="L27" i="3" s="1"/>
  <c r="M27" i="3" s="1"/>
  <c r="K28" i="3"/>
  <c r="L28" i="3" s="1"/>
  <c r="M28" i="3" s="1"/>
  <c r="K29" i="3"/>
  <c r="L29" i="3" s="1"/>
  <c r="M29" i="3" s="1"/>
  <c r="K30" i="3"/>
  <c r="L30" i="3" s="1"/>
  <c r="M30" i="3" s="1"/>
  <c r="K31" i="3"/>
  <c r="L31" i="3" s="1"/>
  <c r="M31" i="3" s="1"/>
  <c r="K32" i="3"/>
  <c r="L32" i="3" s="1"/>
  <c r="M32" i="3" s="1"/>
  <c r="K33" i="3"/>
  <c r="L33" i="3" s="1"/>
  <c r="M33" i="3" s="1"/>
  <c r="K34" i="3"/>
  <c r="L34" i="3" s="1"/>
  <c r="M34" i="3" s="1"/>
  <c r="K35" i="3"/>
  <c r="L35" i="3" s="1"/>
  <c r="M35" i="3" s="1"/>
  <c r="K36" i="3"/>
  <c r="L36" i="3" s="1"/>
  <c r="M36" i="3" s="1"/>
  <c r="K37" i="3"/>
  <c r="L37" i="3" s="1"/>
  <c r="M37" i="3" s="1"/>
  <c r="K3" i="3"/>
  <c r="L3" i="3" s="1"/>
  <c r="M3" i="3" s="1"/>
  <c r="D22" i="7" l="1"/>
  <c r="E22" i="7" s="1"/>
  <c r="B22" i="7"/>
  <c r="C22" i="7" s="1"/>
  <c r="D20" i="7"/>
  <c r="E20" i="7" s="1"/>
  <c r="B21" i="7"/>
  <c r="C21" i="7" s="1"/>
  <c r="B20" i="7"/>
  <c r="C20" i="7" s="1"/>
  <c r="O3" i="3"/>
  <c r="N3" i="3"/>
  <c r="O37" i="3"/>
  <c r="N37" i="3"/>
  <c r="O36" i="3"/>
  <c r="N36" i="3"/>
  <c r="O35" i="3"/>
  <c r="N35" i="3"/>
  <c r="O34" i="3"/>
  <c r="N34" i="3"/>
  <c r="O33" i="3"/>
  <c r="N33" i="3"/>
  <c r="O32" i="3"/>
  <c r="N32" i="3"/>
  <c r="O31" i="3"/>
  <c r="N31" i="3"/>
  <c r="O30" i="3"/>
  <c r="N30" i="3"/>
  <c r="O29" i="3"/>
  <c r="N29" i="3"/>
  <c r="O28" i="3"/>
  <c r="N28" i="3"/>
  <c r="O27" i="3"/>
  <c r="N27" i="3"/>
  <c r="O26" i="3"/>
  <c r="N26" i="3"/>
  <c r="O25" i="3"/>
  <c r="N25" i="3"/>
  <c r="O24" i="3"/>
  <c r="N24" i="3"/>
  <c r="O23" i="3"/>
  <c r="N23" i="3"/>
  <c r="O22" i="3"/>
  <c r="N22" i="3"/>
  <c r="O21" i="3"/>
  <c r="N21" i="3"/>
  <c r="O19" i="3"/>
  <c r="N19" i="3"/>
  <c r="O18" i="3"/>
  <c r="N18" i="3"/>
  <c r="O17" i="3"/>
  <c r="N17" i="3"/>
  <c r="O16" i="3"/>
  <c r="N16" i="3"/>
  <c r="O15" i="3"/>
  <c r="N15" i="3"/>
  <c r="O14" i="3"/>
  <c r="N14" i="3"/>
  <c r="O13" i="3"/>
  <c r="N13" i="3"/>
  <c r="O12" i="3"/>
  <c r="N12" i="3"/>
  <c r="O11" i="3"/>
  <c r="N11" i="3"/>
  <c r="O10" i="3"/>
  <c r="N10" i="3"/>
  <c r="O9" i="3"/>
  <c r="N9" i="3"/>
  <c r="O8" i="3"/>
  <c r="N8" i="3"/>
  <c r="O7" i="3"/>
  <c r="N7" i="3"/>
  <c r="O6" i="3"/>
  <c r="N6" i="3"/>
  <c r="O5" i="3"/>
  <c r="N5" i="3"/>
  <c r="O4" i="3"/>
  <c r="N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tc={27DEFAAB-10DF-4F22-BADC-A4F86899DA39}</author>
  </authors>
  <commentList>
    <comment ref="G1" authorId="0" shapeId="0" xr:uid="{27DEFAAB-10DF-4F22-BADC-A4F86899DA39}">
      <text>
        <t xml:space="preserve">[Threaded comment]
Your version of Excel allows you to read this threaded comment; however, any edits to it will get removed if the file is opened in a newer version of Excel. Learn more: https://go.microsoft.com/fwlink/?linkid=870924
Comment:
    @Sanaa Saeed / @Mustafa Hassan  please update this column as of end of Jan
Reply:
    I didn't understand, could you explain further?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tc={D3C288C6-F1CE-46D7-85F9-B1563A89C831}</author>
    <author>tc={DC701E4F-EC56-4547-9F53-C0576A05B75F}</author>
  </authors>
  <commentList>
    <comment ref="Q1" authorId="0" shapeId="0" xr:uid="{D3C288C6-F1CE-46D7-85F9-B1563A89C831}">
      <text>
        <t>[Threaded comment]
Your version of Excel allows you to read this threaded comment; however, any edits to it will get removed if the file is opened in a newer version of Excel. Learn more: https://go.microsoft.com/fwlink/?linkid=870924
Comment:
    @Mustafa Hassan Please update this column with sites handed over recently
Reply:
    I didn't understand the handover date from the company or to the water authority.
Reply:
    I didn't understand the handover date from the company or to the water authority.
Reply:
    @Mustafa Hassan to the water authority so these would be the date of the opening ceremony for example</t>
      </text>
    </comment>
    <comment ref="B39" authorId="1" shapeId="0" xr:uid="{DC701E4F-EC56-4547-9F53-C0576A05B75F}">
      <text>
        <t>[Threaded comment]
Your version of Excel allows you to read this threaded comment; however, any edits to it will get removed if the file is opened in a newer version of Excel. Learn more: https://go.microsoft.com/fwlink/?linkid=870924
Comment:
    No water station was implemented by UNDP ; only activity was carried out (CFW).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tc={347F9FBB-D4C1-4A54-B3F2-94799AEEDC51}</author>
  </authors>
  <commentList>
    <comment ref="B8" authorId="0" shapeId="0" xr:uid="{347F9FBB-D4C1-4A54-B3F2-94799AEEDC51}">
      <text>
        <t>[Threaded comment]
Your version of Excel allows you to read this threaded comment; however, any edits to it will get removed if the file is opened in a newer version of Excel. Learn more: https://go.microsoft.com/fwlink/?linkid=870924
Comment:
    @Sanaa Saeed / @Mustafa Hassan  kindly provide a training report documenting this using the shared template</t>
      </text>
    </comment>
  </commentList>
</comments>
</file>

<file path=xl/sharedStrings.xml><?xml version="1.0" encoding="utf-8"?>
<sst xmlns="http://schemas.openxmlformats.org/spreadsheetml/2006/main" count="612" uniqueCount="332">
  <si>
    <t>Project Name:</t>
  </si>
  <si>
    <t>Addressing Life Saving Access to Solar Water Provision in Madani Locality Al Gezira</t>
  </si>
  <si>
    <t>Donor:</t>
  </si>
  <si>
    <t>UN_Central Emergency Response Fund (CERF)</t>
  </si>
  <si>
    <t>Total budget:</t>
  </si>
  <si>
    <t>Start date:</t>
  </si>
  <si>
    <t>End date:</t>
  </si>
  <si>
    <t>Duration:</t>
  </si>
  <si>
    <t>12 months</t>
  </si>
  <si>
    <t>Target locations:</t>
  </si>
  <si>
    <t>Madani Locality, Al Gezira</t>
  </si>
  <si>
    <t>Implementing Partners:</t>
  </si>
  <si>
    <t>NA</t>
  </si>
  <si>
    <t>Last update to tracker:</t>
  </si>
  <si>
    <t>Outcome</t>
  </si>
  <si>
    <t>Activity</t>
  </si>
  <si>
    <t>Output</t>
  </si>
  <si>
    <t>Indicators</t>
  </si>
  <si>
    <t>Target</t>
  </si>
  <si>
    <t>Actual</t>
  </si>
  <si>
    <t>Actual_Jan</t>
  </si>
  <si>
    <t>Comment</t>
  </si>
  <si>
    <t>EoP</t>
  </si>
  <si>
    <t>Improved and sustained access to safe water for conflict-affected communities in Gezira, contributing to reduced health risks, enhanced 
community resilience, and short-term livelihood opportunities for displaced and vulnerable populations.</t>
  </si>
  <si>
    <t>Activity 1.1.1: Community consultation and strengthening of CMC</t>
  </si>
  <si>
    <t>1.1. Restored and Solarized Water Infrastructure for Equitable Access 30 non-functional water yards rehabilitated and equipped with solar power systems, ensuring reliable and sustainable access to clean water for at least 180,000 people from host communities and displaced populations in Gezira.</t>
  </si>
  <si>
    <t>Indicator 1.1.1 (Custom): Number of persons benefitted from 36 water yards rehabilitation and solarization, providing access to clean water for targeted population.</t>
  </si>
  <si>
    <t>Completed</t>
  </si>
  <si>
    <t>37 + 7 (Additional) = 44 sites</t>
  </si>
  <si>
    <t>Activity 1.1.2: CMC and UNDP Area-Office Rapid planning and implementation arrangements for rehabilitation of water yards</t>
  </si>
  <si>
    <t>Activity 1.1.3. Procurement of Goods and Services through LTA arrangements</t>
  </si>
  <si>
    <t>Activity 1.1.4: Rehabilitation of Water Yards and awareness creation</t>
  </si>
  <si>
    <t>Activity 1.2.1: Joint Meeting and consultation with humanitarian agencies and sub_x0002_cluster level for targeting community and beneficiaries</t>
  </si>
  <si>
    <t>1.2 Cash-for-Work Livelihoods Created for 1,000 displaced and vulnerable individuals, including women and youth, engaged in cash-for-work 
initiatives over two months to support water infrastructure repairs, generating short-term income while contributing to community resilience 
and essential service delivery.</t>
  </si>
  <si>
    <r>
      <rPr>
        <sz val="11"/>
        <color rgb="FF000000"/>
        <rFont val="Aptos Narrow"/>
        <scheme val="minor"/>
      </rPr>
      <t xml:space="preserve">Indicator 1.2.1 (Custom): </t>
    </r>
    <r>
      <rPr>
        <b/>
        <sz val="11"/>
        <color rgb="FF000000"/>
        <rFont val="Aptos Narrow"/>
        <scheme val="minor"/>
      </rPr>
      <t>Number of displaced and vulnerable individual</t>
    </r>
    <r>
      <rPr>
        <sz val="11"/>
        <color rgb="FF000000"/>
        <rFont val="Aptos Narrow"/>
        <scheme val="minor"/>
      </rPr>
      <t>s, including women and youth, engaged in cash-forwork for at least two months to support water infrastructure repairs and generate short-term income</t>
    </r>
  </si>
  <si>
    <t>1155 (gender breakdown - TBC)</t>
  </si>
  <si>
    <t>Alradma- area selected based on advice of WASH cluster, area suffered from disease outbreak, CfW scheme involved cleaning campaign. MoH was also present in that meeting explaining waste crisis, lack of waste disposal.</t>
  </si>
  <si>
    <t>Activity 1.2.2: Selection, registration and orientation of beneficiaries on CfW modality and SES including GRM</t>
  </si>
  <si>
    <r>
      <t xml:space="preserve">Indicator 1.2.2
(Standard): (CASH) </t>
    </r>
    <r>
      <rPr>
        <b/>
        <sz val="11"/>
        <color theme="1"/>
        <rFont val="Aptos Narrow"/>
        <family val="2"/>
        <scheme val="minor"/>
      </rPr>
      <t>Number of people receiving Conditional 
cash transfers</t>
    </r>
  </si>
  <si>
    <t>Activity 1.2.3: Implementation of CfW activity for water yards rehabilitation.</t>
  </si>
  <si>
    <t>Indicator 1.2.3
(Standard):  (CASH) Total value of Conditional cash transfers 
distributed in USD</t>
  </si>
  <si>
    <t>TBC from financial report</t>
  </si>
  <si>
    <t>Each person received ~ $10-~11/day, engaged for 10 days. Depends on UNDP rate (first rate 2240 and last rate was 3800)</t>
  </si>
  <si>
    <t>Activity 1.2.4: Cash distribution and Post Distribution Monitoring</t>
  </si>
  <si>
    <t xml:space="preserve">SOW </t>
  </si>
  <si>
    <t>Location of the water station</t>
  </si>
  <si>
    <t>Locality</t>
  </si>
  <si>
    <t>Site Coordinates</t>
  </si>
  <si>
    <r>
      <rPr>
        <b/>
        <sz val="11"/>
        <color rgb="FF000000"/>
        <rFont val="Calibri"/>
      </rPr>
      <t xml:space="preserve">Production Discharge Rate (m³/h)  </t>
    </r>
    <r>
      <rPr>
        <b/>
        <sz val="11"/>
        <color rgb="FFFF0000"/>
        <rFont val="Calibri"/>
      </rPr>
      <t xml:space="preserve"> </t>
    </r>
    <r>
      <rPr>
        <b/>
        <sz val="11"/>
        <color rgb="FF000000"/>
        <rFont val="Calibri"/>
      </rPr>
      <t>(Update data based on water station productivity)</t>
    </r>
  </si>
  <si>
    <t>Expected Drawdown (m)</t>
  </si>
  <si>
    <t>Pump Size (KW)</t>
  </si>
  <si>
    <t>Pump Selection Type &amp; Model</t>
  </si>
  <si>
    <t>Total panels in a 580W panel-scale station</t>
  </si>
  <si>
    <t>Number of hours it operates on solar system for borehole</t>
  </si>
  <si>
    <t xml:space="preserve">Solar water production Rate (m3/day) for Station </t>
  </si>
  <si>
    <t>Water productivity per liter/day</t>
  </si>
  <si>
    <t>Total  of direct beneficiaries of water stations (person)</t>
  </si>
  <si>
    <t>Total of women beneficiaries of water stations (person)65%</t>
  </si>
  <si>
    <t>Total of men beneficiaries of water stations (person)35%</t>
  </si>
  <si>
    <t>Providing livelihoods through cash for work for 60% of male beneficiaries (SOW for CASH foe Work ) water, Sanitation and Hygiene)+Water station rehabilitation</t>
  </si>
  <si>
    <t>Handed_Over</t>
  </si>
  <si>
    <t>Handover_Date</t>
  </si>
  <si>
    <t xml:space="preserve">Supply delivery and installation of solar system for 18KW Pump and  steel fence  </t>
  </si>
  <si>
    <t xml:space="preserve"> in purification station محطة التنقية </t>
  </si>
  <si>
    <t>Greater Medani Locality</t>
  </si>
  <si>
    <t xml:space="preserve"> N 14.40785  E 33.53151</t>
  </si>
  <si>
    <t>18 KW</t>
  </si>
  <si>
    <t>DAB-SS6C 04-3inch</t>
  </si>
  <si>
    <t>Supply delivery and installation of solar system for 18 KW Pump and  steel fence</t>
  </si>
  <si>
    <t xml:space="preserve"> Gazira ALMAKA محطةالمكي</t>
  </si>
  <si>
    <t xml:space="preserve"> N 14.415751  E 33.557028</t>
  </si>
  <si>
    <t xml:space="preserve">Supply delivery and installation of solar system for  15 KW Pump  and steel fence  </t>
  </si>
  <si>
    <t xml:space="preserve">Southern Textiles نسيج الجنوبية </t>
  </si>
  <si>
    <t xml:space="preserve"> N 14.36291  E 33.52989</t>
  </si>
  <si>
    <t>15KW</t>
  </si>
  <si>
    <t xml:space="preserve">Supply delivery and installation of solar system for 7.5 KW pump and   steel fence </t>
  </si>
  <si>
    <t xml:space="preserve"> حي دردق ناصر  Dardak Nasser neighborhood</t>
  </si>
  <si>
    <t xml:space="preserve"> N 14.414554  E 33.549667</t>
  </si>
  <si>
    <t>7.5 KW</t>
  </si>
  <si>
    <t xml:space="preserve">Supply delivery and installation of solar system 7.5 KW pump and  steel fence </t>
  </si>
  <si>
    <t xml:space="preserve">Elrian الريان  </t>
  </si>
  <si>
    <t xml:space="preserve"> N 14.44675  E 33.56203 </t>
  </si>
  <si>
    <t>11 KW</t>
  </si>
  <si>
    <t xml:space="preserve">Supply delivery and installation of solar system 11Kwpump and   steel fence </t>
  </si>
  <si>
    <t xml:space="preserve"> Northern Textile District منطقة النسيج الشمالية</t>
  </si>
  <si>
    <t xml:space="preserve"> N 14.36575  E 33.52997</t>
  </si>
  <si>
    <t xml:space="preserve">Supply delivery and installation of solar system 11 kw pump and  steel fence </t>
  </si>
  <si>
    <t>Executive Office Water Station</t>
  </si>
  <si>
    <t xml:space="preserve"> N 14.36724  E 33.50357</t>
  </si>
  <si>
    <t>Supply delivery and installation of solar system  7.5 Kw and  steel fence</t>
  </si>
  <si>
    <t xml:space="preserve"> in Al-Waha neighborhood حي الواحة </t>
  </si>
  <si>
    <t xml:space="preserve"> N 14.39855  E 33.53418 </t>
  </si>
  <si>
    <t xml:space="preserve">Supply delivery and installation of system for 11 KW Pump and  steel fence </t>
  </si>
  <si>
    <t xml:space="preserve">Barakat بركات </t>
  </si>
  <si>
    <t xml:space="preserve"> N 14.32092  E 33.54726</t>
  </si>
  <si>
    <t xml:space="preserve">Mobi Elthwora Al Qadima موبي الثورة القديمة </t>
  </si>
  <si>
    <t xml:space="preserve"> N 14.3695    E 33.4813</t>
  </si>
  <si>
    <t>Supply delivery and installation of Solar system for  11 KW Pump and  steel fence</t>
  </si>
  <si>
    <t xml:space="preserve"> Mobi Elthwora Area Elthwora موبي الثورة حي الثورة </t>
  </si>
  <si>
    <t xml:space="preserve"> N 14.37153  E 33.47652</t>
  </si>
  <si>
    <t xml:space="preserve">Supply delivery and installation of solar system for  7.5 KW Pump and  steel fence </t>
  </si>
  <si>
    <t xml:space="preserve"> Mobi Elthwora  موبي الثورة مربع 6</t>
  </si>
  <si>
    <t xml:space="preserve"> N 14.37572  E 33.47628</t>
  </si>
  <si>
    <t xml:space="preserve"> Rehabilitation for the borehole Supply delivery and installation of solar system for 7.5 KWsubmersible Pump and  steel fence </t>
  </si>
  <si>
    <t xml:space="preserve"> Mobi Elthwora Al-Salam Area موبي الثورة حي السلام </t>
  </si>
  <si>
    <t xml:space="preserve"> N 14.37528  E 33.48333</t>
  </si>
  <si>
    <t xml:space="preserve">Supply delivery and installation of solar system for 7.5 KW submersible Pump and  steel fence </t>
  </si>
  <si>
    <t xml:space="preserve">  Zamalek neighborhood حي الزمالك</t>
  </si>
  <si>
    <t xml:space="preserve"> N 14.40598  E 33.50175</t>
  </si>
  <si>
    <t xml:space="preserve"> Dar Um Bilalدار ام بلال-</t>
  </si>
  <si>
    <t xml:space="preserve"> N 14.3318    E 33.54721</t>
  </si>
  <si>
    <t xml:space="preserve">Supply delivery and installation of solar system for 7.5 KW submersible Pump and  steel fence  </t>
  </si>
  <si>
    <t xml:space="preserve"> Marinjan  مارنجان الفسحة</t>
  </si>
  <si>
    <t xml:space="preserve"> N 14.34487  E 33.53561 </t>
  </si>
  <si>
    <t xml:space="preserve"> Riyadh block 3 الرياض مربع 3</t>
  </si>
  <si>
    <t xml:space="preserve"> N 14.44291  E 33.53619</t>
  </si>
  <si>
    <t xml:space="preserve"> Riyadh block 4 الرياض مربع4 </t>
  </si>
  <si>
    <t xml:space="preserve"> N 14.43704  E 33.52553</t>
  </si>
  <si>
    <t xml:space="preserve"> Almzad المزاد </t>
  </si>
  <si>
    <t xml:space="preserve"> N 14.38418  E 33.5089</t>
  </si>
  <si>
    <t xml:space="preserve"> New Rayyan الريان جديدة </t>
  </si>
  <si>
    <t xml:space="preserve">Al dnagla الدناقلة </t>
  </si>
  <si>
    <t xml:space="preserve"> N 14.34325  E 33.60152</t>
  </si>
  <si>
    <t>Al Nasser الناظر</t>
  </si>
  <si>
    <t xml:space="preserve"> N 14.32498  E 33.61667</t>
  </si>
  <si>
    <t xml:space="preserve"> ALTaif block  299 NEWالطائف 299الجديدة </t>
  </si>
  <si>
    <t xml:space="preserve"> N 14.37451 E 33.5243</t>
  </si>
  <si>
    <t xml:space="preserve">Abu Haraz village ابوحراز </t>
  </si>
  <si>
    <t xml:space="preserve"> N 14.48666 E 33.51243</t>
  </si>
  <si>
    <t xml:space="preserve">Supply delivery and installation of Solar system for 11 KW Pumpand  steel fence </t>
  </si>
  <si>
    <t xml:space="preserve"> Bant  village قرية بانت </t>
  </si>
  <si>
    <t>Umm Al-Qura</t>
  </si>
  <si>
    <t xml:space="preserve"> N 14.44339 E 33.93492</t>
  </si>
  <si>
    <t xml:space="preserve">Supply delivery and installation of Solar system for 7.5 KW Pump and Supply delivery and installation of Pump7.5 kw and steel fence and supply and installation of surface pumps7.5 KW </t>
  </si>
  <si>
    <t xml:space="preserve">  Village 38          القرية 38 </t>
  </si>
  <si>
    <t xml:space="preserve"> N 14.40456 E 33.84354</t>
  </si>
  <si>
    <t xml:space="preserve">Supply delivery and installation of Solar system for 22 KW Pumpand  steel fence </t>
  </si>
  <si>
    <t>Ain Al-Lawaiqa A محطة عين اللويقة ا</t>
  </si>
  <si>
    <t xml:space="preserve"> N 14.1947 E 33.93533</t>
  </si>
  <si>
    <t>22 KW</t>
  </si>
  <si>
    <t xml:space="preserve">Supply delivery and installation of Solar system for 4 KW Pumpand  steel fence </t>
  </si>
  <si>
    <t xml:space="preserve">  Ain Al-Lawaiqa B محطة عين اللويقة ب</t>
  </si>
  <si>
    <t xml:space="preserve"> N 14.1716  E 33.93687</t>
  </si>
  <si>
    <t>4 KW</t>
  </si>
  <si>
    <t>Supply delivery and installation of Solar system for 7.5 KW Pump and  steel fence</t>
  </si>
  <si>
    <t xml:space="preserve"> Umm Al-Qura Camp المخيم ام القري</t>
  </si>
  <si>
    <t xml:space="preserve">  N 14.39316  E 33.78432</t>
  </si>
  <si>
    <t xml:space="preserve">Supply delivery and installation of Solar system for 7.5 KW Pump and  steel fence </t>
  </si>
  <si>
    <t xml:space="preserve"> Transmission Line Camp المخيم الخط الناقل </t>
  </si>
  <si>
    <t xml:space="preserve">  N 14.39316  E 33.78433</t>
  </si>
  <si>
    <t xml:space="preserve">  ALwahda shraq Almusrf الوحدة شرق المصرف </t>
  </si>
  <si>
    <t xml:space="preserve"> N 14.45601  E 33.9272</t>
  </si>
  <si>
    <t>40  KW</t>
  </si>
  <si>
    <t>Supply delivery and installation of Solar system for 45 KW Pump in Wad Al-Abyad Collection Basin+ Supply and installation of surface pump 45KW + Supply and installation of surface pumpsand  steel fence  22kW</t>
  </si>
  <si>
    <t xml:space="preserve">Wad Al-Abyad Village Basin Collection حوض تجميع قرية ود الابيض </t>
  </si>
  <si>
    <t xml:space="preserve">  N 14.39317  E 33.78425</t>
  </si>
  <si>
    <t>45 KW</t>
  </si>
  <si>
    <t xml:space="preserve">Ruwina Al-Arkiyyin Village قرية روينا العركيبن </t>
  </si>
  <si>
    <t xml:space="preserve"> N 14.91576  E 33.41237</t>
  </si>
  <si>
    <t xml:space="preserve"> Tambool Sq 9 تمبول مربع </t>
  </si>
  <si>
    <t xml:space="preserve">  Tambool </t>
  </si>
  <si>
    <t xml:space="preserve"> N 14.91039  E 33.4152</t>
  </si>
  <si>
    <t xml:space="preserve">Supply delivery and installation of Solar system for 7.5 KW Pumpand  steel fence </t>
  </si>
  <si>
    <t xml:space="preserve"> Tambool Alaishab العيشاب </t>
  </si>
  <si>
    <t xml:space="preserve"> N 14.482845  E 33.609722</t>
  </si>
  <si>
    <t xml:space="preserve"> AL Heglig الهجليج</t>
  </si>
  <si>
    <t xml:space="preserve"> N 14.88671  E 33.34415 </t>
  </si>
  <si>
    <t xml:space="preserve"> حي اركويت Arkawit neighborhood</t>
  </si>
  <si>
    <t xml:space="preserve"> N 14.389269 E 33.544283</t>
  </si>
  <si>
    <t>Alradma الرضمة</t>
  </si>
  <si>
    <t>Southren Al Gazira</t>
  </si>
  <si>
    <t>Supply delivery and installation of 7 solar system for exesting pumps</t>
  </si>
  <si>
    <t>Almoneeraالمنيرة</t>
  </si>
  <si>
    <t>Madani Alkubra locality</t>
  </si>
  <si>
    <t xml:space="preserve"> N 14.739078  E 33.532993</t>
  </si>
  <si>
    <t>submersable pump 3 inch</t>
  </si>
  <si>
    <t>YES</t>
  </si>
  <si>
    <t>Sukar lbangarسكر البنجر</t>
  </si>
  <si>
    <t xml:space="preserve"> N 14.371092  E 33.533121</t>
  </si>
  <si>
    <t>Petrolume head officeإدارة البترول</t>
  </si>
  <si>
    <t xml:space="preserve"> N 14.399086  E 33.501232</t>
  </si>
  <si>
    <t xml:space="preserve"> Algo -india- submersable pump 3 inch</t>
  </si>
  <si>
    <t xml:space="preserve"> Banat بانت</t>
  </si>
  <si>
    <t xml:space="preserve"> N 14.410751  E 33.493010</t>
  </si>
  <si>
    <t>Alshabarga الشبارقة</t>
  </si>
  <si>
    <t xml:space="preserve"> N 14.250590  E 33.493010</t>
  </si>
  <si>
    <t xml:space="preserve">Aleishab العيشاب </t>
  </si>
  <si>
    <t>Um Algura  locality</t>
  </si>
  <si>
    <t xml:space="preserve"> N 14.401270  E 33.697473</t>
  </si>
  <si>
    <t>submersable pump 2 inch</t>
  </si>
  <si>
    <t>Ain allowega-C- عين اللويقة</t>
  </si>
  <si>
    <t xml:space="preserve"> N 14.153773  E 33.924567</t>
  </si>
  <si>
    <t> </t>
  </si>
  <si>
    <t>%</t>
  </si>
  <si>
    <t>Women</t>
  </si>
  <si>
    <t>Women (&gt;18)</t>
  </si>
  <si>
    <t>Girls</t>
  </si>
  <si>
    <t>Men</t>
  </si>
  <si>
    <t>Men(&gt;18)</t>
  </si>
  <si>
    <t>Boys</t>
  </si>
  <si>
    <t>IDP</t>
  </si>
  <si>
    <t>CfW beneficiaries AlJazeera State</t>
  </si>
  <si>
    <t>Refugees</t>
  </si>
  <si>
    <t>Group</t>
  </si>
  <si>
    <t>Female</t>
  </si>
  <si>
    <t>Status</t>
  </si>
  <si>
    <t>Male</t>
  </si>
  <si>
    <t>Returnees</t>
  </si>
  <si>
    <t>HC</t>
  </si>
  <si>
    <t>Protection Target</t>
  </si>
  <si>
    <t>Protection Actual</t>
  </si>
  <si>
    <t>Final</t>
  </si>
  <si>
    <t>Youth</t>
  </si>
  <si>
    <t>Girls &amp; Boys</t>
  </si>
  <si>
    <t>Children</t>
  </si>
  <si>
    <t>Women &amp; Girls</t>
  </si>
  <si>
    <t>Men &amp; Boys</t>
  </si>
  <si>
    <t>Estimated Annual Cost</t>
  </si>
  <si>
    <t>Exchange Rate 3500, Cost of Gallon 21000</t>
  </si>
  <si>
    <t>Pump Type (kW)</t>
  </si>
  <si>
    <t>No. Solar Pumps</t>
  </si>
  <si>
    <t>Fuel Cost per Gallon (USD)</t>
  </si>
  <si>
    <t>Fuel Consumption per Day (Gallons)</t>
  </si>
  <si>
    <t>Operating Days per Year</t>
  </si>
  <si>
    <t>Annual Fuel Cost (USD)</t>
  </si>
  <si>
    <t xml:space="preserve">7.5 kw </t>
  </si>
  <si>
    <t>11 kw</t>
  </si>
  <si>
    <t>18 kw</t>
  </si>
  <si>
    <t>15 kw</t>
  </si>
  <si>
    <t>45 kw</t>
  </si>
  <si>
    <t>40 kw</t>
  </si>
  <si>
    <t>22 kw</t>
  </si>
  <si>
    <t xml:space="preserve">4 kw </t>
  </si>
  <si>
    <t>Total</t>
  </si>
  <si>
    <t xml:space="preserve"> Total of Fuel cost per year for 37 solar System</t>
  </si>
  <si>
    <t>Consolidated Annual Operational Cost (Diesel System)</t>
  </si>
  <si>
    <t>Cost Component</t>
  </si>
  <si>
    <t>Estimated Annual Cost (USD)</t>
  </si>
  <si>
    <t>Fuel</t>
  </si>
  <si>
    <t>Maintenance</t>
  </si>
  <si>
    <t>Calculated Greenhouse Gas Emission Reduction</t>
  </si>
  <si>
    <t>Spare Parts</t>
  </si>
  <si>
    <t>Lubricants</t>
  </si>
  <si>
    <r>
      <t>Diesel Saved</t>
    </r>
    <r>
      <rPr>
        <sz val="11"/>
        <color rgb="FF000000"/>
        <rFont val="Segoe UI Emoji"/>
        <family val="2"/>
        <charset val="1"/>
      </rPr>
      <t>⛽</t>
    </r>
  </si>
  <si>
    <t>CO2 Emission Factor (kg CO₂/gal)</t>
  </si>
  <si>
    <t>Total CO2 Reduction (tCO₂)</t>
  </si>
  <si>
    <t>Transport &amp; Handling</t>
  </si>
  <si>
    <t>47,997.5 Gallons</t>
  </si>
  <si>
    <t> 10.19 kg CO2/gal</t>
  </si>
  <si>
    <t> 489.094 Tons</t>
  </si>
  <si>
    <t>Cost savings achieved by the state government in the year</t>
  </si>
  <si>
    <t>Week Duration</t>
  </si>
  <si>
    <t>Update_Water</t>
  </si>
  <si>
    <t>Update_CfW</t>
  </si>
  <si>
    <t>16th Nov to 20th Nov</t>
  </si>
  <si>
    <t xml:space="preserve">Provision of 37 Water Yards – Contractor Name:
•	Madani Alkubra: Solar system installation has reached 80% completion across 20 water yards.
•	Tamboul: Rehabilitation works are 90% completed at 3 sites.
•	Um Algora: Rehabilitation works have reached 40% completion at 4 sites.
</t>
  </si>
  <si>
    <t xml:space="preserve">Cash-for-Work (CfW):
•	Third phase of CfW activities is 90% completed in five locations.
•	PCA for the fourth phase of CfW activities, approved and submitted to the finance for processing.
</t>
  </si>
  <si>
    <t>23rd Nov to 27th Nov</t>
  </si>
  <si>
    <t xml:space="preserve">Provision of 37 Water Yards :
•	Completed 100% of civil works and solar system installations for 23 sites in Madani Al-Kubra. 
•	Achieved 70% of solar system installations for 2 sites in Madani. 
•	Completed solar system installations for 100% of rehabilitation works at 3 sites in Tambool. 
•	Completed 100% of solar system installations for at 4 sites in Umalgora. 
•	Achieved 50%  solar system installations and rehabilitation works at 5 sites in Umalgora.
•	Joined a site visit in Madani to completed water yards with HAC, MoF, and the Water Corporation to prepare for the handover event.
</t>
  </si>
  <si>
    <t xml:space="preserve">Cash-for-Work (CfW):
•	phase three of CfW activities is 100% completed, liquidation submitted for reviewing.
•	CfW activities - phase four, initiated for five location.
•	Conducted five meetings with Community Management Committees (CMC) to ensure active community participation in the Cash-for-Work (CFW) intervention.
</t>
  </si>
  <si>
    <t>30th Nov to 4th Dec</t>
  </si>
  <si>
    <t>1. Provision of 37 Water Yards :
	Completed 100% of civil works and solar system installations for 24 sites in Madani Al-Kubra. 
	Achieved 80% of solar system installations for 1 sites in Madani. 
	Completed 100% of solar system installations for at 6 sites in Umalgora. 
	Achieved 70%  solar system installations and rehabilitation works at 5 sites in Umalgora.</t>
  </si>
  <si>
    <t xml:space="preserve">2.Cash-for-Work (CfW):
•	phase four reached 40% completion in five location.
</t>
  </si>
  <si>
    <t>7th Dec to 11th Dec</t>
  </si>
  <si>
    <t xml:space="preserve">1. Provision of 37 Water Yards :
	Panels have been installed, fencing erected, and 45 kW and 22 kW pumps installed at Wad Al Abyad site
	Achieved 80% of solar system installations for 1 sites in Madani. 
	Panels and inverters have been installed at 5 sites in Umm Al Qura. 
	Achieved 80%  solar system installations and rehabilitation works at 5 sites in Umalgora.
</t>
  </si>
  <si>
    <t xml:space="preserve">2.Cash-for-Work (CfW):
•	phase four reached 80% completion in five location.
</t>
  </si>
  <si>
    <t>14th Dec to 18th Dec</t>
  </si>
  <si>
    <t xml:space="preserve">. Provision of solar system and rehabilitation of 37 water yards in Gezira state: (CERF Funded project)
-     Completion 100% of civil works and 99% of Solar system installation for 25 sites Madani Al-Kubra. Only 4signboards remain; they will be completed by Saturday.
-     Completion 100% of rehabilitation works for 3 sites in Tambool.
-     Completion 100% of materials delivery and Completion 100 %of rehabilitation works for 9 sites in Umalgora.
</t>
  </si>
  <si>
    <t xml:space="preserve">2.Cash-for-Work (CfW):
•	Completion 100% of Cash for Work phase four in five location.
•	Liquidation expected to submitted on Sunday 21Dec.2025.
</t>
  </si>
  <si>
    <t>21st Dec to 25th Dec</t>
  </si>
  <si>
    <r>
      <rPr>
        <sz val="11"/>
        <color rgb="FF000000"/>
        <rFont val="Aptos Narrow"/>
        <scheme val="minor"/>
      </rPr>
      <t xml:space="preserve">•	Solar system installation, 100% completed at 25 sites in Madani Al-Kubra.
•	</t>
    </r>
    <r>
      <rPr>
        <b/>
        <sz val="11"/>
        <color rgb="FFFF0000"/>
        <rFont val="Aptos Narrow"/>
        <scheme val="minor"/>
      </rPr>
      <t xml:space="preserve">Solar panels and inverters have been installed at 9 sites in Umm Al Qura.
</t>
    </r>
    <r>
      <rPr>
        <sz val="11"/>
        <color rgb="FF000000"/>
        <rFont val="Aptos Narrow"/>
        <scheme val="minor"/>
      </rPr>
      <t xml:space="preserve">•	At Wad Al Abyad, solar panels, installed, fencing completed, ( 45 kW )and( 22 kW) pumps installed at the designated sites.
•	At Village 38 ( 7.5 kW ) pump has been installed.
</t>
    </r>
  </si>
  <si>
    <t xml:space="preserve">2.Cash-for-Work (CfW):
•	Liquidation for Cash for Work phase four completed.
•	Arrangement for last group targeted 57 individual initiated.
</t>
  </si>
  <si>
    <t>28th Dec to 31st Dec</t>
  </si>
  <si>
    <r>
      <rPr>
        <b/>
        <sz val="11"/>
        <color rgb="FF000000"/>
        <rFont val="Aptos Narrow"/>
        <scheme val="minor"/>
      </rPr>
      <t>•	T</t>
    </r>
    <r>
      <rPr>
        <sz val="11"/>
        <color rgb="FF000000"/>
        <rFont val="Aptos Narrow"/>
        <scheme val="minor"/>
      </rPr>
      <t xml:space="preserve">raining was conducted for technicians and 37 water committees in Madani locality, Um Al Gura, and Tambool on the operation and maintenance of solar systems.
</t>
    </r>
  </si>
  <si>
    <t>2. Cash-for-Work (CfW):
•	The final Cash-for-Work intervention targeting 57 individuals was initiated in the Alrayan area.</t>
  </si>
  <si>
    <t>4th Jan to 8th Jan</t>
  </si>
  <si>
    <t xml:space="preserve">Provision of Solar Systems and Rehabilitation of 37 Water Yards in Gezira State (CERF-Funded Project):
• Coordination and arrangements for the handover of 37 water yards have been completed.
</t>
  </si>
  <si>
    <t xml:space="preserve">2-  Cash-for-Work (CfW):
• The final Cash-for-Work intervention has reached 95% completion.
</t>
  </si>
  <si>
    <t>11th Jan to 15th Jan</t>
  </si>
  <si>
    <t xml:space="preserve">CERF-Funded Project:
The handover of 37 water yards was successfully completed under the CERF-funded project.
</t>
  </si>
  <si>
    <t>Cash for work intervention was successsfully completed benefited 1100 individual</t>
  </si>
  <si>
    <t>18th Jan to 22nd Jan</t>
  </si>
  <si>
    <t>25th Jan to 29th Jan</t>
  </si>
  <si>
    <t>15th Feb to 19th Feb</t>
  </si>
  <si>
    <t>22nd Feb to 26th Feb</t>
  </si>
  <si>
    <t>PCA for last group of CFW approvd and submitted to finance but not recieved money yet</t>
  </si>
  <si>
    <t>1st Mar to 5th Mar</t>
  </si>
  <si>
    <t>8th Mar to 12th Mar</t>
  </si>
  <si>
    <t>15th Mar to 19th Mar</t>
  </si>
  <si>
    <t>22nd Mar to 26th Mar</t>
  </si>
  <si>
    <t>State</t>
  </si>
  <si>
    <t>IP</t>
  </si>
  <si>
    <t>Town/Community</t>
  </si>
  <si>
    <t>Al Jazeera</t>
  </si>
  <si>
    <t>UNDP_RR</t>
  </si>
  <si>
    <t>Madani town Purification station</t>
  </si>
  <si>
    <t xml:space="preserve"> Jazeera ALMAKI</t>
  </si>
  <si>
    <t>Southern Textiles</t>
  </si>
  <si>
    <t xml:space="preserve"> Dardak Nasser neighborhood</t>
  </si>
  <si>
    <t>El-Rayan</t>
  </si>
  <si>
    <t>Northern Textile District</t>
  </si>
  <si>
    <t>Al-Waha neighborhood</t>
  </si>
  <si>
    <t>Barakat</t>
  </si>
  <si>
    <t xml:space="preserve">Mobi Elthwora Al Qadima </t>
  </si>
  <si>
    <t>Mobi Elthwora Area Elthwora</t>
  </si>
  <si>
    <t>Mobi Elthwora</t>
  </si>
  <si>
    <t xml:space="preserve">Mobi Elthwora Al-Salam Area </t>
  </si>
  <si>
    <t>Zamalek neighborhood</t>
  </si>
  <si>
    <t>Dar Um Bilal</t>
  </si>
  <si>
    <t>Marinjan</t>
  </si>
  <si>
    <t>Riyadh block 3</t>
  </si>
  <si>
    <t>Riyadh block 4</t>
  </si>
  <si>
    <t>Almzad</t>
  </si>
  <si>
    <t xml:space="preserve">New Rayan </t>
  </si>
  <si>
    <t>Al Danagla</t>
  </si>
  <si>
    <t xml:space="preserve">Al Nasser </t>
  </si>
  <si>
    <t>New Al-Taif block 299</t>
  </si>
  <si>
    <t>Abu Haraz village</t>
  </si>
  <si>
    <t>Bant village</t>
  </si>
  <si>
    <t>Village 38</t>
  </si>
  <si>
    <t>Ain Al-Lawaiqa A</t>
  </si>
  <si>
    <t>Ain Al-Lawaiqa B</t>
  </si>
  <si>
    <t>Umm Al-Qura Camp</t>
  </si>
  <si>
    <t xml:space="preserve">Transmission Line Camp </t>
  </si>
  <si>
    <t>Al-Wahda shraq Almusrf</t>
  </si>
  <si>
    <t xml:space="preserve">Wad Al-Abyad Village Basin Collection </t>
  </si>
  <si>
    <t>Ruwina Al-Arkiyyin Village</t>
  </si>
  <si>
    <t xml:space="preserve">Tambool </t>
  </si>
  <si>
    <t>Tambool Sq 9</t>
  </si>
  <si>
    <t>Tambool Alaishab</t>
  </si>
  <si>
    <t xml:space="preserve"> Al Heglig</t>
  </si>
  <si>
    <t xml:space="preserve"> Arkawit neighborhood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</si>
</sst>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6">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Calibri"/>
      <family val="2"/>
    </font>
    <font>
      <b/>
      <sz val="11"/>
      <color rgb="FF000000"/>
      <name val="Calibri"/>
      <family val="2"/>
    </font>
    <font>
      <b/>
      <sz val="12"/>
      <color rgb="FF000000"/>
      <name val="Times New Roman"/>
      <family val="1"/>
    </font>
    <font>
      <sz val="10"/>
      <color rgb="FF000000"/>
      <name val="Calibri"/>
      <family val="2"/>
    </font>
    <font>
      <sz val="12"/>
      <color rgb="FF000000"/>
      <name val="Times New Roman"/>
      <family val="1"/>
    </font>
    <font>
      <sz val="9"/>
      <color rgb="FF000000"/>
      <name val="Calibri"/>
      <family val="2"/>
    </font>
    <font>
      <sz val="10"/>
      <name val="Calibri"/>
      <family val="2"/>
    </font>
    <font>
      <sz val="12"/>
      <color rgb="FF000000"/>
      <name val="Calibri"/>
      <family val="2"/>
    </font>
    <font>
      <b/>
      <sz val="10"/>
      <name val="Calibri"/>
      <family val="2"/>
    </font>
    <font>
      <sz val="11"/>
      <color rgb="FF000000"/>
      <name val="Aptos Narrow"/>
      <scheme val="minor"/>
    </font>
    <font>
      <b/>
      <sz val="11"/>
      <color rgb="FFFF0000"/>
      <name val="Aptos Narrow"/>
      <scheme val="minor"/>
    </font>
    <font>
      <sz val="11"/>
      <color theme="1"/>
      <name val="Aptos Narrow"/>
      <scheme val="minor"/>
    </font>
    <font>
      <b/>
      <sz val="11"/>
      <color rgb="FF000000"/>
      <name val="Aptos Narrow"/>
      <scheme val="minor"/>
    </font>
    <font>
      <sz val="10"/>
      <color rgb="FF000000"/>
      <name val="Calibri"/>
      <charset val="1"/>
    </font>
    <font>
      <sz val="10"/>
      <color rgb="FF000000"/>
      <name val="Calibri"/>
    </font>
    <font>
      <b/>
      <sz val="11"/>
      <color rgb="FF000000"/>
      <name val="Calibri"/>
    </font>
    <font>
      <b/>
      <sz val="11"/>
      <color rgb="FFFF0000"/>
      <name val="Calibri"/>
    </font>
    <font>
      <sz val="11"/>
      <color rgb="FF000000"/>
      <name val="Calibri"/>
      <charset val="134"/>
    </font>
    <font>
      <b/>
      <sz val="18"/>
      <color rgb="FF000000"/>
      <name val="Calibri"/>
      <charset val="134"/>
    </font>
    <font>
      <b/>
      <sz val="14"/>
      <color rgb="FF000000"/>
      <name val="Calibri"/>
      <charset val="134"/>
    </font>
    <font>
      <sz val="12"/>
      <color rgb="FF000000"/>
      <name val="Calibri"/>
      <charset val="134"/>
    </font>
    <font>
      <b/>
      <sz val="11"/>
      <color rgb="FF000000"/>
      <name val="Calibri"/>
      <charset val="134"/>
    </font>
    <font>
      <b/>
      <sz val="12"/>
      <color rgb="FF000000"/>
      <name val="Calibri"/>
      <charset val="134"/>
    </font>
    <font>
      <sz val="12"/>
      <color rgb="FF000000"/>
      <name val="Aptos"/>
      <family val="2"/>
      <charset val="1"/>
    </font>
    <font>
      <sz val="11"/>
      <color rgb="FF000000"/>
      <name val="Segoe UI Emoji"/>
      <family val="2"/>
      <charset val="1"/>
    </font>
    <font>
      <sz val="11"/>
      <color rgb="FF000000"/>
      <name val="Calibri"/>
      <family val="2"/>
      <charset val="1"/>
    </font>
    <font>
      <b/>
      <sz val="12"/>
      <color theme="1"/>
      <name val="Aptos"/>
      <family val="2"/>
      <charset val="1"/>
    </font>
    <font>
      <sz val="11"/>
      <color rgb="FF000000"/>
      <name val="Aptos Narrow"/>
    </font>
    <font>
      <sz val="11"/>
      <color rgb="FF000000"/>
      <name val="Aptos Narrow"/>
      <family val="2"/>
    </font>
    <font>
      <b/>
      <sz val="11"/>
      <color rgb="FF000000"/>
      <name val="Aptos Narrow"/>
      <family val="2"/>
    </font>
    <font>
      <sz val="12"/>
      <color theme="1"/>
      <name val="Aptos Narrow"/>
      <family val="2"/>
      <scheme val="minor"/>
    </font>
    <font>
      <b/>
      <sz val="12"/>
      <color theme="1"/>
      <name val="Aptos Narrow"/>
      <family val="2"/>
      <scheme val="minor"/>
    </font>
  </fonts>
  <fills count="12">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rgb="FFBDD7EE"/>
        <bgColor indexed="64"/>
      </patternFill>
    </fill>
    <fill>
      <patternFill patternType="solid">
        <fgColor rgb="FFFCE4D6"/>
        <bgColor indexed="64"/>
      </patternFill>
    </fill>
    <fill>
      <patternFill patternType="solid">
        <fgColor rgb="FFD9D9D9"/>
        <bgColor indexed="64"/>
      </patternFill>
    </fill>
    <fill>
      <patternFill patternType="solid">
        <fgColor rgb="FFD8E4BC"/>
        <bgColor indexed="64"/>
      </patternFill>
    </fill>
    <fill>
      <patternFill patternType="solid">
        <fgColor theme="2" tint="-9.9978637043366805E-2"/>
        <bgColor indexed="64"/>
      </patternFill>
    </fill>
    <fill>
      <patternFill patternType="solid">
        <fgColor theme="3" tint="0.74999237037263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175">
    <xf numFmtId="0" fontId="0" fillId="0" borderId="0" xfId="0"/>
    <xf numFmtId="0" fontId="3" fillId="0" borderId="0" xfId="0" applyFont="1"/>
    <xf numFmtId="44" fontId="0" fillId="0" borderId="0" xfId="1" applyFont="1"/>
    <xf numFmtId="15" fontId="0" fillId="0" borderId="0" xfId="0" applyNumberFormat="1"/>
    <xf numFmtId="17" fontId="0" fillId="0" borderId="0" xfId="0" applyNumberFormat="1" applyAlignment="1">
      <alignment wrapText="1"/>
    </xf>
    <xf numFmtId="0" fontId="2" fillId="0" borderId="1" xfId="0" applyFont="1" applyBorder="1"/>
    <xf numFmtId="0" fontId="0" fillId="0" borderId="1" xfId="0" applyBorder="1" applyAlignment="1">
      <alignment horizontal="left" wrapText="1"/>
    </xf>
    <xf numFmtId="0" fontId="0" fillId="0" borderId="1" xfId="0" applyBorder="1" applyAlignment="1">
      <alignment horizontal="right"/>
    </xf>
    <xf numFmtId="0" fontId="0" fillId="0" borderId="0" xfId="0" applyAlignment="1">
      <alignment wrapText="1"/>
    </xf>
    <xf numFmtId="0" fontId="0" fillId="3" borderId="0" xfId="0" applyFill="1"/>
    <xf numFmtId="0" fontId="2" fillId="4" borderId="0" xfId="0" applyFont="1" applyFill="1"/>
    <xf numFmtId="0" fontId="13" fillId="0" borderId="0" xfId="0" applyFont="1" applyAlignment="1">
      <alignment wrapText="1"/>
    </xf>
    <xf numFmtId="0" fontId="15" fillId="0" borderId="0" xfId="0" applyFont="1" applyAlignment="1">
      <alignment wrapText="1"/>
    </xf>
    <xf numFmtId="0" fontId="13" fillId="0" borderId="1" xfId="0" applyFont="1" applyBorder="1" applyAlignment="1">
      <alignment horizontal="left" wrapText="1"/>
    </xf>
    <xf numFmtId="0" fontId="0" fillId="5" borderId="0" xfId="0" applyFill="1"/>
    <xf numFmtId="0" fontId="7" fillId="3" borderId="0" xfId="0" applyFont="1" applyFill="1" applyAlignment="1">
      <alignment wrapText="1"/>
    </xf>
    <xf numFmtId="0" fontId="0" fillId="3" borderId="0" xfId="0" applyFill="1" applyAlignment="1">
      <alignment vertical="center"/>
    </xf>
    <xf numFmtId="0" fontId="0" fillId="0" borderId="0" xfId="0" applyAlignment="1">
      <alignment vertical="center"/>
    </xf>
    <xf numFmtId="0" fontId="0" fillId="0" borderId="11" xfId="0" applyBorder="1"/>
    <xf numFmtId="0" fontId="8" fillId="3" borderId="10" xfId="0" applyFont="1" applyFill="1" applyBorder="1" applyAlignment="1">
      <alignment wrapText="1"/>
    </xf>
    <xf numFmtId="0" fontId="0" fillId="0" borderId="14" xfId="0" applyBorder="1"/>
    <xf numFmtId="0" fontId="0" fillId="0" borderId="12" xfId="0" applyBorder="1"/>
    <xf numFmtId="0" fontId="0" fillId="0" borderId="15" xfId="0" applyBorder="1"/>
    <xf numFmtId="0" fontId="0" fillId="0" borderId="16" xfId="0" applyBorder="1"/>
    <xf numFmtId="0" fontId="4" fillId="3" borderId="10" xfId="0" applyFont="1" applyFill="1" applyBorder="1" applyAlignment="1">
      <alignment wrapText="1"/>
    </xf>
    <xf numFmtId="16" fontId="4" fillId="3" borderId="10" xfId="0" applyNumberFormat="1" applyFont="1" applyFill="1" applyBorder="1" applyAlignment="1">
      <alignment wrapText="1"/>
    </xf>
    <xf numFmtId="3" fontId="0" fillId="0" borderId="10" xfId="0" applyNumberFormat="1" applyBorder="1"/>
    <xf numFmtId="0" fontId="0" fillId="0" borderId="9" xfId="0" applyBorder="1" applyAlignment="1">
      <alignment horizontal="right"/>
    </xf>
    <xf numFmtId="0" fontId="0" fillId="0" borderId="4" xfId="0" applyBorder="1" applyAlignment="1">
      <alignment horizontal="right"/>
    </xf>
    <xf numFmtId="0" fontId="21" fillId="0" borderId="0" xfId="0" applyFont="1"/>
    <xf numFmtId="0" fontId="22" fillId="0" borderId="0" xfId="0" applyFont="1"/>
    <xf numFmtId="0" fontId="23" fillId="0" borderId="0" xfId="0" applyFont="1"/>
    <xf numFmtId="0" fontId="24" fillId="6" borderId="10" xfId="0" applyFont="1" applyFill="1" applyBorder="1" applyAlignment="1">
      <alignment wrapText="1"/>
    </xf>
    <xf numFmtId="0" fontId="24" fillId="6" borderId="10" xfId="0" applyFont="1" applyFill="1" applyBorder="1"/>
    <xf numFmtId="0" fontId="24" fillId="7" borderId="10" xfId="0" applyFont="1" applyFill="1" applyBorder="1"/>
    <xf numFmtId="4" fontId="24" fillId="7" borderId="10" xfId="0" applyNumberFormat="1" applyFont="1" applyFill="1" applyBorder="1"/>
    <xf numFmtId="0" fontId="25" fillId="0" borderId="0" xfId="0" applyFont="1"/>
    <xf numFmtId="0" fontId="26" fillId="7" borderId="10" xfId="0" applyFont="1" applyFill="1" applyBorder="1"/>
    <xf numFmtId="4" fontId="26" fillId="7" borderId="10" xfId="0" applyNumberFormat="1" applyFont="1" applyFill="1" applyBorder="1"/>
    <xf numFmtId="0" fontId="25" fillId="8" borderId="10" xfId="0" applyFont="1" applyFill="1" applyBorder="1"/>
    <xf numFmtId="0" fontId="21" fillId="0" borderId="10" xfId="0" applyFont="1" applyBorder="1"/>
    <xf numFmtId="3" fontId="21" fillId="0" borderId="10" xfId="0" applyNumberFormat="1" applyFont="1" applyBorder="1"/>
    <xf numFmtId="0" fontId="25" fillId="0" borderId="10" xfId="0" applyFont="1" applyBorder="1" applyAlignment="1">
      <alignment wrapText="1"/>
    </xf>
    <xf numFmtId="0" fontId="27" fillId="0" borderId="0" xfId="0" applyFont="1"/>
    <xf numFmtId="0" fontId="29" fillId="9" borderId="7" xfId="0" applyFont="1" applyFill="1" applyBorder="1"/>
    <xf numFmtId="0" fontId="29" fillId="9" borderId="5" xfId="0" applyFont="1" applyFill="1" applyBorder="1"/>
    <xf numFmtId="0" fontId="29" fillId="0" borderId="19" xfId="0" applyFont="1" applyBorder="1"/>
    <xf numFmtId="0" fontId="29" fillId="0" borderId="8" xfId="0" applyFont="1" applyBorder="1"/>
    <xf numFmtId="0" fontId="30" fillId="0" borderId="0" xfId="0" applyFont="1"/>
    <xf numFmtId="0" fontId="0" fillId="0" borderId="1" xfId="0" applyBorder="1" applyAlignment="1">
      <alignment horizontal="center"/>
    </xf>
    <xf numFmtId="0" fontId="0" fillId="0" borderId="6" xfId="0" applyBorder="1" applyAlignment="1">
      <alignment horizontal="center" wrapText="1"/>
    </xf>
    <xf numFmtId="0" fontId="0" fillId="0" borderId="10" xfId="0" applyBorder="1"/>
    <xf numFmtId="0" fontId="4" fillId="3" borderId="0" xfId="0" applyFont="1" applyFill="1"/>
    <xf numFmtId="0" fontId="2" fillId="10" borderId="10" xfId="0" applyFont="1" applyFill="1" applyBorder="1"/>
    <xf numFmtId="0" fontId="5" fillId="10" borderId="10" xfId="0" applyFont="1" applyFill="1" applyBorder="1" applyAlignment="1">
      <alignment wrapText="1"/>
    </xf>
    <xf numFmtId="0" fontId="5" fillId="10" borderId="10" xfId="0" applyFont="1" applyFill="1" applyBorder="1" applyAlignment="1">
      <alignment vertical="center" wrapText="1"/>
    </xf>
    <xf numFmtId="0" fontId="7" fillId="3" borderId="10" xfId="0" applyFont="1" applyFill="1" applyBorder="1" applyAlignment="1">
      <alignment vertical="center" wrapText="1"/>
    </xf>
    <xf numFmtId="0" fontId="10" fillId="3" borderId="10" xfId="0" applyFont="1" applyFill="1" applyBorder="1" applyAlignment="1">
      <alignment vertical="center" wrapText="1"/>
    </xf>
    <xf numFmtId="0" fontId="7" fillId="3" borderId="10" xfId="0" applyFont="1" applyFill="1" applyBorder="1" applyAlignment="1">
      <alignment wrapText="1"/>
    </xf>
    <xf numFmtId="0" fontId="11" fillId="3" borderId="10" xfId="0" applyFont="1" applyFill="1" applyBorder="1"/>
    <xf numFmtId="0" fontId="5" fillId="3" borderId="10" xfId="0" applyFont="1" applyFill="1" applyBorder="1"/>
    <xf numFmtId="0" fontId="4" fillId="3" borderId="10" xfId="0" applyFont="1" applyFill="1" applyBorder="1"/>
    <xf numFmtId="0" fontId="12" fillId="3" borderId="10" xfId="0" applyFont="1" applyFill="1" applyBorder="1"/>
    <xf numFmtId="0" fontId="9" fillId="3" borderId="10" xfId="0" applyFont="1" applyFill="1" applyBorder="1"/>
    <xf numFmtId="4" fontId="5" fillId="3" borderId="10" xfId="0" applyNumberFormat="1" applyFont="1" applyFill="1" applyBorder="1" applyAlignment="1">
      <alignment wrapText="1"/>
    </xf>
    <xf numFmtId="0" fontId="5" fillId="0" borderId="10" xfId="0" applyFont="1" applyBorder="1" applyAlignment="1">
      <alignment wrapText="1"/>
    </xf>
    <xf numFmtId="0" fontId="5" fillId="0" borderId="10" xfId="0" applyFont="1" applyBorder="1" applyAlignment="1">
      <alignment vertical="center" wrapText="1"/>
    </xf>
    <xf numFmtId="0" fontId="6" fillId="0" borderId="10" xfId="0" applyFont="1" applyBorder="1" applyAlignment="1">
      <alignment wrapText="1"/>
    </xf>
    <xf numFmtId="0" fontId="19" fillId="0" borderId="10" xfId="0" applyFont="1" applyBorder="1" applyAlignment="1">
      <alignment wrapText="1"/>
    </xf>
    <xf numFmtId="0" fontId="5" fillId="3" borderId="10" xfId="0" applyFont="1" applyFill="1" applyBorder="1" applyAlignment="1">
      <alignment wrapText="1"/>
    </xf>
    <xf numFmtId="0" fontId="5" fillId="2" borderId="10" xfId="0" applyFont="1" applyFill="1" applyBorder="1" applyAlignment="1">
      <alignment wrapText="1"/>
    </xf>
    <xf numFmtId="0" fontId="6" fillId="3" borderId="10" xfId="0" applyFont="1" applyFill="1" applyBorder="1" applyAlignment="1">
      <alignment wrapText="1"/>
    </xf>
    <xf numFmtId="0" fontId="17" fillId="0" borderId="10" xfId="0" applyFont="1" applyBorder="1" applyAlignment="1">
      <alignment vertical="center"/>
    </xf>
    <xf numFmtId="0" fontId="18" fillId="3" borderId="10" xfId="0" applyFont="1" applyFill="1" applyBorder="1" applyAlignment="1">
      <alignment wrapText="1"/>
    </xf>
    <xf numFmtId="0" fontId="10" fillId="3" borderId="10" xfId="0" applyFont="1" applyFill="1" applyBorder="1" applyAlignment="1">
      <alignment wrapText="1"/>
    </xf>
    <xf numFmtId="0" fontId="0" fillId="0" borderId="10" xfId="0" applyBorder="1" applyAlignment="1">
      <alignment vertical="center"/>
    </xf>
    <xf numFmtId="0" fontId="0" fillId="3" borderId="10" xfId="0" applyFill="1" applyBorder="1"/>
    <xf numFmtId="0" fontId="4" fillId="0" borderId="10" xfId="0" applyFont="1" applyBorder="1" applyAlignment="1">
      <alignment wrapText="1"/>
    </xf>
    <xf numFmtId="0" fontId="7" fillId="3" borderId="10" xfId="0" applyFont="1" applyFill="1" applyBorder="1"/>
    <xf numFmtId="0" fontId="31" fillId="0" borderId="1" xfId="0" applyFont="1" applyBorder="1" applyAlignment="1">
      <alignment wrapText="1"/>
    </xf>
    <xf numFmtId="0" fontId="31" fillId="0" borderId="4" xfId="0" applyFont="1" applyBorder="1" applyAlignment="1">
      <alignment wrapText="1"/>
    </xf>
    <xf numFmtId="0" fontId="31" fillId="0" borderId="1" xfId="0" applyFont="1" applyBorder="1"/>
    <xf numFmtId="0" fontId="31" fillId="0" borderId="4" xfId="0" applyFont="1" applyBorder="1"/>
    <xf numFmtId="0" fontId="7" fillId="5" borderId="10" xfId="0" applyFont="1" applyFill="1" applyBorder="1" applyAlignment="1">
      <alignment wrapText="1"/>
    </xf>
    <xf numFmtId="0" fontId="10" fillId="5" borderId="10" xfId="0" applyFont="1" applyFill="1" applyBorder="1" applyAlignment="1">
      <alignment vertical="center" wrapText="1"/>
    </xf>
    <xf numFmtId="0" fontId="7" fillId="5" borderId="10" xfId="0" applyFont="1" applyFill="1" applyBorder="1"/>
    <xf numFmtId="0" fontId="11" fillId="5" borderId="10" xfId="0" applyFont="1" applyFill="1" applyBorder="1"/>
    <xf numFmtId="0" fontId="5" fillId="5" borderId="10" xfId="0" applyFont="1" applyFill="1" applyBorder="1"/>
    <xf numFmtId="0" fontId="4" fillId="5" borderId="10" xfId="0" applyFont="1" applyFill="1" applyBorder="1"/>
    <xf numFmtId="0" fontId="12" fillId="5" borderId="10" xfId="0" applyFont="1" applyFill="1" applyBorder="1"/>
    <xf numFmtId="0" fontId="9" fillId="5" borderId="10" xfId="0" applyFont="1" applyFill="1" applyBorder="1"/>
    <xf numFmtId="0" fontId="4" fillId="5" borderId="10" xfId="0" applyFont="1" applyFill="1" applyBorder="1" applyAlignment="1">
      <alignment wrapText="1"/>
    </xf>
    <xf numFmtId="16" fontId="4" fillId="5" borderId="10" xfId="0" applyNumberFormat="1" applyFont="1" applyFill="1" applyBorder="1" applyAlignment="1">
      <alignment wrapText="1"/>
    </xf>
    <xf numFmtId="0" fontId="2" fillId="0" borderId="1" xfId="0" applyFont="1" applyBorder="1" applyAlignment="1">
      <alignment wrapText="1"/>
    </xf>
    <xf numFmtId="0" fontId="10" fillId="4" borderId="10" xfId="0" applyFont="1" applyFill="1" applyBorder="1" applyAlignment="1">
      <alignment wrapText="1"/>
    </xf>
    <xf numFmtId="0" fontId="10" fillId="4" borderId="10" xfId="0" applyFont="1" applyFill="1" applyBorder="1" applyAlignment="1">
      <alignment vertical="center" wrapText="1"/>
    </xf>
    <xf numFmtId="0" fontId="7" fillId="4" borderId="10" xfId="0" applyFont="1" applyFill="1" applyBorder="1"/>
    <xf numFmtId="0" fontId="11" fillId="4" borderId="10" xfId="0" applyFont="1" applyFill="1" applyBorder="1"/>
    <xf numFmtId="0" fontId="5" fillId="4" borderId="10" xfId="0" applyFont="1" applyFill="1" applyBorder="1"/>
    <xf numFmtId="0" fontId="4" fillId="4" borderId="10" xfId="0" applyFont="1" applyFill="1" applyBorder="1"/>
    <xf numFmtId="0" fontId="12" fillId="4" borderId="10" xfId="0" applyFont="1" applyFill="1" applyBorder="1"/>
    <xf numFmtId="0" fontId="9" fillId="4" borderId="10" xfId="0" applyFont="1" applyFill="1" applyBorder="1"/>
    <xf numFmtId="0" fontId="4" fillId="4" borderId="10" xfId="0" applyFont="1" applyFill="1" applyBorder="1" applyAlignment="1">
      <alignment wrapText="1"/>
    </xf>
    <xf numFmtId="16" fontId="4" fillId="4" borderId="10" xfId="0" applyNumberFormat="1" applyFont="1" applyFill="1" applyBorder="1" applyAlignment="1">
      <alignment wrapText="1"/>
    </xf>
    <xf numFmtId="0" fontId="0" fillId="4" borderId="0" xfId="0" applyFill="1"/>
    <xf numFmtId="0" fontId="7" fillId="4" borderId="10" xfId="0" applyFont="1" applyFill="1" applyBorder="1" applyAlignment="1">
      <alignment wrapText="1"/>
    </xf>
    <xf numFmtId="0" fontId="31" fillId="4" borderId="1" xfId="0" applyFont="1" applyFill="1" applyBorder="1" applyAlignment="1">
      <alignment wrapText="1"/>
    </xf>
    <xf numFmtId="0" fontId="31" fillId="4" borderId="1" xfId="0" applyFont="1" applyFill="1" applyBorder="1"/>
    <xf numFmtId="0" fontId="31" fillId="4" borderId="4" xfId="0" applyFont="1" applyFill="1" applyBorder="1"/>
    <xf numFmtId="0" fontId="31" fillId="4" borderId="4" xfId="0" applyFont="1" applyFill="1" applyBorder="1" applyAlignment="1">
      <alignment wrapText="1"/>
    </xf>
    <xf numFmtId="0" fontId="0" fillId="4" borderId="10" xfId="0" applyFill="1" applyBorder="1"/>
    <xf numFmtId="0" fontId="0" fillId="4" borderId="10" xfId="0" applyFill="1" applyBorder="1" applyAlignment="1">
      <alignment vertical="center"/>
    </xf>
    <xf numFmtId="0" fontId="7" fillId="11" borderId="10" xfId="0" applyFont="1" applyFill="1" applyBorder="1" applyAlignment="1">
      <alignment wrapText="1"/>
    </xf>
    <xf numFmtId="0" fontId="4" fillId="11" borderId="10" xfId="0" applyFont="1" applyFill="1" applyBorder="1" applyAlignment="1">
      <alignment wrapText="1"/>
    </xf>
    <xf numFmtId="0" fontId="5" fillId="11" borderId="10" xfId="0" applyFont="1" applyFill="1" applyBorder="1"/>
    <xf numFmtId="0" fontId="4" fillId="11" borderId="10" xfId="0" applyFont="1" applyFill="1" applyBorder="1"/>
    <xf numFmtId="0" fontId="9" fillId="11" borderId="10" xfId="0" applyFont="1" applyFill="1" applyBorder="1"/>
    <xf numFmtId="16" fontId="4" fillId="11" borderId="10" xfId="0" applyNumberFormat="1" applyFont="1" applyFill="1" applyBorder="1" applyAlignment="1">
      <alignment wrapText="1"/>
    </xf>
    <xf numFmtId="0" fontId="0" fillId="11" borderId="0" xfId="0" applyFill="1"/>
    <xf numFmtId="0" fontId="7" fillId="11" borderId="10" xfId="0" applyFont="1" applyFill="1" applyBorder="1" applyAlignment="1">
      <alignment vertical="center" wrapText="1"/>
    </xf>
    <xf numFmtId="0" fontId="10" fillId="11" borderId="10" xfId="0" applyFont="1" applyFill="1" applyBorder="1" applyAlignment="1">
      <alignment wrapText="1"/>
    </xf>
    <xf numFmtId="0" fontId="10" fillId="11" borderId="10" xfId="0" applyFont="1" applyFill="1" applyBorder="1" applyAlignment="1">
      <alignment vertical="center" wrapText="1"/>
    </xf>
    <xf numFmtId="0" fontId="11" fillId="11" borderId="10" xfId="0" applyFont="1" applyFill="1" applyBorder="1"/>
    <xf numFmtId="0" fontId="12" fillId="11" borderId="10" xfId="0" applyFont="1" applyFill="1" applyBorder="1"/>
    <xf numFmtId="0" fontId="32" fillId="0" borderId="1" xfId="0" applyFont="1" applyBorder="1"/>
    <xf numFmtId="0" fontId="33" fillId="0" borderId="6" xfId="0" applyFont="1" applyBorder="1"/>
    <xf numFmtId="0" fontId="33" fillId="0" borderId="4" xfId="0" applyFont="1" applyBorder="1"/>
    <xf numFmtId="0" fontId="32" fillId="0" borderId="21" xfId="0" applyFont="1" applyBorder="1"/>
    <xf numFmtId="0" fontId="33" fillId="0" borderId="10" xfId="0" applyFont="1" applyBorder="1"/>
    <xf numFmtId="0" fontId="32" fillId="0" borderId="10" xfId="0" applyFont="1" applyBorder="1"/>
    <xf numFmtId="9" fontId="33" fillId="0" borderId="21" xfId="0" applyNumberFormat="1" applyFont="1" applyBorder="1"/>
    <xf numFmtId="9" fontId="32" fillId="0" borderId="0" xfId="0" applyNumberFormat="1" applyFont="1"/>
    <xf numFmtId="0" fontId="32" fillId="0" borderId="22" xfId="0" applyFont="1" applyBorder="1"/>
    <xf numFmtId="0" fontId="33" fillId="0" borderId="23" xfId="0" applyFont="1" applyBorder="1"/>
    <xf numFmtId="0" fontId="2" fillId="0" borderId="10" xfId="0" applyFont="1" applyBorder="1"/>
    <xf numFmtId="0" fontId="2" fillId="0" borderId="13" xfId="0" applyFont="1" applyBorder="1"/>
    <xf numFmtId="0" fontId="33" fillId="0" borderId="24" xfId="0" applyFont="1" applyBorder="1"/>
    <xf numFmtId="9" fontId="32" fillId="0" borderId="25" xfId="0" applyNumberFormat="1" applyFont="1" applyBorder="1"/>
    <xf numFmtId="9" fontId="32" fillId="0" borderId="13" xfId="0" applyNumberFormat="1" applyFont="1" applyBorder="1"/>
    <xf numFmtId="0" fontId="2" fillId="5" borderId="0" xfId="0" applyFont="1" applyFill="1" applyAlignment="1">
      <alignment wrapText="1"/>
    </xf>
    <xf numFmtId="9" fontId="0" fillId="0" borderId="0" xfId="0" applyNumberFormat="1"/>
    <xf numFmtId="3" fontId="0" fillId="0" borderId="0" xfId="0" applyNumberFormat="1"/>
    <xf numFmtId="9" fontId="32" fillId="0" borderId="10" xfId="0" applyNumberFormat="1" applyFont="1" applyBorder="1"/>
    <xf numFmtId="0" fontId="32" fillId="0" borderId="2" xfId="0" applyFont="1" applyBorder="1"/>
    <xf numFmtId="9" fontId="32" fillId="0" borderId="26" xfId="0" applyNumberFormat="1" applyFont="1" applyBorder="1"/>
    <xf numFmtId="0" fontId="32" fillId="0" borderId="26" xfId="0" applyFont="1" applyBorder="1"/>
    <xf numFmtId="0" fontId="2" fillId="0" borderId="0" xfId="0" applyFont="1"/>
    <xf numFmtId="0" fontId="0" fillId="0" borderId="10" xfId="0" applyBorder="1" applyAlignment="1">
      <alignment wrapText="1"/>
    </xf>
    <xf numFmtId="3" fontId="0" fillId="0" borderId="10" xfId="0" applyNumberFormat="1" applyBorder="1" applyAlignment="1">
      <alignment wrapText="1"/>
    </xf>
    <xf numFmtId="0" fontId="34" fillId="5" borderId="0" xfId="0" applyFont="1" applyFill="1"/>
    <xf numFmtId="0" fontId="35" fillId="5" borderId="0" xfId="0" applyFont="1" applyFill="1"/>
    <xf numFmtId="3" fontId="35" fillId="5" borderId="0" xfId="0" applyNumberFormat="1" applyFont="1" applyFill="1"/>
    <xf numFmtId="4" fontId="0" fillId="0" borderId="0" xfId="0" applyNumberFormat="1"/>
    <xf numFmtId="0" fontId="0" fillId="0" borderId="20" xfId="0" applyBorder="1" applyAlignment="1">
      <alignment horizontal="left" wrapText="1"/>
    </xf>
    <xf numFmtId="0" fontId="2" fillId="5" borderId="20" xfId="0" applyFont="1" applyFill="1"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wrapText="1"/>
    </xf>
    <xf numFmtId="3" fontId="0" fillId="0" borderId="1" xfId="0" applyNumberFormat="1" applyBorder="1" applyAlignment="1">
      <alignment horizontal="right"/>
    </xf>
    <xf numFmtId="3" fontId="0" fillId="0" borderId="2" xfId="0" applyNumberFormat="1" applyBorder="1" applyAlignment="1">
      <alignment horizontal="center"/>
    </xf>
    <xf numFmtId="3" fontId="0" fillId="0" borderId="3" xfId="0" applyNumberFormat="1" applyBorder="1" applyAlignment="1">
      <alignment horizontal="center"/>
    </xf>
    <xf numFmtId="3" fontId="0" fillId="0" borderId="4" xfId="0" applyNumberFormat="1" applyBorder="1" applyAlignment="1">
      <alignment horizontal="center"/>
    </xf>
    <xf numFmtId="0" fontId="0" fillId="0" borderId="1" xfId="0" applyBorder="1" applyAlignment="1">
      <alignment horizontal="center"/>
    </xf>
    <xf numFmtId="0" fontId="0" fillId="0" borderId="2" xfId="0" applyBorder="1" applyAlignment="1">
      <alignment horizontal="left" wrapText="1"/>
    </xf>
    <xf numFmtId="0" fontId="0" fillId="0" borderId="4" xfId="0" applyBorder="1" applyAlignment="1">
      <alignment horizontal="left" wrapText="1"/>
    </xf>
    <xf numFmtId="3" fontId="2" fillId="5" borderId="2" xfId="0" applyNumberFormat="1" applyFont="1" applyFill="1" applyBorder="1" applyAlignment="1">
      <alignment horizontal="right"/>
    </xf>
    <xf numFmtId="3" fontId="2" fillId="5" borderId="4" xfId="0" applyNumberFormat="1" applyFont="1" applyFill="1" applyBorder="1" applyAlignment="1">
      <alignment horizontal="right"/>
    </xf>
    <xf numFmtId="0" fontId="33" fillId="0" borderId="13" xfId="0" applyFont="1" applyBorder="1" applyAlignment="1">
      <alignment horizontal="center"/>
    </xf>
    <xf numFmtId="0" fontId="33" fillId="0" borderId="18" xfId="0" applyFont="1" applyBorder="1" applyAlignment="1">
      <alignment horizontal="center"/>
    </xf>
    <xf numFmtId="0" fontId="33" fillId="0" borderId="17" xfId="0" applyFont="1" applyBorder="1" applyAlignment="1">
      <alignment horizontal="center"/>
    </xf>
    <xf numFmtId="0" fontId="33" fillId="0" borderId="10" xfId="0" applyFont="1" applyBorder="1" applyAlignment="1"/>
    <xf numFmtId="0" fontId="26" fillId="7" borderId="13" xfId="0" applyFont="1" applyFill="1" applyBorder="1" applyAlignment="1"/>
    <xf numFmtId="0" fontId="26" fillId="7" borderId="18" xfId="0" applyFont="1" applyFill="1" applyBorder="1" applyAlignment="1"/>
    <xf numFmtId="0" fontId="26" fillId="7" borderId="17" xfId="0" applyFont="1" applyFill="1" applyBorder="1" applyAlignme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anaa Saeed" id="{8DACC236-1EF4-460F-A061-EFAB07B5B7E7}" userId="sanaa.saeed@undp.org" providerId="PeoplePicker"/>
  <person displayName="Mustafa Hassan" id="{198FF273-7292-48BA-A6AD-4CE10F28E6D7}" userId="mustafa.hassan@undp.org" providerId="PeoplePicker"/>
  <person displayName="Mustafa Hassan" id="{1D684312-474B-4767-92AF-98D843EFA602}" userId="S::mustafa.hassan@undp.org::c56c716b-6511-4dde-aa92-7938a6df3127" providerId="AD"/>
  <person displayName="Marrian Gebreselassie" id="{1858CDA3-FDFA-427C-9E71-3361F78CC55D}"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6-02-19T09:37:02.27" personId="{1858CDA3-FDFA-427C-9E71-3361F78CC55D}" id="{27DEFAAB-10DF-4F22-BADC-A4F86899DA39}" done="1">
    <text>@Sanaa Saeed / @Mustafa Hassan  please update this column as of end of Jan</text>
    <mentions>
      <mention mentionpersonId="{8DACC236-1EF4-460F-A061-EFAB07B5B7E7}" mentionId="{4D814C26-52A1-4AE7-BAA8-CA7FC62A58B5}" startIndex="0" length="12"/>
      <mention mentionpersonId="{198FF273-7292-48BA-A6AD-4CE10F28E6D7}" mentionId="{0D30ED2C-8B9D-449A-9295-B60326AF8F38}" startIndex="15" length="15"/>
    </mentions>
  </threadedComment>
  <threadedComment ref="G1" dT="2026-02-19T10:47:37.90" personId="{1D684312-474B-4767-92AF-98D843EFA602}" id="{B46B968B-3418-4D48-A7A4-6A297A4BBAE1}" parentId="{27DEFAAB-10DF-4F22-BADC-A4F86899DA39}">
    <text xml:space="preserve">I didn't understand, could you explain further?
</text>
  </threadedComment>
</ThreadedComments>
</file>

<file path=xl/threadedComments/threadedComment2.xml><?xml version="1.0" encoding="utf-8"?>
<ThreadedComments xmlns="http://schemas.microsoft.com/office/spreadsheetml/2018/threadedcomments" xmlns:x="http://schemas.openxmlformats.org/spreadsheetml/2006/main">
  <threadedComment ref="Q1" dT="2026-01-19T13:52:24.76" personId="{1858CDA3-FDFA-427C-9E71-3361F78CC55D}" id="{D3C288C6-F1CE-46D7-85F9-B1563A89C831}">
    <text>@Mustafa Hassan Please update this column with sites handed over recently</text>
    <mentions>
      <mention mentionpersonId="{198FF273-7292-48BA-A6AD-4CE10F28E6D7}" mentionId="{5FF26FFA-5B1E-4013-B296-B181B1EEEBFF}" startIndex="0" length="15"/>
    </mentions>
  </threadedComment>
  <threadedComment ref="Q1" dT="2026-01-20T13:24:01.23" personId="{1D684312-474B-4767-92AF-98D843EFA602}" id="{ADE857BB-7A1A-4095-98FC-F35275B38CD8}" parentId="{D3C288C6-F1CE-46D7-85F9-B1563A89C831}">
    <text>I didn't understand the handover date from the company or to the water authority.</text>
  </threadedComment>
  <threadedComment ref="Q1" dT="2026-01-20T13:24:48.73" personId="{1D684312-474B-4767-92AF-98D843EFA602}" id="{D0235EC6-4152-455A-A8E7-5AE12D2A2EC9}" parentId="{D3C288C6-F1CE-46D7-85F9-B1563A89C831}">
    <text xml:space="preserve">I didn't understand the handover date from the company or to the water authority.
</text>
  </threadedComment>
  <threadedComment ref="Q1" dT="2026-01-20T13:52:50.07" personId="{1858CDA3-FDFA-427C-9E71-3361F78CC55D}" id="{5744D515-17AE-49E4-B0C6-BBB06C29DB84}" parentId="{D3C288C6-F1CE-46D7-85F9-B1563A89C831}">
    <text>@Mustafa Hassan to the water authority so these would be the date of the opening ceremony for example</text>
    <mentions>
      <mention mentionpersonId="{198FF273-7292-48BA-A6AD-4CE10F28E6D7}" mentionId="{D2B45397-D8A5-4B97-8C18-451D41A017A1}" startIndex="0" length="15"/>
    </mentions>
  </threadedComment>
  <threadedComment ref="B39" dT="2026-07-23T14:47:47.38" personId="{1D684312-474B-4767-92AF-98D843EFA602}" id="{DC701E4F-EC56-4547-9F53-C0576A05B75F}">
    <text>No water station was implemented by UNDP ; only activity was carried out (CFW).</text>
  </threadedComment>
</ThreadedComments>
</file>

<file path=xl/threadedComments/threadedComment3.xml><?xml version="1.0" encoding="utf-8"?>
<ThreadedComments xmlns="http://schemas.microsoft.com/office/spreadsheetml/2018/threadedcomments" xmlns:x="http://schemas.openxmlformats.org/spreadsheetml/2006/main">
  <threadedComment ref="B8" dT="2026-01-06T15:40:54.96" personId="{1858CDA3-FDFA-427C-9E71-3361F78CC55D}" id="{347F9FBB-D4C1-4A54-B3F2-94799AEEDC51}">
    <text>@Sanaa Saeed / @Mustafa Hassan  kindly provide a training report documenting this using the shared template</text>
    <mentions>
      <mention mentionpersonId="{8DACC236-1EF4-460F-A061-EFAB07B5B7E7}" mentionId="{765A8053-7F5A-4683-8FE0-F4C7DE66E505}" startIndex="0" length="12"/>
      <mention mentionpersonId="{198FF273-7292-48BA-A6AD-4CE10F28E6D7}" mentionId="{FC8F2DD3-0AD4-4973-B6E7-124E13CEF20B}" startIndex="15" length="15"/>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C267-68CC-47A6-A365-41F5AA29F489}">
  <dimension ref="A1:B9"/>
  <sheetViews>
    <sheetView workbookViewId="0">
      <selection activeCell="B11" sqref="B11"/>
    </sheetView>
  </sheetViews>
  <sheetFormatPr defaultRowHeight="14.45"/>
  <cols>
    <col min="1" max="1" width="23.5703125" customWidth="1"/>
    <col min="2" max="2" width="70.140625" customWidth="1"/>
  </cols>
  <sheetData>
    <row r="1" spans="1:2">
      <c r="A1" s="1" t="s">
        <v>0</v>
      </c>
      <c r="B1" t="s">
        <v>1</v>
      </c>
    </row>
    <row r="2" spans="1:2">
      <c r="A2" s="1" t="s">
        <v>2</v>
      </c>
      <c r="B2" t="s">
        <v>3</v>
      </c>
    </row>
    <row r="3" spans="1:2">
      <c r="A3" s="1" t="s">
        <v>4</v>
      </c>
      <c r="B3" s="2">
        <v>1200000.8500000001</v>
      </c>
    </row>
    <row r="4" spans="1:2">
      <c r="A4" s="1" t="s">
        <v>5</v>
      </c>
      <c r="B4" s="3">
        <v>45810</v>
      </c>
    </row>
    <row r="5" spans="1:2">
      <c r="A5" s="1" t="s">
        <v>6</v>
      </c>
      <c r="B5" s="3">
        <v>46174</v>
      </c>
    </row>
    <row r="6" spans="1:2">
      <c r="A6" s="1" t="s">
        <v>7</v>
      </c>
      <c r="B6" t="s">
        <v>8</v>
      </c>
    </row>
    <row r="7" spans="1:2">
      <c r="A7" s="1" t="s">
        <v>9</v>
      </c>
      <c r="B7" s="4" t="s">
        <v>10</v>
      </c>
    </row>
    <row r="8" spans="1:2">
      <c r="A8" s="1" t="s">
        <v>11</v>
      </c>
      <c r="B8" t="s">
        <v>12</v>
      </c>
    </row>
    <row r="9" spans="1:2">
      <c r="A9"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49C1-5086-404A-9D28-790DEC6F8424}">
  <dimension ref="A1:J13"/>
  <sheetViews>
    <sheetView topLeftCell="C5" zoomScale="80" zoomScaleNormal="80" workbookViewId="0">
      <selection activeCell="J7" sqref="J7"/>
    </sheetView>
  </sheetViews>
  <sheetFormatPr defaultRowHeight="15" customHeight="1"/>
  <cols>
    <col min="1" max="1" width="20.140625" customWidth="1"/>
    <col min="2" max="2" width="37.28515625" customWidth="1"/>
    <col min="3" max="3" width="26" customWidth="1"/>
    <col min="4" max="4" width="38" customWidth="1"/>
    <col min="5" max="5" width="11.7109375" customWidth="1"/>
    <col min="6" max="6" width="16" customWidth="1"/>
    <col min="7" max="7" width="13" customWidth="1"/>
    <col min="8" max="8" width="14.85546875" customWidth="1"/>
    <col min="9" max="9" width="24.28515625" style="8" customWidth="1"/>
    <col min="10" max="10" width="35.7109375" style="8" customWidth="1"/>
  </cols>
  <sheetData>
    <row r="1" spans="1:10">
      <c r="A1" s="5" t="s">
        <v>14</v>
      </c>
      <c r="B1" s="5" t="s">
        <v>15</v>
      </c>
      <c r="C1" s="5" t="s">
        <v>16</v>
      </c>
      <c r="D1" s="5" t="s">
        <v>17</v>
      </c>
      <c r="E1" s="5" t="s">
        <v>18</v>
      </c>
      <c r="F1" s="5" t="s">
        <v>19</v>
      </c>
      <c r="G1" s="5" t="s">
        <v>20</v>
      </c>
      <c r="H1" s="5" t="s">
        <v>21</v>
      </c>
      <c r="I1" s="93" t="s">
        <v>22</v>
      </c>
    </row>
    <row r="2" spans="1:10" ht="36" customHeight="1">
      <c r="A2" s="157" t="s">
        <v>23</v>
      </c>
      <c r="B2" s="6" t="s">
        <v>24</v>
      </c>
      <c r="C2" s="158" t="s">
        <v>25</v>
      </c>
      <c r="D2" s="158" t="s">
        <v>26</v>
      </c>
      <c r="E2" s="159">
        <v>180000</v>
      </c>
      <c r="F2" s="160"/>
      <c r="G2" s="160">
        <v>206720</v>
      </c>
      <c r="H2" s="163" t="s">
        <v>27</v>
      </c>
      <c r="I2" s="153" t="s">
        <v>28</v>
      </c>
    </row>
    <row r="3" spans="1:10" ht="71.25" customHeight="1">
      <c r="A3" s="157"/>
      <c r="B3" s="6" t="s">
        <v>29</v>
      </c>
      <c r="C3" s="158"/>
      <c r="D3" s="158"/>
      <c r="E3" s="159"/>
      <c r="F3" s="161"/>
      <c r="G3" s="161"/>
      <c r="H3" s="163"/>
      <c r="I3" s="153"/>
    </row>
    <row r="4" spans="1:10" ht="35.25" customHeight="1">
      <c r="A4" s="157"/>
      <c r="B4" s="6" t="s">
        <v>30</v>
      </c>
      <c r="C4" s="158"/>
      <c r="D4" s="158"/>
      <c r="E4" s="159"/>
      <c r="F4" s="161"/>
      <c r="G4" s="161"/>
      <c r="H4" s="163"/>
      <c r="I4" s="153"/>
    </row>
    <row r="5" spans="1:10" ht="62.25" customHeight="1">
      <c r="A5" s="157"/>
      <c r="B5" s="6" t="s">
        <v>31</v>
      </c>
      <c r="C5" s="158"/>
      <c r="D5" s="158"/>
      <c r="E5" s="159"/>
      <c r="F5" s="162"/>
      <c r="G5" s="161"/>
      <c r="H5" s="163"/>
      <c r="I5" s="153"/>
    </row>
    <row r="6" spans="1:10" ht="116.25" customHeight="1">
      <c r="A6" s="157"/>
      <c r="B6" s="6" t="s">
        <v>32</v>
      </c>
      <c r="C6" s="158" t="s">
        <v>33</v>
      </c>
      <c r="D6" s="13" t="s">
        <v>34</v>
      </c>
      <c r="E6" s="7">
        <v>1000</v>
      </c>
      <c r="F6" s="27"/>
      <c r="G6" s="26">
        <v>1100</v>
      </c>
      <c r="H6" s="50" t="s">
        <v>27</v>
      </c>
      <c r="I6" s="8" t="s">
        <v>35</v>
      </c>
      <c r="J6" s="8" t="s">
        <v>36</v>
      </c>
    </row>
    <row r="7" spans="1:10" ht="65.25" customHeight="1">
      <c r="A7" s="157"/>
      <c r="B7" s="6" t="s">
        <v>37</v>
      </c>
      <c r="C7" s="158"/>
      <c r="D7" s="6" t="s">
        <v>38</v>
      </c>
      <c r="E7" s="7">
        <v>1000</v>
      </c>
      <c r="F7" s="7"/>
      <c r="G7" s="28">
        <v>1100</v>
      </c>
      <c r="H7" s="49"/>
      <c r="I7" s="8" t="s">
        <v>35</v>
      </c>
      <c r="J7" s="139">
        <v>1155</v>
      </c>
    </row>
    <row r="8" spans="1:10" ht="66" customHeight="1">
      <c r="A8" s="157"/>
      <c r="B8" s="6" t="s">
        <v>39</v>
      </c>
      <c r="C8" s="158"/>
      <c r="D8" s="164" t="s">
        <v>40</v>
      </c>
      <c r="E8" s="166">
        <v>150000</v>
      </c>
      <c r="F8" s="160"/>
      <c r="G8" s="160"/>
      <c r="H8" s="155"/>
      <c r="I8" s="154" t="s">
        <v>41</v>
      </c>
      <c r="J8" s="8" t="s">
        <v>42</v>
      </c>
    </row>
    <row r="9" spans="1:10" ht="38.25" customHeight="1">
      <c r="A9" s="157"/>
      <c r="B9" s="6" t="s">
        <v>43</v>
      </c>
      <c r="C9" s="158"/>
      <c r="D9" s="165"/>
      <c r="E9" s="167"/>
      <c r="F9" s="162"/>
      <c r="G9" s="162"/>
      <c r="H9" s="156"/>
      <c r="I9" s="154"/>
    </row>
    <row r="10" spans="1:10" ht="15" customHeight="1">
      <c r="G10" s="152">
        <v>183600</v>
      </c>
    </row>
    <row r="11" spans="1:10" ht="15" customHeight="1">
      <c r="E11" s="150">
        <f>104*1155</f>
        <v>120120</v>
      </c>
      <c r="F11" s="152">
        <v>101918.49</v>
      </c>
      <c r="G11" s="149">
        <f>SUM(E11:F11)</f>
        <v>222038.49</v>
      </c>
    </row>
    <row r="12" spans="1:10" ht="15" customHeight="1">
      <c r="G12" s="152">
        <f>G11-G10</f>
        <v>38438.489999999991</v>
      </c>
    </row>
    <row r="13" spans="1:10" ht="15" customHeight="1">
      <c r="E13" s="151">
        <f>E8-E11</f>
        <v>29880</v>
      </c>
    </row>
  </sheetData>
  <mergeCells count="15">
    <mergeCell ref="I2:I5"/>
    <mergeCell ref="I8:I9"/>
    <mergeCell ref="H8:H9"/>
    <mergeCell ref="A2:A9"/>
    <mergeCell ref="C2:C5"/>
    <mergeCell ref="D2:D5"/>
    <mergeCell ref="E2:E5"/>
    <mergeCell ref="F2:F5"/>
    <mergeCell ref="H2:H5"/>
    <mergeCell ref="C6:C9"/>
    <mergeCell ref="D8:D9"/>
    <mergeCell ref="E8:E9"/>
    <mergeCell ref="F8:F9"/>
    <mergeCell ref="G8:G9"/>
    <mergeCell ref="G2:G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1EBB-8E37-46EC-A09E-92391AA8CD17}">
  <sheetPr filterMode="1"/>
  <dimension ref="A1:AY107"/>
  <sheetViews>
    <sheetView tabSelected="1" workbookViewId="0">
      <pane ySplit="1" topLeftCell="E34" activePane="bottomLeft" state="frozen"/>
      <selection pane="bottomLeft" activeCell="O54" sqref="O54"/>
    </sheetView>
  </sheetViews>
  <sheetFormatPr defaultRowHeight="15"/>
  <cols>
    <col min="1" max="1" width="32.28515625" customWidth="1"/>
    <col min="2" max="2" width="28.28515625" style="17" customWidth="1"/>
    <col min="3" max="3" width="23" style="18" customWidth="1"/>
    <col min="4" max="4" width="35.28515625" customWidth="1"/>
    <col min="5" max="5" width="15" customWidth="1"/>
    <col min="6" max="6" width="11.5703125" style="18" customWidth="1"/>
    <col min="7" max="7" width="14.7109375" customWidth="1"/>
    <col min="8" max="8" width="33.7109375" style="18" customWidth="1"/>
    <col min="9" max="9" width="15.140625" customWidth="1"/>
    <col min="10" max="10" width="17.5703125" customWidth="1"/>
    <col min="11" max="11" width="20.85546875" customWidth="1"/>
    <col min="12" max="12" width="18.85546875" customWidth="1"/>
    <col min="13" max="13" width="22.42578125" customWidth="1"/>
    <col min="14" max="14" width="19.5703125" customWidth="1"/>
    <col min="15" max="15" width="20.140625" customWidth="1"/>
    <col min="16" max="16" width="19.7109375" style="9" customWidth="1"/>
    <col min="17" max="17" width="16.85546875" customWidth="1"/>
    <col min="18" max="18" width="19.85546875" customWidth="1"/>
  </cols>
  <sheetData>
    <row r="1" spans="1:26" ht="63" customHeight="1">
      <c r="A1" s="65" t="s">
        <v>44</v>
      </c>
      <c r="B1" s="66" t="s">
        <v>45</v>
      </c>
      <c r="C1" s="77" t="s">
        <v>46</v>
      </c>
      <c r="D1" s="67" t="s">
        <v>47</v>
      </c>
      <c r="E1" s="68" t="s">
        <v>48</v>
      </c>
      <c r="F1" s="65" t="s">
        <v>49</v>
      </c>
      <c r="G1" s="65" t="s">
        <v>50</v>
      </c>
      <c r="H1" s="65" t="s">
        <v>51</v>
      </c>
      <c r="I1" s="65" t="s">
        <v>52</v>
      </c>
      <c r="J1" s="68" t="s">
        <v>53</v>
      </c>
      <c r="K1" s="65" t="s">
        <v>54</v>
      </c>
      <c r="L1" s="65" t="s">
        <v>55</v>
      </c>
      <c r="M1" s="65" t="s">
        <v>56</v>
      </c>
      <c r="N1" s="65" t="s">
        <v>57</v>
      </c>
      <c r="O1" s="65" t="s">
        <v>58</v>
      </c>
      <c r="P1" s="69" t="s">
        <v>59</v>
      </c>
      <c r="Q1" s="70" t="s">
        <v>60</v>
      </c>
      <c r="R1" s="70" t="s">
        <v>61</v>
      </c>
    </row>
    <row r="2" spans="1:26" ht="63" hidden="1" customHeight="1">
      <c r="A2" s="58" t="s">
        <v>62</v>
      </c>
      <c r="B2" s="56" t="s">
        <v>63</v>
      </c>
      <c r="C2" s="91" t="s">
        <v>64</v>
      </c>
      <c r="D2" s="24" t="s">
        <v>65</v>
      </c>
      <c r="E2" s="71">
        <v>57</v>
      </c>
      <c r="F2" s="19">
        <v>0.7</v>
      </c>
      <c r="G2" s="58" t="s">
        <v>66</v>
      </c>
      <c r="H2" s="63" t="s">
        <v>67</v>
      </c>
      <c r="I2" s="24">
        <v>46</v>
      </c>
      <c r="J2" s="24">
        <v>8</v>
      </c>
      <c r="K2" s="24">
        <f>E2*J2</f>
        <v>456</v>
      </c>
      <c r="L2" s="24">
        <f>K2*1000</f>
        <v>456000</v>
      </c>
      <c r="M2" s="24">
        <f>L2/50</f>
        <v>9120</v>
      </c>
      <c r="N2" s="24">
        <f>M2*0.4</f>
        <v>3648</v>
      </c>
      <c r="O2" s="24">
        <f>M2*0.6</f>
        <v>5472</v>
      </c>
      <c r="P2" s="24">
        <v>0</v>
      </c>
      <c r="Q2" s="25">
        <v>46034</v>
      </c>
      <c r="R2" s="25">
        <v>46034</v>
      </c>
    </row>
    <row r="3" spans="1:26" ht="75.75" hidden="1" customHeight="1">
      <c r="A3" s="58" t="s">
        <v>68</v>
      </c>
      <c r="B3" s="72" t="s">
        <v>69</v>
      </c>
      <c r="C3" s="91" t="s">
        <v>64</v>
      </c>
      <c r="D3" s="24" t="s">
        <v>70</v>
      </c>
      <c r="E3" s="19">
        <v>55</v>
      </c>
      <c r="F3" s="19">
        <v>0.9</v>
      </c>
      <c r="G3" s="58" t="s">
        <v>66</v>
      </c>
      <c r="H3" s="63" t="s">
        <v>67</v>
      </c>
      <c r="I3" s="24">
        <v>46</v>
      </c>
      <c r="J3" s="24">
        <v>8</v>
      </c>
      <c r="K3" s="24">
        <f>E3*J3</f>
        <v>440</v>
      </c>
      <c r="L3" s="24">
        <f>K3*1000</f>
        <v>440000</v>
      </c>
      <c r="M3" s="24">
        <f>L3/50</f>
        <v>8800</v>
      </c>
      <c r="N3" s="24">
        <f>M3*0.65</f>
        <v>5720</v>
      </c>
      <c r="O3" s="24">
        <f>M3*0.35</f>
        <v>3080</v>
      </c>
      <c r="P3" s="24">
        <v>0</v>
      </c>
      <c r="Q3" s="25">
        <v>46034</v>
      </c>
      <c r="R3" s="25">
        <v>46034</v>
      </c>
    </row>
    <row r="4" spans="1:26" ht="69.75" hidden="1" customHeight="1">
      <c r="A4" s="58" t="s">
        <v>71</v>
      </c>
      <c r="B4" s="56" t="s">
        <v>72</v>
      </c>
      <c r="C4" s="91" t="s">
        <v>64</v>
      </c>
      <c r="D4" s="24" t="s">
        <v>73</v>
      </c>
      <c r="E4" s="71">
        <v>46</v>
      </c>
      <c r="F4" s="19">
        <v>0.74</v>
      </c>
      <c r="G4" s="58" t="s">
        <v>74</v>
      </c>
      <c r="H4" s="63" t="s">
        <v>67</v>
      </c>
      <c r="I4" s="24">
        <v>40</v>
      </c>
      <c r="J4" s="24">
        <v>8</v>
      </c>
      <c r="K4" s="24">
        <f t="shared" ref="K4:K38" si="0">E4*J4</f>
        <v>368</v>
      </c>
      <c r="L4" s="24">
        <f t="shared" ref="L4:L38" si="1">K4*1000</f>
        <v>368000</v>
      </c>
      <c r="M4" s="24">
        <f t="shared" ref="M4:M37" si="2">L4/50</f>
        <v>7360</v>
      </c>
      <c r="N4" s="24">
        <f t="shared" ref="N4:N38" si="3">M4*0.4</f>
        <v>2944</v>
      </c>
      <c r="O4" s="24">
        <f t="shared" ref="O4:O38" si="4">M4*0.6</f>
        <v>4416</v>
      </c>
      <c r="P4" s="24">
        <v>0</v>
      </c>
      <c r="Q4" s="25">
        <v>46034</v>
      </c>
      <c r="R4" s="25">
        <v>46034</v>
      </c>
    </row>
    <row r="5" spans="1:26" ht="81.75" hidden="1" customHeight="1">
      <c r="A5" s="56" t="s">
        <v>75</v>
      </c>
      <c r="B5" s="56" t="s">
        <v>76</v>
      </c>
      <c r="C5" s="91" t="s">
        <v>64</v>
      </c>
      <c r="D5" s="24" t="s">
        <v>77</v>
      </c>
      <c r="E5" s="71">
        <v>28</v>
      </c>
      <c r="F5" s="19">
        <v>0.67</v>
      </c>
      <c r="G5" s="58" t="s">
        <v>78</v>
      </c>
      <c r="H5" s="63" t="s">
        <v>67</v>
      </c>
      <c r="I5" s="24">
        <v>30</v>
      </c>
      <c r="J5" s="24">
        <v>8</v>
      </c>
      <c r="K5" s="24">
        <f t="shared" si="0"/>
        <v>224</v>
      </c>
      <c r="L5" s="24">
        <f t="shared" si="1"/>
        <v>224000</v>
      </c>
      <c r="M5" s="24">
        <f t="shared" si="2"/>
        <v>4480</v>
      </c>
      <c r="N5" s="24">
        <f t="shared" si="3"/>
        <v>1792</v>
      </c>
      <c r="O5" s="24">
        <f t="shared" si="4"/>
        <v>2688</v>
      </c>
      <c r="P5" s="24">
        <v>48</v>
      </c>
      <c r="Q5" s="25">
        <v>46034</v>
      </c>
      <c r="R5" s="25">
        <v>46034</v>
      </c>
    </row>
    <row r="6" spans="1:26" ht="58.5" hidden="1" customHeight="1">
      <c r="A6" s="56" t="s">
        <v>79</v>
      </c>
      <c r="B6" s="56" t="s">
        <v>80</v>
      </c>
      <c r="C6" s="91" t="s">
        <v>64</v>
      </c>
      <c r="D6" s="24" t="s">
        <v>81</v>
      </c>
      <c r="E6" s="71">
        <v>26</v>
      </c>
      <c r="F6" s="19">
        <v>0.92</v>
      </c>
      <c r="G6" s="58" t="s">
        <v>82</v>
      </c>
      <c r="H6" s="63" t="s">
        <v>67</v>
      </c>
      <c r="I6" s="24">
        <v>30</v>
      </c>
      <c r="J6" s="24">
        <v>8</v>
      </c>
      <c r="K6" s="24">
        <f t="shared" si="0"/>
        <v>208</v>
      </c>
      <c r="L6" s="24">
        <f t="shared" si="1"/>
        <v>208000</v>
      </c>
      <c r="M6" s="24">
        <f t="shared" si="2"/>
        <v>4160</v>
      </c>
      <c r="N6" s="24">
        <f t="shared" si="3"/>
        <v>1664</v>
      </c>
      <c r="O6" s="24">
        <f t="shared" si="4"/>
        <v>2496</v>
      </c>
      <c r="P6" s="24">
        <v>70</v>
      </c>
      <c r="Q6" s="25">
        <v>46034</v>
      </c>
      <c r="R6" s="25">
        <v>46034</v>
      </c>
    </row>
    <row r="7" spans="1:26" ht="63" hidden="1" customHeight="1">
      <c r="A7" s="58" t="s">
        <v>83</v>
      </c>
      <c r="B7" s="56" t="s">
        <v>84</v>
      </c>
      <c r="C7" s="91" t="s">
        <v>64</v>
      </c>
      <c r="D7" s="24" t="s">
        <v>85</v>
      </c>
      <c r="E7" s="60">
        <v>43</v>
      </c>
      <c r="F7" s="61">
        <v>1.2</v>
      </c>
      <c r="G7" s="58" t="s">
        <v>82</v>
      </c>
      <c r="H7" s="63" t="s">
        <v>67</v>
      </c>
      <c r="I7" s="24">
        <v>30</v>
      </c>
      <c r="J7" s="24">
        <v>8</v>
      </c>
      <c r="K7" s="24">
        <f t="shared" si="0"/>
        <v>344</v>
      </c>
      <c r="L7" s="24">
        <f t="shared" si="1"/>
        <v>344000</v>
      </c>
      <c r="M7" s="24">
        <f t="shared" si="2"/>
        <v>6880</v>
      </c>
      <c r="N7" s="24">
        <f t="shared" si="3"/>
        <v>2752</v>
      </c>
      <c r="O7" s="24">
        <f t="shared" si="4"/>
        <v>4128</v>
      </c>
      <c r="P7" s="24">
        <v>0</v>
      </c>
      <c r="Q7" s="25">
        <v>46034</v>
      </c>
      <c r="R7" s="25">
        <v>46034</v>
      </c>
    </row>
    <row r="8" spans="1:26" ht="62.25" hidden="1" customHeight="1">
      <c r="A8" s="58" t="s">
        <v>86</v>
      </c>
      <c r="B8" s="56" t="s">
        <v>87</v>
      </c>
      <c r="C8" s="91" t="s">
        <v>64</v>
      </c>
      <c r="D8" s="24" t="s">
        <v>88</v>
      </c>
      <c r="E8" s="60">
        <v>35</v>
      </c>
      <c r="F8" s="61">
        <v>2.2999999999999998</v>
      </c>
      <c r="G8" s="58" t="s">
        <v>82</v>
      </c>
      <c r="H8" s="63" t="s">
        <v>67</v>
      </c>
      <c r="I8" s="24">
        <v>30</v>
      </c>
      <c r="J8" s="24">
        <v>8</v>
      </c>
      <c r="K8" s="24">
        <f t="shared" si="0"/>
        <v>280</v>
      </c>
      <c r="L8" s="24">
        <f t="shared" si="1"/>
        <v>280000</v>
      </c>
      <c r="M8" s="24">
        <f t="shared" si="2"/>
        <v>5600</v>
      </c>
      <c r="N8" s="24">
        <f t="shared" si="3"/>
        <v>2240</v>
      </c>
      <c r="O8" s="24">
        <f t="shared" si="4"/>
        <v>3360</v>
      </c>
      <c r="P8" s="24">
        <v>0</v>
      </c>
      <c r="Q8" s="25">
        <v>46034</v>
      </c>
      <c r="R8" s="25">
        <v>46034</v>
      </c>
    </row>
    <row r="9" spans="1:26" ht="68.25" hidden="1" customHeight="1">
      <c r="A9" s="58" t="s">
        <v>89</v>
      </c>
      <c r="B9" s="56" t="s">
        <v>90</v>
      </c>
      <c r="C9" s="91" t="s">
        <v>64</v>
      </c>
      <c r="D9" s="24" t="s">
        <v>91</v>
      </c>
      <c r="E9" s="60">
        <v>29</v>
      </c>
      <c r="F9" s="61">
        <v>0.88</v>
      </c>
      <c r="G9" s="58" t="s">
        <v>82</v>
      </c>
      <c r="H9" s="63" t="s">
        <v>67</v>
      </c>
      <c r="I9" s="24">
        <v>30</v>
      </c>
      <c r="J9" s="24">
        <v>8</v>
      </c>
      <c r="K9" s="24">
        <f t="shared" si="0"/>
        <v>232</v>
      </c>
      <c r="L9" s="24">
        <f t="shared" si="1"/>
        <v>232000</v>
      </c>
      <c r="M9" s="24">
        <f t="shared" si="2"/>
        <v>4640</v>
      </c>
      <c r="N9" s="24">
        <f t="shared" si="3"/>
        <v>1856</v>
      </c>
      <c r="O9" s="24">
        <f t="shared" si="4"/>
        <v>2784</v>
      </c>
      <c r="P9" s="24">
        <v>0</v>
      </c>
      <c r="Q9" s="25">
        <v>46034</v>
      </c>
      <c r="R9" s="25">
        <v>46034</v>
      </c>
      <c r="Z9">
        <v>0</v>
      </c>
    </row>
    <row r="10" spans="1:26" ht="63.75" hidden="1" customHeight="1">
      <c r="A10" s="58" t="s">
        <v>92</v>
      </c>
      <c r="B10" s="56" t="s">
        <v>93</v>
      </c>
      <c r="C10" s="91" t="s">
        <v>64</v>
      </c>
      <c r="D10" s="24" t="s">
        <v>94</v>
      </c>
      <c r="E10" s="60">
        <v>41</v>
      </c>
      <c r="F10" s="61">
        <v>0.67</v>
      </c>
      <c r="G10" s="58" t="s">
        <v>82</v>
      </c>
      <c r="H10" s="63" t="s">
        <v>67</v>
      </c>
      <c r="I10" s="24">
        <v>30</v>
      </c>
      <c r="J10" s="24">
        <v>8</v>
      </c>
      <c r="K10" s="24">
        <f t="shared" si="0"/>
        <v>328</v>
      </c>
      <c r="L10" s="24">
        <f t="shared" si="1"/>
        <v>328000</v>
      </c>
      <c r="M10" s="24">
        <f t="shared" si="2"/>
        <v>6560</v>
      </c>
      <c r="N10" s="24">
        <f t="shared" si="3"/>
        <v>2624</v>
      </c>
      <c r="O10" s="24">
        <f t="shared" si="4"/>
        <v>3936</v>
      </c>
      <c r="P10" s="24">
        <v>0</v>
      </c>
      <c r="Q10" s="25">
        <v>46034</v>
      </c>
      <c r="R10" s="25">
        <v>46034</v>
      </c>
    </row>
    <row r="11" spans="1:26" ht="81.75" hidden="1" customHeight="1">
      <c r="A11" s="58" t="s">
        <v>92</v>
      </c>
      <c r="B11" s="56" t="s">
        <v>95</v>
      </c>
      <c r="C11" s="91" t="s">
        <v>64</v>
      </c>
      <c r="D11" s="24" t="s">
        <v>96</v>
      </c>
      <c r="E11" s="60">
        <v>37</v>
      </c>
      <c r="F11" s="61">
        <v>3.6</v>
      </c>
      <c r="G11" s="58" t="s">
        <v>82</v>
      </c>
      <c r="H11" s="63" t="s">
        <v>67</v>
      </c>
      <c r="I11" s="24">
        <v>30</v>
      </c>
      <c r="J11" s="24">
        <v>8</v>
      </c>
      <c r="K11" s="24">
        <f t="shared" si="0"/>
        <v>296</v>
      </c>
      <c r="L11" s="24">
        <f t="shared" si="1"/>
        <v>296000</v>
      </c>
      <c r="M11" s="24">
        <f t="shared" si="2"/>
        <v>5920</v>
      </c>
      <c r="N11" s="24">
        <f t="shared" si="3"/>
        <v>2368</v>
      </c>
      <c r="O11" s="24">
        <f t="shared" si="4"/>
        <v>3552</v>
      </c>
      <c r="P11" s="24">
        <v>48</v>
      </c>
      <c r="Q11" s="25">
        <v>46034</v>
      </c>
      <c r="R11" s="25">
        <v>46034</v>
      </c>
    </row>
    <row r="12" spans="1:26" ht="112.5" hidden="1" customHeight="1">
      <c r="A12" s="58" t="s">
        <v>97</v>
      </c>
      <c r="B12" s="56" t="s">
        <v>98</v>
      </c>
      <c r="C12" s="91" t="s">
        <v>64</v>
      </c>
      <c r="D12" s="24" t="s">
        <v>99</v>
      </c>
      <c r="E12" s="60">
        <v>40</v>
      </c>
      <c r="F12" s="61">
        <v>1.2</v>
      </c>
      <c r="G12" s="58" t="s">
        <v>82</v>
      </c>
      <c r="H12" s="63" t="s">
        <v>67</v>
      </c>
      <c r="I12" s="24">
        <v>30</v>
      </c>
      <c r="J12" s="24">
        <v>8</v>
      </c>
      <c r="K12" s="24">
        <f t="shared" si="0"/>
        <v>320</v>
      </c>
      <c r="L12" s="24">
        <f t="shared" si="1"/>
        <v>320000</v>
      </c>
      <c r="M12" s="24">
        <f t="shared" si="2"/>
        <v>6400</v>
      </c>
      <c r="N12" s="24">
        <f t="shared" si="3"/>
        <v>2560</v>
      </c>
      <c r="O12" s="24">
        <f t="shared" si="4"/>
        <v>3840</v>
      </c>
      <c r="P12" s="24">
        <v>0</v>
      </c>
      <c r="Q12" s="25">
        <v>46034</v>
      </c>
      <c r="R12" s="25">
        <v>46034</v>
      </c>
    </row>
    <row r="13" spans="1:26" ht="75.75" hidden="1" customHeight="1">
      <c r="A13" s="73" t="s">
        <v>100</v>
      </c>
      <c r="B13" s="56" t="s">
        <v>101</v>
      </c>
      <c r="C13" s="91" t="s">
        <v>64</v>
      </c>
      <c r="D13" s="24" t="s">
        <v>102</v>
      </c>
      <c r="E13" s="60">
        <v>32</v>
      </c>
      <c r="F13" s="61">
        <v>0.78</v>
      </c>
      <c r="G13" s="58" t="s">
        <v>78</v>
      </c>
      <c r="H13" s="63" t="s">
        <v>67</v>
      </c>
      <c r="I13" s="24">
        <v>19</v>
      </c>
      <c r="J13" s="24">
        <v>8</v>
      </c>
      <c r="K13" s="24">
        <f t="shared" si="0"/>
        <v>256</v>
      </c>
      <c r="L13" s="24">
        <f t="shared" si="1"/>
        <v>256000</v>
      </c>
      <c r="M13" s="24">
        <f t="shared" si="2"/>
        <v>5120</v>
      </c>
      <c r="N13" s="24">
        <f t="shared" si="3"/>
        <v>2048</v>
      </c>
      <c r="O13" s="24">
        <f t="shared" si="4"/>
        <v>3072</v>
      </c>
      <c r="P13" s="24">
        <v>0</v>
      </c>
      <c r="Q13" s="25">
        <v>46034</v>
      </c>
      <c r="R13" s="25">
        <v>46034</v>
      </c>
    </row>
    <row r="14" spans="1:26" ht="99" hidden="1" customHeight="1">
      <c r="A14" s="58" t="s">
        <v>103</v>
      </c>
      <c r="B14" s="56" t="s">
        <v>104</v>
      </c>
      <c r="C14" s="91" t="s">
        <v>64</v>
      </c>
      <c r="D14" s="24" t="s">
        <v>105</v>
      </c>
      <c r="E14" s="60">
        <v>34</v>
      </c>
      <c r="F14" s="61">
        <v>0.9</v>
      </c>
      <c r="G14" s="58" t="s">
        <v>78</v>
      </c>
      <c r="H14" s="63" t="s">
        <v>67</v>
      </c>
      <c r="I14" s="24">
        <v>19</v>
      </c>
      <c r="J14" s="24">
        <v>8</v>
      </c>
      <c r="K14" s="24">
        <f t="shared" si="0"/>
        <v>272</v>
      </c>
      <c r="L14" s="24">
        <f t="shared" si="1"/>
        <v>272000</v>
      </c>
      <c r="M14" s="24">
        <f t="shared" si="2"/>
        <v>5440</v>
      </c>
      <c r="N14" s="24">
        <f t="shared" si="3"/>
        <v>2176</v>
      </c>
      <c r="O14" s="24">
        <f t="shared" si="4"/>
        <v>3264</v>
      </c>
      <c r="P14" s="24">
        <v>48</v>
      </c>
      <c r="Q14" s="25">
        <v>46034</v>
      </c>
      <c r="R14" s="25">
        <v>46034</v>
      </c>
    </row>
    <row r="15" spans="1:26" ht="84" hidden="1" customHeight="1">
      <c r="A15" s="58" t="s">
        <v>106</v>
      </c>
      <c r="B15" s="56" t="s">
        <v>107</v>
      </c>
      <c r="C15" s="91" t="s">
        <v>64</v>
      </c>
      <c r="D15" s="24" t="s">
        <v>108</v>
      </c>
      <c r="E15" s="60">
        <v>35</v>
      </c>
      <c r="F15" s="61">
        <v>1.1000000000000001</v>
      </c>
      <c r="G15" s="58" t="s">
        <v>78</v>
      </c>
      <c r="H15" s="63" t="s">
        <v>67</v>
      </c>
      <c r="I15" s="24">
        <v>19</v>
      </c>
      <c r="J15" s="24">
        <v>8</v>
      </c>
      <c r="K15" s="24">
        <f t="shared" si="0"/>
        <v>280</v>
      </c>
      <c r="L15" s="24">
        <f t="shared" si="1"/>
        <v>280000</v>
      </c>
      <c r="M15" s="24">
        <f t="shared" si="2"/>
        <v>5600</v>
      </c>
      <c r="N15" s="24">
        <f t="shared" si="3"/>
        <v>2240</v>
      </c>
      <c r="O15" s="24">
        <f t="shared" si="4"/>
        <v>3360</v>
      </c>
      <c r="P15" s="24">
        <v>39</v>
      </c>
      <c r="Q15" s="25">
        <v>46034</v>
      </c>
      <c r="R15" s="25">
        <v>46034</v>
      </c>
    </row>
    <row r="16" spans="1:26" ht="78.75" hidden="1" customHeight="1">
      <c r="A16" s="58" t="s">
        <v>106</v>
      </c>
      <c r="B16" s="56" t="s">
        <v>109</v>
      </c>
      <c r="C16" s="91" t="s">
        <v>64</v>
      </c>
      <c r="D16" s="24" t="s">
        <v>110</v>
      </c>
      <c r="E16" s="60">
        <v>32</v>
      </c>
      <c r="F16" s="61">
        <v>0.67</v>
      </c>
      <c r="G16" s="58" t="s">
        <v>78</v>
      </c>
      <c r="H16" s="63" t="s">
        <v>67</v>
      </c>
      <c r="I16" s="24">
        <v>19</v>
      </c>
      <c r="J16" s="24">
        <v>8</v>
      </c>
      <c r="K16" s="24">
        <f t="shared" si="0"/>
        <v>256</v>
      </c>
      <c r="L16" s="24">
        <f t="shared" si="1"/>
        <v>256000</v>
      </c>
      <c r="M16" s="24">
        <f t="shared" si="2"/>
        <v>5120</v>
      </c>
      <c r="N16" s="24">
        <f t="shared" si="3"/>
        <v>2048</v>
      </c>
      <c r="O16" s="24">
        <f t="shared" si="4"/>
        <v>3072</v>
      </c>
      <c r="P16" s="24">
        <v>0</v>
      </c>
      <c r="Q16" s="25">
        <v>46034</v>
      </c>
      <c r="R16" s="25">
        <v>46034</v>
      </c>
    </row>
    <row r="17" spans="1:25" ht="80.25" hidden="1" customHeight="1">
      <c r="A17" s="58" t="s">
        <v>111</v>
      </c>
      <c r="B17" s="56" t="s">
        <v>112</v>
      </c>
      <c r="C17" s="91" t="s">
        <v>64</v>
      </c>
      <c r="D17" s="24" t="s">
        <v>113</v>
      </c>
      <c r="E17" s="60">
        <v>38</v>
      </c>
      <c r="F17" s="61">
        <v>2.2999999999999998</v>
      </c>
      <c r="G17" s="58" t="s">
        <v>78</v>
      </c>
      <c r="H17" s="63" t="s">
        <v>67</v>
      </c>
      <c r="I17" s="24">
        <v>19</v>
      </c>
      <c r="J17" s="24">
        <v>8</v>
      </c>
      <c r="K17" s="24">
        <f t="shared" si="0"/>
        <v>304</v>
      </c>
      <c r="L17" s="24">
        <f t="shared" si="1"/>
        <v>304000</v>
      </c>
      <c r="M17" s="24">
        <f t="shared" si="2"/>
        <v>6080</v>
      </c>
      <c r="N17" s="24">
        <f t="shared" si="3"/>
        <v>2432</v>
      </c>
      <c r="O17" s="24">
        <f t="shared" si="4"/>
        <v>3648</v>
      </c>
      <c r="P17" s="24">
        <v>37</v>
      </c>
      <c r="Q17" s="25">
        <v>46034</v>
      </c>
      <c r="R17" s="25">
        <v>46034</v>
      </c>
    </row>
    <row r="18" spans="1:25" ht="86.25" hidden="1" customHeight="1">
      <c r="A18" s="58" t="s">
        <v>106</v>
      </c>
      <c r="B18" s="56" t="s">
        <v>114</v>
      </c>
      <c r="C18" s="91" t="s">
        <v>64</v>
      </c>
      <c r="D18" s="24" t="s">
        <v>115</v>
      </c>
      <c r="E18" s="60">
        <v>35</v>
      </c>
      <c r="F18" s="61">
        <v>4.5</v>
      </c>
      <c r="G18" s="58" t="s">
        <v>78</v>
      </c>
      <c r="H18" s="63" t="s">
        <v>67</v>
      </c>
      <c r="I18" s="24">
        <v>19</v>
      </c>
      <c r="J18" s="24">
        <v>8</v>
      </c>
      <c r="K18" s="24">
        <f t="shared" si="0"/>
        <v>280</v>
      </c>
      <c r="L18" s="24">
        <f t="shared" si="1"/>
        <v>280000</v>
      </c>
      <c r="M18" s="24">
        <f t="shared" si="2"/>
        <v>5600</v>
      </c>
      <c r="N18" s="24">
        <f t="shared" si="3"/>
        <v>2240</v>
      </c>
      <c r="O18" s="24">
        <f t="shared" si="4"/>
        <v>3360</v>
      </c>
      <c r="P18" s="24">
        <v>52</v>
      </c>
      <c r="Q18" s="25">
        <v>46034</v>
      </c>
      <c r="R18" s="25">
        <v>46034</v>
      </c>
    </row>
    <row r="19" spans="1:25" ht="95.25" hidden="1" customHeight="1">
      <c r="A19" s="56" t="s">
        <v>106</v>
      </c>
      <c r="B19" s="56" t="s">
        <v>116</v>
      </c>
      <c r="C19" s="91" t="s">
        <v>64</v>
      </c>
      <c r="D19" s="24" t="s">
        <v>117</v>
      </c>
      <c r="E19" s="60">
        <v>29</v>
      </c>
      <c r="F19" s="61">
        <v>0.9</v>
      </c>
      <c r="G19" s="58" t="s">
        <v>78</v>
      </c>
      <c r="H19" s="63" t="s">
        <v>67</v>
      </c>
      <c r="I19" s="24">
        <v>19</v>
      </c>
      <c r="J19" s="24">
        <v>8</v>
      </c>
      <c r="K19" s="24">
        <f t="shared" si="0"/>
        <v>232</v>
      </c>
      <c r="L19" s="24">
        <f t="shared" si="1"/>
        <v>232000</v>
      </c>
      <c r="M19" s="24">
        <f t="shared" si="2"/>
        <v>4640</v>
      </c>
      <c r="N19" s="24">
        <f t="shared" si="3"/>
        <v>1856</v>
      </c>
      <c r="O19" s="24">
        <f t="shared" si="4"/>
        <v>2784</v>
      </c>
      <c r="P19" s="24">
        <v>60</v>
      </c>
      <c r="Q19" s="25">
        <v>46034</v>
      </c>
      <c r="R19" s="25">
        <v>46034</v>
      </c>
    </row>
    <row r="20" spans="1:25" ht="90.75" hidden="1" customHeight="1">
      <c r="A20" s="56" t="s">
        <v>106</v>
      </c>
      <c r="B20" s="56" t="s">
        <v>118</v>
      </c>
      <c r="C20" s="91" t="s">
        <v>64</v>
      </c>
      <c r="D20" s="24" t="s">
        <v>119</v>
      </c>
      <c r="E20" s="60">
        <v>31</v>
      </c>
      <c r="F20" s="61">
        <v>3.1</v>
      </c>
      <c r="G20" s="58" t="s">
        <v>78</v>
      </c>
      <c r="H20" s="63" t="s">
        <v>67</v>
      </c>
      <c r="I20" s="24">
        <v>19</v>
      </c>
      <c r="J20" s="24">
        <v>8</v>
      </c>
      <c r="K20" s="24">
        <f t="shared" si="0"/>
        <v>248</v>
      </c>
      <c r="L20" s="24">
        <f t="shared" si="1"/>
        <v>248000</v>
      </c>
      <c r="M20" s="24">
        <f t="shared" si="2"/>
        <v>4960</v>
      </c>
      <c r="N20" s="24">
        <f t="shared" si="3"/>
        <v>1984</v>
      </c>
      <c r="O20" s="24">
        <f>M20*0.6</f>
        <v>2976</v>
      </c>
      <c r="P20" s="24">
        <v>37</v>
      </c>
      <c r="Q20" s="25">
        <v>46034</v>
      </c>
      <c r="R20" s="25">
        <v>46034</v>
      </c>
    </row>
    <row r="21" spans="1:25" ht="81" hidden="1" customHeight="1">
      <c r="A21" s="58" t="s">
        <v>106</v>
      </c>
      <c r="B21" s="56" t="s">
        <v>120</v>
      </c>
      <c r="C21" s="91" t="s">
        <v>64</v>
      </c>
      <c r="D21" s="24" t="s">
        <v>81</v>
      </c>
      <c r="E21" s="60">
        <v>38</v>
      </c>
      <c r="F21" s="61">
        <v>4</v>
      </c>
      <c r="G21" s="58" t="s">
        <v>78</v>
      </c>
      <c r="H21" s="63" t="s">
        <v>67</v>
      </c>
      <c r="I21" s="24">
        <v>19</v>
      </c>
      <c r="J21" s="24">
        <v>8</v>
      </c>
      <c r="K21" s="24">
        <f t="shared" si="0"/>
        <v>304</v>
      </c>
      <c r="L21" s="24">
        <f t="shared" si="1"/>
        <v>304000</v>
      </c>
      <c r="M21" s="24">
        <f t="shared" si="2"/>
        <v>6080</v>
      </c>
      <c r="N21" s="24">
        <f t="shared" si="3"/>
        <v>2432</v>
      </c>
      <c r="O21" s="24">
        <f t="shared" si="4"/>
        <v>3648</v>
      </c>
      <c r="P21" s="24">
        <v>67</v>
      </c>
      <c r="Q21" s="25">
        <v>46034</v>
      </c>
      <c r="R21" s="25">
        <v>46034</v>
      </c>
    </row>
    <row r="22" spans="1:25" ht="82.5" hidden="1" customHeight="1">
      <c r="A22" s="58" t="s">
        <v>111</v>
      </c>
      <c r="B22" s="56" t="s">
        <v>121</v>
      </c>
      <c r="C22" s="91" t="s">
        <v>64</v>
      </c>
      <c r="D22" s="24" t="s">
        <v>122</v>
      </c>
      <c r="E22" s="60">
        <v>36</v>
      </c>
      <c r="F22" s="61">
        <v>1.9</v>
      </c>
      <c r="G22" s="58" t="s">
        <v>78</v>
      </c>
      <c r="H22" s="63" t="s">
        <v>67</v>
      </c>
      <c r="I22" s="24">
        <v>3</v>
      </c>
      <c r="J22" s="24">
        <v>8</v>
      </c>
      <c r="K22" s="24">
        <f t="shared" si="0"/>
        <v>288</v>
      </c>
      <c r="L22" s="24">
        <f t="shared" si="1"/>
        <v>288000</v>
      </c>
      <c r="M22" s="24">
        <f t="shared" si="2"/>
        <v>5760</v>
      </c>
      <c r="N22" s="24">
        <f t="shared" si="3"/>
        <v>2304</v>
      </c>
      <c r="O22" s="24">
        <f t="shared" si="4"/>
        <v>3456</v>
      </c>
      <c r="P22" s="24">
        <v>48</v>
      </c>
      <c r="Q22" s="25">
        <v>46034</v>
      </c>
      <c r="R22" s="25">
        <v>46034</v>
      </c>
    </row>
    <row r="23" spans="1:25" ht="85.5" hidden="1" customHeight="1">
      <c r="A23" s="58" t="s">
        <v>111</v>
      </c>
      <c r="B23" s="56" t="s">
        <v>123</v>
      </c>
      <c r="C23" s="91" t="s">
        <v>64</v>
      </c>
      <c r="D23" s="24" t="s">
        <v>124</v>
      </c>
      <c r="E23" s="60">
        <v>39</v>
      </c>
      <c r="F23" s="61">
        <v>2.1</v>
      </c>
      <c r="G23" s="58" t="s">
        <v>78</v>
      </c>
      <c r="H23" s="63" t="s">
        <v>67</v>
      </c>
      <c r="I23" s="24">
        <v>19</v>
      </c>
      <c r="J23" s="24">
        <v>8</v>
      </c>
      <c r="K23" s="24">
        <f t="shared" si="0"/>
        <v>312</v>
      </c>
      <c r="L23" s="24">
        <f t="shared" si="1"/>
        <v>312000</v>
      </c>
      <c r="M23" s="24">
        <f t="shared" si="2"/>
        <v>6240</v>
      </c>
      <c r="N23" s="24">
        <f t="shared" si="3"/>
        <v>2496</v>
      </c>
      <c r="O23" s="24">
        <f t="shared" si="4"/>
        <v>3744</v>
      </c>
      <c r="P23" s="24">
        <v>63</v>
      </c>
      <c r="Q23" s="25">
        <v>46034</v>
      </c>
      <c r="R23" s="25">
        <v>46034</v>
      </c>
    </row>
    <row r="24" spans="1:25" ht="87" hidden="1" customHeight="1">
      <c r="A24" s="58" t="s">
        <v>111</v>
      </c>
      <c r="B24" s="56" t="s">
        <v>125</v>
      </c>
      <c r="C24" s="91" t="s">
        <v>64</v>
      </c>
      <c r="D24" s="24" t="s">
        <v>126</v>
      </c>
      <c r="E24" s="60">
        <v>33</v>
      </c>
      <c r="F24" s="61">
        <v>0.98</v>
      </c>
      <c r="G24" s="58" t="s">
        <v>78</v>
      </c>
      <c r="H24" s="63" t="s">
        <v>67</v>
      </c>
      <c r="I24" s="24">
        <v>19</v>
      </c>
      <c r="J24" s="24">
        <v>8</v>
      </c>
      <c r="K24" s="24">
        <f t="shared" si="0"/>
        <v>264</v>
      </c>
      <c r="L24" s="24">
        <f t="shared" si="1"/>
        <v>264000</v>
      </c>
      <c r="M24" s="24">
        <f t="shared" si="2"/>
        <v>5280</v>
      </c>
      <c r="N24" s="24">
        <f t="shared" si="3"/>
        <v>2112</v>
      </c>
      <c r="O24" s="24">
        <f t="shared" si="4"/>
        <v>3168</v>
      </c>
      <c r="P24" s="24">
        <v>47</v>
      </c>
      <c r="Q24" s="25">
        <v>46034</v>
      </c>
      <c r="R24" s="25">
        <v>46034</v>
      </c>
    </row>
    <row r="25" spans="1:25" ht="87" hidden="1" customHeight="1">
      <c r="A25" s="58" t="s">
        <v>111</v>
      </c>
      <c r="B25" s="56" t="s">
        <v>127</v>
      </c>
      <c r="C25" s="91" t="s">
        <v>64</v>
      </c>
      <c r="D25" s="24" t="s">
        <v>128</v>
      </c>
      <c r="E25" s="60">
        <v>31</v>
      </c>
      <c r="F25" s="61">
        <v>1.4</v>
      </c>
      <c r="G25" s="58" t="s">
        <v>78</v>
      </c>
      <c r="H25" s="63" t="s">
        <v>67</v>
      </c>
      <c r="I25" s="24">
        <v>19</v>
      </c>
      <c r="J25" s="24">
        <v>8</v>
      </c>
      <c r="K25" s="24">
        <f t="shared" si="0"/>
        <v>248</v>
      </c>
      <c r="L25" s="24">
        <f t="shared" si="1"/>
        <v>248000</v>
      </c>
      <c r="M25" s="24">
        <f t="shared" si="2"/>
        <v>4960</v>
      </c>
      <c r="N25" s="24">
        <f t="shared" si="3"/>
        <v>1984</v>
      </c>
      <c r="O25" s="24">
        <f t="shared" si="4"/>
        <v>2976</v>
      </c>
      <c r="P25" s="24">
        <v>45</v>
      </c>
      <c r="Q25" s="25">
        <v>46034</v>
      </c>
      <c r="R25" s="25">
        <v>46034</v>
      </c>
    </row>
    <row r="26" spans="1:25" s="118" customFormat="1" ht="59.25" customHeight="1">
      <c r="A26" s="112" t="s">
        <v>129</v>
      </c>
      <c r="B26" s="112" t="s">
        <v>130</v>
      </c>
      <c r="C26" s="113" t="s">
        <v>131</v>
      </c>
      <c r="D26" s="113" t="s">
        <v>132</v>
      </c>
      <c r="E26" s="114">
        <v>42</v>
      </c>
      <c r="F26" s="115">
        <v>0.6</v>
      </c>
      <c r="G26" s="112" t="s">
        <v>82</v>
      </c>
      <c r="H26" s="116" t="s">
        <v>67</v>
      </c>
      <c r="I26" s="113">
        <v>30</v>
      </c>
      <c r="J26" s="113">
        <v>8</v>
      </c>
      <c r="K26" s="113">
        <f t="shared" si="0"/>
        <v>336</v>
      </c>
      <c r="L26" s="113">
        <f t="shared" si="1"/>
        <v>336000</v>
      </c>
      <c r="M26" s="113">
        <f t="shared" si="2"/>
        <v>6720</v>
      </c>
      <c r="N26" s="113">
        <f t="shared" si="3"/>
        <v>2688</v>
      </c>
      <c r="O26" s="113">
        <f t="shared" si="4"/>
        <v>4032</v>
      </c>
      <c r="P26" s="113">
        <v>0</v>
      </c>
      <c r="Q26" s="117">
        <v>46034</v>
      </c>
      <c r="R26" s="117">
        <v>46034</v>
      </c>
    </row>
    <row r="27" spans="1:25" s="118" customFormat="1" ht="120" customHeight="1">
      <c r="A27" s="112" t="s">
        <v>133</v>
      </c>
      <c r="B27" s="119" t="s">
        <v>134</v>
      </c>
      <c r="C27" s="113" t="s">
        <v>131</v>
      </c>
      <c r="D27" s="113" t="s">
        <v>135</v>
      </c>
      <c r="E27" s="114">
        <v>29</v>
      </c>
      <c r="F27" s="115">
        <v>5.4</v>
      </c>
      <c r="G27" s="112" t="s">
        <v>78</v>
      </c>
      <c r="H27" s="116" t="s">
        <v>67</v>
      </c>
      <c r="I27" s="113">
        <v>19</v>
      </c>
      <c r="J27" s="113">
        <v>8</v>
      </c>
      <c r="K27" s="113">
        <f t="shared" si="0"/>
        <v>232</v>
      </c>
      <c r="L27" s="113">
        <f t="shared" si="1"/>
        <v>232000</v>
      </c>
      <c r="M27" s="113">
        <f t="shared" si="2"/>
        <v>4640</v>
      </c>
      <c r="N27" s="113">
        <f t="shared" si="3"/>
        <v>1856</v>
      </c>
      <c r="O27" s="113">
        <f t="shared" si="4"/>
        <v>2784</v>
      </c>
      <c r="P27" s="113">
        <v>48</v>
      </c>
      <c r="Q27" s="117">
        <v>46034</v>
      </c>
      <c r="R27" s="117">
        <v>46034</v>
      </c>
    </row>
    <row r="28" spans="1:25" s="118" customFormat="1" ht="83.25" customHeight="1">
      <c r="A28" s="112" t="s">
        <v>136</v>
      </c>
      <c r="B28" s="112" t="s">
        <v>137</v>
      </c>
      <c r="C28" s="113" t="s">
        <v>131</v>
      </c>
      <c r="D28" s="113" t="s">
        <v>138</v>
      </c>
      <c r="E28" s="114">
        <v>51</v>
      </c>
      <c r="F28" s="115">
        <v>1.7</v>
      </c>
      <c r="G28" s="112" t="s">
        <v>139</v>
      </c>
      <c r="H28" s="116" t="s">
        <v>67</v>
      </c>
      <c r="I28" s="113">
        <v>58</v>
      </c>
      <c r="J28" s="113">
        <v>8</v>
      </c>
      <c r="K28" s="113">
        <f t="shared" si="0"/>
        <v>408</v>
      </c>
      <c r="L28" s="113">
        <f t="shared" si="1"/>
        <v>408000</v>
      </c>
      <c r="M28" s="113">
        <f t="shared" si="2"/>
        <v>8160</v>
      </c>
      <c r="N28" s="113">
        <f t="shared" si="3"/>
        <v>3264</v>
      </c>
      <c r="O28" s="113">
        <f t="shared" si="4"/>
        <v>4896</v>
      </c>
      <c r="P28" s="113">
        <v>0</v>
      </c>
      <c r="Q28" s="117">
        <v>46034</v>
      </c>
      <c r="R28" s="117">
        <v>46034</v>
      </c>
      <c r="Y28" s="118">
        <v>0</v>
      </c>
    </row>
    <row r="29" spans="1:25" s="118" customFormat="1" ht="80.25" customHeight="1">
      <c r="A29" s="112" t="s">
        <v>140</v>
      </c>
      <c r="B29" s="112" t="s">
        <v>141</v>
      </c>
      <c r="C29" s="113" t="s">
        <v>131</v>
      </c>
      <c r="D29" s="113" t="s">
        <v>142</v>
      </c>
      <c r="E29" s="114">
        <v>18</v>
      </c>
      <c r="F29" s="115">
        <v>3.2</v>
      </c>
      <c r="G29" s="112" t="s">
        <v>143</v>
      </c>
      <c r="H29" s="116" t="s">
        <v>67</v>
      </c>
      <c r="I29" s="113">
        <v>12</v>
      </c>
      <c r="J29" s="113">
        <v>8</v>
      </c>
      <c r="K29" s="113">
        <f t="shared" si="0"/>
        <v>144</v>
      </c>
      <c r="L29" s="113">
        <f t="shared" si="1"/>
        <v>144000</v>
      </c>
      <c r="M29" s="113">
        <f t="shared" si="2"/>
        <v>2880</v>
      </c>
      <c r="N29" s="113">
        <f t="shared" si="3"/>
        <v>1152</v>
      </c>
      <c r="O29" s="113">
        <f t="shared" si="4"/>
        <v>1728</v>
      </c>
      <c r="P29" s="113">
        <v>0</v>
      </c>
      <c r="Q29" s="117">
        <v>46034</v>
      </c>
      <c r="R29" s="117">
        <v>46034</v>
      </c>
    </row>
    <row r="30" spans="1:25" s="118" customFormat="1" ht="91.5" customHeight="1">
      <c r="A30" s="112" t="s">
        <v>144</v>
      </c>
      <c r="B30" s="112" t="s">
        <v>145</v>
      </c>
      <c r="C30" s="113" t="s">
        <v>131</v>
      </c>
      <c r="D30" s="113" t="s">
        <v>146</v>
      </c>
      <c r="E30" s="114">
        <v>27</v>
      </c>
      <c r="F30" s="115">
        <v>3.4</v>
      </c>
      <c r="G30" s="112" t="s">
        <v>78</v>
      </c>
      <c r="H30" s="116" t="s">
        <v>67</v>
      </c>
      <c r="I30" s="113">
        <v>19</v>
      </c>
      <c r="J30" s="113">
        <v>8</v>
      </c>
      <c r="K30" s="113">
        <f t="shared" si="0"/>
        <v>216</v>
      </c>
      <c r="L30" s="113">
        <f t="shared" si="1"/>
        <v>216000</v>
      </c>
      <c r="M30" s="113">
        <f t="shared" si="2"/>
        <v>4320</v>
      </c>
      <c r="N30" s="113">
        <f t="shared" si="3"/>
        <v>1728</v>
      </c>
      <c r="O30" s="113">
        <f t="shared" si="4"/>
        <v>2592</v>
      </c>
      <c r="P30" s="113">
        <v>48</v>
      </c>
      <c r="Q30" s="117">
        <v>46034</v>
      </c>
      <c r="R30" s="117">
        <v>46034</v>
      </c>
    </row>
    <row r="31" spans="1:25" s="118" customFormat="1" ht="77.25" customHeight="1">
      <c r="A31" s="112" t="s">
        <v>147</v>
      </c>
      <c r="B31" s="112" t="s">
        <v>148</v>
      </c>
      <c r="C31" s="113" t="s">
        <v>131</v>
      </c>
      <c r="D31" s="113" t="s">
        <v>149</v>
      </c>
      <c r="E31" s="114">
        <v>28</v>
      </c>
      <c r="F31" s="115">
        <v>0.9</v>
      </c>
      <c r="G31" s="112" t="s">
        <v>78</v>
      </c>
      <c r="H31" s="116" t="s">
        <v>67</v>
      </c>
      <c r="I31" s="113">
        <v>19</v>
      </c>
      <c r="J31" s="113">
        <v>8</v>
      </c>
      <c r="K31" s="113">
        <f t="shared" si="0"/>
        <v>224</v>
      </c>
      <c r="L31" s="113">
        <f t="shared" si="1"/>
        <v>224000</v>
      </c>
      <c r="M31" s="113">
        <f t="shared" si="2"/>
        <v>4480</v>
      </c>
      <c r="N31" s="113">
        <f t="shared" si="3"/>
        <v>1792</v>
      </c>
      <c r="O31" s="113">
        <f t="shared" si="4"/>
        <v>2688</v>
      </c>
      <c r="P31" s="113">
        <v>48</v>
      </c>
      <c r="Q31" s="117">
        <v>46034</v>
      </c>
      <c r="R31" s="117">
        <v>46034</v>
      </c>
    </row>
    <row r="32" spans="1:25" s="118" customFormat="1" ht="72.75" customHeight="1">
      <c r="A32" s="112" t="s">
        <v>147</v>
      </c>
      <c r="B32" s="112" t="s">
        <v>150</v>
      </c>
      <c r="C32" s="113" t="s">
        <v>131</v>
      </c>
      <c r="D32" s="113" t="s">
        <v>151</v>
      </c>
      <c r="E32" s="114">
        <v>32</v>
      </c>
      <c r="F32" s="115">
        <v>0.73</v>
      </c>
      <c r="G32" s="112" t="s">
        <v>152</v>
      </c>
      <c r="H32" s="116" t="s">
        <v>67</v>
      </c>
      <c r="I32" s="113">
        <v>104</v>
      </c>
      <c r="J32" s="113">
        <v>8</v>
      </c>
      <c r="K32" s="113">
        <f t="shared" si="0"/>
        <v>256</v>
      </c>
      <c r="L32" s="113">
        <f t="shared" si="1"/>
        <v>256000</v>
      </c>
      <c r="M32" s="113">
        <f t="shared" si="2"/>
        <v>5120</v>
      </c>
      <c r="N32" s="113">
        <f t="shared" si="3"/>
        <v>2048</v>
      </c>
      <c r="O32" s="113">
        <f t="shared" si="4"/>
        <v>3072</v>
      </c>
      <c r="P32" s="113">
        <v>0</v>
      </c>
      <c r="Q32" s="117">
        <v>46034</v>
      </c>
      <c r="R32" s="117">
        <v>46034</v>
      </c>
    </row>
    <row r="33" spans="1:51" s="118" customFormat="1" ht="141" customHeight="1">
      <c r="A33" s="112" t="s">
        <v>153</v>
      </c>
      <c r="B33" s="119" t="s">
        <v>154</v>
      </c>
      <c r="C33" s="113" t="s">
        <v>131</v>
      </c>
      <c r="D33" s="113" t="s">
        <v>155</v>
      </c>
      <c r="E33" s="114">
        <v>85</v>
      </c>
      <c r="F33" s="115">
        <v>1.3</v>
      </c>
      <c r="G33" s="112" t="s">
        <v>156</v>
      </c>
      <c r="H33" s="116" t="s">
        <v>67</v>
      </c>
      <c r="I33" s="113">
        <v>116</v>
      </c>
      <c r="J33" s="113">
        <v>8</v>
      </c>
      <c r="K33" s="113">
        <f t="shared" si="0"/>
        <v>680</v>
      </c>
      <c r="L33" s="113">
        <f t="shared" si="1"/>
        <v>680000</v>
      </c>
      <c r="M33" s="113">
        <f t="shared" si="2"/>
        <v>13600</v>
      </c>
      <c r="N33" s="113">
        <f t="shared" si="3"/>
        <v>5440</v>
      </c>
      <c r="O33" s="113">
        <f t="shared" si="4"/>
        <v>8160</v>
      </c>
      <c r="P33" s="113">
        <v>0</v>
      </c>
      <c r="Q33" s="117">
        <v>46034</v>
      </c>
      <c r="R33" s="117">
        <v>46034</v>
      </c>
    </row>
    <row r="34" spans="1:51" s="118" customFormat="1" ht="83.25" customHeight="1">
      <c r="A34" s="120" t="s">
        <v>147</v>
      </c>
      <c r="B34" s="121" t="s">
        <v>157</v>
      </c>
      <c r="C34" s="113" t="s">
        <v>131</v>
      </c>
      <c r="D34" s="122" t="s">
        <v>158</v>
      </c>
      <c r="E34" s="114">
        <v>32</v>
      </c>
      <c r="F34" s="115">
        <v>2.88</v>
      </c>
      <c r="G34" s="123" t="s">
        <v>78</v>
      </c>
      <c r="H34" s="116" t="s">
        <v>67</v>
      </c>
      <c r="I34" s="113">
        <v>19</v>
      </c>
      <c r="J34" s="113">
        <v>8</v>
      </c>
      <c r="K34" s="113">
        <f t="shared" si="0"/>
        <v>256</v>
      </c>
      <c r="L34" s="113">
        <f t="shared" si="1"/>
        <v>256000</v>
      </c>
      <c r="M34" s="113">
        <f t="shared" si="2"/>
        <v>5120</v>
      </c>
      <c r="N34" s="113">
        <f t="shared" si="3"/>
        <v>2048</v>
      </c>
      <c r="O34" s="113">
        <f t="shared" si="4"/>
        <v>3072</v>
      </c>
      <c r="P34" s="113">
        <v>0</v>
      </c>
      <c r="Q34" s="117">
        <v>46034</v>
      </c>
      <c r="R34" s="117">
        <v>46034</v>
      </c>
    </row>
    <row r="35" spans="1:51" ht="76.5" hidden="1" customHeight="1">
      <c r="A35" s="74" t="s">
        <v>144</v>
      </c>
      <c r="B35" s="57" t="s">
        <v>159</v>
      </c>
      <c r="C35" s="78" t="s">
        <v>160</v>
      </c>
      <c r="D35" s="59" t="s">
        <v>161</v>
      </c>
      <c r="E35" s="60">
        <v>37</v>
      </c>
      <c r="F35" s="61">
        <v>3.5</v>
      </c>
      <c r="G35" s="62" t="s">
        <v>78</v>
      </c>
      <c r="H35" s="63" t="s">
        <v>67</v>
      </c>
      <c r="I35" s="24">
        <v>19</v>
      </c>
      <c r="J35" s="24">
        <v>8</v>
      </c>
      <c r="K35" s="24">
        <f t="shared" si="0"/>
        <v>296</v>
      </c>
      <c r="L35" s="24">
        <f t="shared" si="1"/>
        <v>296000</v>
      </c>
      <c r="M35" s="69">
        <f t="shared" si="2"/>
        <v>5920</v>
      </c>
      <c r="N35" s="24">
        <f t="shared" si="3"/>
        <v>2368</v>
      </c>
      <c r="O35" s="24">
        <f t="shared" si="4"/>
        <v>3552</v>
      </c>
      <c r="P35" s="24">
        <v>47</v>
      </c>
      <c r="Q35" s="25">
        <v>46034</v>
      </c>
      <c r="R35" s="25">
        <v>46034</v>
      </c>
    </row>
    <row r="36" spans="1:51" ht="85.5" hidden="1" customHeight="1">
      <c r="A36" s="74" t="s">
        <v>162</v>
      </c>
      <c r="B36" s="74" t="s">
        <v>163</v>
      </c>
      <c r="C36" s="78" t="s">
        <v>160</v>
      </c>
      <c r="D36" s="59" t="s">
        <v>164</v>
      </c>
      <c r="E36" s="60">
        <v>35</v>
      </c>
      <c r="F36" s="61">
        <v>0.9</v>
      </c>
      <c r="G36" s="62" t="s">
        <v>78</v>
      </c>
      <c r="H36" s="63" t="s">
        <v>67</v>
      </c>
      <c r="I36" s="24">
        <v>19</v>
      </c>
      <c r="J36" s="24">
        <v>8</v>
      </c>
      <c r="K36" s="24">
        <f t="shared" si="0"/>
        <v>280</v>
      </c>
      <c r="L36" s="24">
        <f t="shared" si="1"/>
        <v>280000</v>
      </c>
      <c r="M36" s="24">
        <f t="shared" si="2"/>
        <v>5600</v>
      </c>
      <c r="N36" s="24">
        <f t="shared" si="3"/>
        <v>2240</v>
      </c>
      <c r="O36" s="24">
        <f t="shared" si="4"/>
        <v>3360</v>
      </c>
      <c r="P36" s="24">
        <v>47</v>
      </c>
      <c r="Q36" s="25">
        <v>46034</v>
      </c>
      <c r="R36" s="25">
        <v>46034</v>
      </c>
    </row>
    <row r="37" spans="1:51" ht="66" hidden="1" customHeight="1">
      <c r="A37" s="74" t="s">
        <v>147</v>
      </c>
      <c r="B37" s="74" t="s">
        <v>165</v>
      </c>
      <c r="C37" s="78" t="s">
        <v>160</v>
      </c>
      <c r="D37" s="59" t="s">
        <v>166</v>
      </c>
      <c r="E37" s="60">
        <v>29</v>
      </c>
      <c r="F37" s="61">
        <v>0.89</v>
      </c>
      <c r="G37" s="62" t="s">
        <v>78</v>
      </c>
      <c r="H37" s="63" t="s">
        <v>67</v>
      </c>
      <c r="I37" s="24">
        <v>19</v>
      </c>
      <c r="J37" s="24">
        <v>8</v>
      </c>
      <c r="K37" s="24">
        <f t="shared" si="0"/>
        <v>232</v>
      </c>
      <c r="L37" s="24">
        <f t="shared" si="1"/>
        <v>232000</v>
      </c>
      <c r="M37" s="24">
        <f t="shared" si="2"/>
        <v>4640</v>
      </c>
      <c r="N37" s="24">
        <f t="shared" si="3"/>
        <v>1856</v>
      </c>
      <c r="O37" s="24">
        <f t="shared" si="4"/>
        <v>2784</v>
      </c>
      <c r="P37" s="24">
        <v>49</v>
      </c>
      <c r="Q37" s="25">
        <v>46034</v>
      </c>
      <c r="R37" s="25">
        <v>46034</v>
      </c>
    </row>
    <row r="38" spans="1:51" s="104" customFormat="1" ht="75.75" hidden="1" customHeight="1">
      <c r="A38" s="94" t="s">
        <v>147</v>
      </c>
      <c r="B38" s="95" t="s">
        <v>167</v>
      </c>
      <c r="C38" s="96" t="s">
        <v>64</v>
      </c>
      <c r="D38" s="97" t="s">
        <v>168</v>
      </c>
      <c r="E38" s="98">
        <v>24</v>
      </c>
      <c r="F38" s="99">
        <v>1.67</v>
      </c>
      <c r="G38" s="100" t="s">
        <v>78</v>
      </c>
      <c r="H38" s="101" t="s">
        <v>67</v>
      </c>
      <c r="I38" s="102">
        <v>19</v>
      </c>
      <c r="J38" s="102">
        <v>8</v>
      </c>
      <c r="K38" s="102">
        <f t="shared" si="0"/>
        <v>192</v>
      </c>
      <c r="L38" s="102">
        <f t="shared" si="1"/>
        <v>192000</v>
      </c>
      <c r="M38" s="102">
        <f>L38/50</f>
        <v>3840</v>
      </c>
      <c r="N38" s="102">
        <f t="shared" si="3"/>
        <v>1536</v>
      </c>
      <c r="O38" s="102">
        <f t="shared" si="4"/>
        <v>2304</v>
      </c>
      <c r="P38" s="102">
        <v>48</v>
      </c>
      <c r="Q38" s="103">
        <v>46034</v>
      </c>
      <c r="R38" s="103">
        <v>46034</v>
      </c>
    </row>
    <row r="39" spans="1:51" s="14" customFormat="1" ht="75.75" hidden="1" customHeight="1">
      <c r="A39" s="83"/>
      <c r="B39" s="84" t="s">
        <v>169</v>
      </c>
      <c r="C39" s="85" t="s">
        <v>170</v>
      </c>
      <c r="D39" s="86"/>
      <c r="E39" s="87"/>
      <c r="F39" s="88"/>
      <c r="G39" s="89"/>
      <c r="H39" s="90"/>
      <c r="I39" s="91"/>
      <c r="J39" s="91"/>
      <c r="K39" s="91"/>
      <c r="L39" s="91"/>
      <c r="M39" s="91"/>
      <c r="N39" s="91"/>
      <c r="O39" s="91"/>
      <c r="P39" s="91">
        <v>107</v>
      </c>
      <c r="Q39" s="92"/>
      <c r="R39" s="92"/>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row r="40" spans="1:51" s="104" customFormat="1" ht="40.5" hidden="1">
      <c r="A40" s="105" t="s">
        <v>171</v>
      </c>
      <c r="B40" s="105" t="s">
        <v>172</v>
      </c>
      <c r="C40" s="96" t="s">
        <v>173</v>
      </c>
      <c r="D40" s="97" t="s">
        <v>174</v>
      </c>
      <c r="E40" s="106">
        <v>40</v>
      </c>
      <c r="F40" s="107">
        <v>3</v>
      </c>
      <c r="G40" s="100" t="s">
        <v>78</v>
      </c>
      <c r="H40" s="107" t="s">
        <v>175</v>
      </c>
      <c r="I40" s="106">
        <v>15</v>
      </c>
      <c r="J40" s="106">
        <v>8</v>
      </c>
      <c r="K40" s="107">
        <v>320</v>
      </c>
      <c r="L40" s="104">
        <v>320000</v>
      </c>
      <c r="M40" s="104">
        <v>6400</v>
      </c>
      <c r="N40" s="102">
        <v>4160</v>
      </c>
      <c r="O40" s="102">
        <v>2240</v>
      </c>
      <c r="P40" s="104">
        <v>0</v>
      </c>
      <c r="Q40" s="102" t="s">
        <v>176</v>
      </c>
      <c r="R40" s="103">
        <v>46205</v>
      </c>
    </row>
    <row r="41" spans="1:51" s="104" customFormat="1" ht="40.5" hidden="1">
      <c r="A41" s="105" t="s">
        <v>171</v>
      </c>
      <c r="B41" s="105" t="s">
        <v>177</v>
      </c>
      <c r="C41" s="96" t="s">
        <v>173</v>
      </c>
      <c r="D41" s="97" t="s">
        <v>178</v>
      </c>
      <c r="E41" s="106">
        <v>35</v>
      </c>
      <c r="F41" s="107">
        <v>3</v>
      </c>
      <c r="G41" s="100" t="s">
        <v>78</v>
      </c>
      <c r="H41" s="108" t="s">
        <v>175</v>
      </c>
      <c r="I41" s="109">
        <v>15</v>
      </c>
      <c r="J41" s="109">
        <v>8</v>
      </c>
      <c r="K41" s="107">
        <v>280</v>
      </c>
      <c r="L41" s="110">
        <v>280000</v>
      </c>
      <c r="M41" s="110">
        <v>5600</v>
      </c>
      <c r="N41" s="110">
        <v>3640</v>
      </c>
      <c r="O41" s="110">
        <v>1960</v>
      </c>
      <c r="P41" s="110">
        <v>0</v>
      </c>
      <c r="Q41" s="102" t="s">
        <v>176</v>
      </c>
      <c r="R41" s="103">
        <v>46205</v>
      </c>
    </row>
    <row r="42" spans="1:51" s="104" customFormat="1" ht="40.5" hidden="1">
      <c r="A42" s="105" t="s">
        <v>171</v>
      </c>
      <c r="B42" s="105" t="s">
        <v>179</v>
      </c>
      <c r="C42" s="96" t="s">
        <v>173</v>
      </c>
      <c r="D42" s="97" t="s">
        <v>180</v>
      </c>
      <c r="E42" s="106">
        <v>45</v>
      </c>
      <c r="F42" s="107">
        <v>3.7</v>
      </c>
      <c r="G42" s="100" t="s">
        <v>78</v>
      </c>
      <c r="H42" s="107" t="s">
        <v>181</v>
      </c>
      <c r="I42" s="109">
        <v>15</v>
      </c>
      <c r="J42" s="109">
        <v>8</v>
      </c>
      <c r="K42" s="107">
        <v>360</v>
      </c>
      <c r="L42" s="110">
        <v>360000</v>
      </c>
      <c r="M42" s="110">
        <v>7200</v>
      </c>
      <c r="N42" s="110">
        <v>4680</v>
      </c>
      <c r="O42" s="110">
        <v>2520</v>
      </c>
      <c r="P42" s="110">
        <v>0</v>
      </c>
      <c r="Q42" s="102" t="s">
        <v>176</v>
      </c>
      <c r="R42" s="103">
        <v>46205</v>
      </c>
    </row>
    <row r="43" spans="1:51" s="104" customFormat="1" ht="40.5" hidden="1">
      <c r="A43" s="105" t="s">
        <v>171</v>
      </c>
      <c r="B43" s="105" t="s">
        <v>182</v>
      </c>
      <c r="C43" s="96" t="s">
        <v>173</v>
      </c>
      <c r="D43" s="97" t="s">
        <v>183</v>
      </c>
      <c r="E43" s="106">
        <v>45</v>
      </c>
      <c r="F43" s="107">
        <v>3</v>
      </c>
      <c r="G43" s="100" t="s">
        <v>78</v>
      </c>
      <c r="H43" s="107" t="s">
        <v>175</v>
      </c>
      <c r="I43" s="109">
        <v>15</v>
      </c>
      <c r="J43" s="109">
        <v>8</v>
      </c>
      <c r="K43" s="107">
        <v>360</v>
      </c>
      <c r="L43" s="110">
        <v>360000</v>
      </c>
      <c r="M43" s="110">
        <v>7200</v>
      </c>
      <c r="N43" s="110">
        <v>4680</v>
      </c>
      <c r="O43" s="110">
        <v>2520</v>
      </c>
      <c r="P43" s="110">
        <v>0</v>
      </c>
      <c r="Q43" s="102" t="s">
        <v>176</v>
      </c>
      <c r="R43" s="103">
        <v>46205</v>
      </c>
    </row>
    <row r="44" spans="1:51" s="104" customFormat="1" ht="40.5" hidden="1">
      <c r="A44" s="105" t="s">
        <v>171</v>
      </c>
      <c r="B44" s="111" t="s">
        <v>184</v>
      </c>
      <c r="C44" s="96" t="s">
        <v>173</v>
      </c>
      <c r="D44" s="97" t="s">
        <v>185</v>
      </c>
      <c r="E44" s="106">
        <v>45</v>
      </c>
      <c r="F44" s="106">
        <v>4</v>
      </c>
      <c r="G44" s="100" t="s">
        <v>78</v>
      </c>
      <c r="H44" s="108" t="s">
        <v>175</v>
      </c>
      <c r="I44" s="109">
        <v>15</v>
      </c>
      <c r="J44" s="109">
        <v>8</v>
      </c>
      <c r="K44" s="107">
        <v>320</v>
      </c>
      <c r="L44" s="110">
        <v>320000</v>
      </c>
      <c r="M44" s="110">
        <v>6400</v>
      </c>
      <c r="N44" s="102">
        <v>4160</v>
      </c>
      <c r="O44" s="102">
        <v>2240</v>
      </c>
      <c r="P44" s="110">
        <v>0</v>
      </c>
      <c r="Q44" s="102" t="s">
        <v>176</v>
      </c>
      <c r="R44" s="103">
        <v>46205</v>
      </c>
    </row>
    <row r="45" spans="1:51" ht="40.5">
      <c r="A45" s="58" t="s">
        <v>171</v>
      </c>
      <c r="B45" s="58" t="s">
        <v>186</v>
      </c>
      <c r="C45" s="75" t="s">
        <v>187</v>
      </c>
      <c r="D45" s="59" t="s">
        <v>188</v>
      </c>
      <c r="E45" s="79">
        <v>25</v>
      </c>
      <c r="F45" s="81">
        <v>4</v>
      </c>
      <c r="G45" s="62" t="s">
        <v>78</v>
      </c>
      <c r="H45" s="81" t="s">
        <v>189</v>
      </c>
      <c r="I45" s="80">
        <v>15</v>
      </c>
      <c r="J45" s="80">
        <v>8</v>
      </c>
      <c r="K45" s="81">
        <v>200</v>
      </c>
      <c r="L45" s="51">
        <v>200000</v>
      </c>
      <c r="M45" s="51">
        <v>4000</v>
      </c>
      <c r="N45" s="51">
        <v>2600</v>
      </c>
      <c r="O45" s="51">
        <v>1400</v>
      </c>
      <c r="P45" s="76">
        <v>0</v>
      </c>
      <c r="Q45" s="24" t="s">
        <v>176</v>
      </c>
      <c r="R45" s="25">
        <v>46205</v>
      </c>
    </row>
    <row r="46" spans="1:51" ht="27">
      <c r="A46" s="58" t="s">
        <v>171</v>
      </c>
      <c r="B46" s="58" t="s">
        <v>190</v>
      </c>
      <c r="C46" s="58" t="s">
        <v>187</v>
      </c>
      <c r="D46" s="59" t="s">
        <v>191</v>
      </c>
      <c r="E46" s="80">
        <v>25</v>
      </c>
      <c r="F46" s="82">
        <v>9</v>
      </c>
      <c r="G46" s="62" t="s">
        <v>78</v>
      </c>
      <c r="H46" s="82" t="s">
        <v>189</v>
      </c>
      <c r="I46" s="80">
        <v>15</v>
      </c>
      <c r="J46" s="80">
        <v>8</v>
      </c>
      <c r="K46" s="82">
        <v>200</v>
      </c>
      <c r="L46" s="51">
        <v>200000</v>
      </c>
      <c r="M46" s="51">
        <v>4000</v>
      </c>
      <c r="N46" s="51">
        <v>2600</v>
      </c>
      <c r="O46" s="51">
        <v>1400</v>
      </c>
      <c r="P46" s="76">
        <v>0</v>
      </c>
      <c r="Q46" s="24" t="s">
        <v>176</v>
      </c>
      <c r="R46" s="25">
        <v>46205</v>
      </c>
    </row>
    <row r="47" spans="1:51">
      <c r="A47" s="51"/>
      <c r="B47" s="75"/>
      <c r="C47" s="51"/>
      <c r="D47" s="51"/>
      <c r="E47" s="51"/>
      <c r="F47" s="51"/>
      <c r="G47" s="51"/>
      <c r="H47" s="51"/>
      <c r="I47" s="64">
        <f>I40+I41+I42+I43+I44+I45+I46</f>
        <v>105</v>
      </c>
      <c r="J47" s="51"/>
      <c r="K47" s="64">
        <f>K40+K41+K42+K43+K44+K45+K46</f>
        <v>2040</v>
      </c>
      <c r="L47" s="64">
        <f>L40+L41+L42+L43+L44+L45+L46</f>
        <v>2040000</v>
      </c>
      <c r="M47" s="64">
        <f>SUBTOTAL(9,M2:M46)</f>
        <v>63040</v>
      </c>
      <c r="N47" s="51">
        <f>SUM(N2:N46)</f>
        <v>115056</v>
      </c>
      <c r="O47" s="51">
        <f>SUM(O2:O46)</f>
        <v>141584</v>
      </c>
      <c r="P47" s="76"/>
      <c r="Q47" s="51"/>
      <c r="R47" s="51"/>
    </row>
    <row r="48" spans="1:51">
      <c r="A48" s="51"/>
      <c r="B48" s="75"/>
      <c r="C48" s="51"/>
      <c r="D48" s="51"/>
      <c r="E48" s="51"/>
      <c r="F48" s="51"/>
      <c r="G48" s="51"/>
      <c r="H48" s="51"/>
      <c r="I48" s="51"/>
      <c r="J48" s="51"/>
      <c r="K48" s="51"/>
      <c r="L48" s="51"/>
      <c r="M48" s="51"/>
      <c r="N48" s="51"/>
      <c r="O48" s="51"/>
      <c r="P48" s="76"/>
      <c r="Q48" s="51"/>
      <c r="R48" s="51"/>
    </row>
    <row r="49" spans="1:18">
      <c r="A49" s="51"/>
      <c r="B49" s="75"/>
      <c r="C49" s="51"/>
      <c r="D49" s="51"/>
      <c r="E49" s="51"/>
      <c r="F49" s="51"/>
      <c r="G49" s="51"/>
      <c r="H49" s="51"/>
      <c r="I49" s="51"/>
      <c r="J49" s="51"/>
      <c r="K49" s="51"/>
      <c r="L49" s="51"/>
      <c r="M49" s="51"/>
      <c r="N49" s="51"/>
      <c r="O49" s="51"/>
      <c r="P49" s="76"/>
      <c r="Q49" s="51"/>
      <c r="R49" s="51"/>
    </row>
    <row r="50" spans="1:18">
      <c r="A50" s="51"/>
      <c r="B50" s="75"/>
      <c r="C50" s="51"/>
      <c r="D50" s="51"/>
      <c r="E50" s="51"/>
      <c r="F50" s="51"/>
      <c r="G50" s="51"/>
      <c r="H50" s="51"/>
      <c r="I50" s="51"/>
      <c r="J50" s="51"/>
      <c r="K50" s="51"/>
      <c r="L50" s="51"/>
      <c r="M50" s="51"/>
      <c r="N50" s="51"/>
      <c r="O50" s="51"/>
      <c r="P50" s="76"/>
      <c r="Q50" s="51"/>
      <c r="R50" s="51"/>
    </row>
    <row r="51" spans="1:18">
      <c r="A51" s="51"/>
      <c r="B51" s="75"/>
      <c r="C51" s="51"/>
      <c r="D51" s="51"/>
      <c r="E51" s="51"/>
      <c r="F51" s="51"/>
      <c r="G51" s="51"/>
      <c r="H51" s="51"/>
      <c r="I51" s="51"/>
      <c r="J51" s="51"/>
      <c r="K51" s="51"/>
      <c r="L51" s="51"/>
      <c r="M51" s="51"/>
      <c r="N51" s="51"/>
      <c r="O51" s="51"/>
      <c r="P51" s="76"/>
      <c r="Q51" s="51"/>
      <c r="R51" s="51"/>
    </row>
    <row r="52" spans="1:18">
      <c r="A52" s="51"/>
      <c r="B52" s="75"/>
      <c r="C52" s="51"/>
      <c r="D52" s="51"/>
      <c r="E52" s="51"/>
      <c r="F52" s="51"/>
      <c r="G52" s="51"/>
      <c r="H52" s="51"/>
      <c r="I52" s="51"/>
      <c r="J52" s="51"/>
      <c r="K52" s="51"/>
      <c r="L52" s="51"/>
      <c r="M52" s="51"/>
      <c r="N52" s="51"/>
      <c r="O52" s="51"/>
      <c r="P52" s="76"/>
      <c r="Q52" s="51"/>
      <c r="R52" s="51"/>
    </row>
    <row r="53" spans="1:18">
      <c r="K53" s="20"/>
    </row>
    <row r="54" spans="1:18">
      <c r="K54" s="20"/>
      <c r="N54" s="14">
        <f>SUBTOTAL(9,N2:N44)</f>
        <v>22016</v>
      </c>
      <c r="O54" s="14">
        <f>SUBTOTAL(9,O2:O44)</f>
        <v>33024</v>
      </c>
    </row>
    <row r="55" spans="1:18">
      <c r="K55" s="20"/>
      <c r="O55">
        <f>SUM(N47+O47)</f>
        <v>256640</v>
      </c>
    </row>
    <row r="56" spans="1:18">
      <c r="K56" s="20"/>
      <c r="P56" s="14">
        <f>SUBTOTAL(9,P2:P48)</f>
        <v>144</v>
      </c>
    </row>
    <row r="57" spans="1:18">
      <c r="K57" s="20"/>
    </row>
    <row r="58" spans="1:18">
      <c r="K58" s="20"/>
    </row>
    <row r="59" spans="1:18">
      <c r="K59" s="20"/>
    </row>
    <row r="60" spans="1:18">
      <c r="K60" s="20"/>
    </row>
    <row r="61" spans="1:18">
      <c r="K61" s="20"/>
    </row>
    <row r="62" spans="1:18">
      <c r="K62" s="20"/>
    </row>
    <row r="63" spans="1:18">
      <c r="K63" s="20"/>
    </row>
    <row r="64" spans="1:18">
      <c r="K64" s="20"/>
    </row>
    <row r="65" spans="11:11">
      <c r="K65" s="20"/>
    </row>
    <row r="66" spans="11:11">
      <c r="K66" s="20"/>
    </row>
    <row r="67" spans="11:11">
      <c r="K67" s="20"/>
    </row>
    <row r="68" spans="11:11">
      <c r="K68" s="20"/>
    </row>
    <row r="69" spans="11:11">
      <c r="K69" s="20"/>
    </row>
    <row r="70" spans="11:11">
      <c r="K70" s="20"/>
    </row>
    <row r="71" spans="11:11">
      <c r="K71" s="20"/>
    </row>
    <row r="72" spans="11:11">
      <c r="K72" s="20"/>
    </row>
    <row r="73" spans="11:11">
      <c r="K73" s="20"/>
    </row>
    <row r="74" spans="11:11">
      <c r="K74" s="20"/>
    </row>
    <row r="75" spans="11:11">
      <c r="K75" s="20"/>
    </row>
    <row r="76" spans="11:11">
      <c r="K76" s="20"/>
    </row>
    <row r="77" spans="11:11">
      <c r="K77" s="20"/>
    </row>
    <row r="78" spans="11:11">
      <c r="K78" s="20"/>
    </row>
    <row r="79" spans="11:11">
      <c r="K79" s="20"/>
    </row>
    <row r="80" spans="11:11">
      <c r="K80" s="20"/>
    </row>
    <row r="81" spans="11:11">
      <c r="K81" s="20"/>
    </row>
    <row r="82" spans="11:11">
      <c r="K82" s="20"/>
    </row>
    <row r="83" spans="11:11">
      <c r="K83" s="20"/>
    </row>
    <row r="84" spans="11:11">
      <c r="K84" s="20"/>
    </row>
    <row r="85" spans="11:11">
      <c r="K85" s="20"/>
    </row>
    <row r="86" spans="11:11">
      <c r="K86" s="20"/>
    </row>
    <row r="87" spans="11:11">
      <c r="K87" s="20"/>
    </row>
    <row r="88" spans="11:11">
      <c r="K88" s="20"/>
    </row>
    <row r="89" spans="11:11">
      <c r="K89" s="20"/>
    </row>
    <row r="90" spans="11:11">
      <c r="K90" s="20"/>
    </row>
    <row r="91" spans="11:11">
      <c r="K91" s="20"/>
    </row>
    <row r="92" spans="11:11">
      <c r="K92" s="20"/>
    </row>
    <row r="93" spans="11:11">
      <c r="K93" s="20"/>
    </row>
    <row r="94" spans="11:11">
      <c r="K94" s="20"/>
    </row>
    <row r="95" spans="11:11">
      <c r="K95" s="20"/>
    </row>
    <row r="96" spans="11:11">
      <c r="K96" s="20"/>
    </row>
    <row r="97" spans="3:11">
      <c r="K97" s="20"/>
    </row>
    <row r="98" spans="3:11">
      <c r="K98" s="20"/>
    </row>
    <row r="99" spans="3:11">
      <c r="K99" s="20"/>
    </row>
    <row r="100" spans="3:11">
      <c r="K100" s="20"/>
    </row>
    <row r="101" spans="3:11">
      <c r="K101" s="20"/>
    </row>
    <row r="102" spans="3:11">
      <c r="K102" s="20"/>
    </row>
    <row r="103" spans="3:11">
      <c r="K103" s="20"/>
    </row>
    <row r="104" spans="3:11">
      <c r="K104" s="20"/>
    </row>
    <row r="105" spans="3:11">
      <c r="K105" s="20"/>
    </row>
    <row r="106" spans="3:11">
      <c r="K106" s="20"/>
    </row>
    <row r="107" spans="3:11">
      <c r="C107" s="21"/>
      <c r="D107" s="22"/>
      <c r="E107" s="22"/>
      <c r="F107" s="21"/>
      <c r="G107" s="22"/>
      <c r="H107" s="21"/>
      <c r="I107" s="22"/>
      <c r="J107" s="22"/>
      <c r="K107" s="23"/>
    </row>
  </sheetData>
  <autoFilter ref="A1:R46" xr:uid="{4FCA1EBB-8E37-46EC-A09E-92391AA8CD17}">
    <filterColumn colId="2">
      <filters>
        <filter val="Um Algura  locality"/>
        <filter val="Umm Al-Qura"/>
      </filters>
    </filterColumn>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52068-490C-410C-A0F6-B13DC51AB2C8}">
  <dimension ref="A1:V22"/>
  <sheetViews>
    <sheetView workbookViewId="0">
      <selection activeCell="D9" sqref="D9"/>
    </sheetView>
  </sheetViews>
  <sheetFormatPr defaultRowHeight="15"/>
  <cols>
    <col min="1" max="1" width="11.5703125" customWidth="1"/>
    <col min="3" max="3" width="10.140625" customWidth="1"/>
    <col min="4" max="4" width="12.7109375" customWidth="1"/>
    <col min="5" max="5" width="13.7109375" customWidth="1"/>
    <col min="7" max="7" width="12.5703125" customWidth="1"/>
    <col min="8" max="8" width="12.42578125" customWidth="1"/>
    <col min="10" max="10" width="12" customWidth="1"/>
    <col min="16" max="16" width="14.5703125" customWidth="1"/>
  </cols>
  <sheetData>
    <row r="1" spans="1:22">
      <c r="A1" s="124" t="s">
        <v>192</v>
      </c>
      <c r="B1" s="125" t="s">
        <v>18</v>
      </c>
      <c r="C1" s="136" t="s">
        <v>193</v>
      </c>
      <c r="D1" s="134" t="s">
        <v>19</v>
      </c>
      <c r="F1" s="146" t="s">
        <v>194</v>
      </c>
      <c r="G1" s="134" t="s">
        <v>195</v>
      </c>
      <c r="H1" s="134" t="s">
        <v>196</v>
      </c>
      <c r="I1" s="146" t="s">
        <v>197</v>
      </c>
      <c r="J1" s="134" t="s">
        <v>198</v>
      </c>
      <c r="K1" s="134" t="s">
        <v>199</v>
      </c>
    </row>
    <row r="2" spans="1:22">
      <c r="A2" s="126" t="s">
        <v>200</v>
      </c>
      <c r="B2" s="127">
        <v>108000</v>
      </c>
      <c r="C2" s="137">
        <f>B2/180000</f>
        <v>0.6</v>
      </c>
      <c r="D2" s="134">
        <f>$C$11*(C2)</f>
        <v>153984</v>
      </c>
      <c r="F2">
        <v>78532</v>
      </c>
      <c r="G2" s="134">
        <f>F2-H2</f>
        <v>47119</v>
      </c>
      <c r="H2" s="134">
        <v>31413</v>
      </c>
      <c r="I2">
        <v>75452</v>
      </c>
      <c r="J2" s="134">
        <f>I2-K2</f>
        <v>45264</v>
      </c>
      <c r="K2" s="134">
        <v>30188</v>
      </c>
      <c r="N2" s="168" t="s">
        <v>201</v>
      </c>
      <c r="O2" s="169"/>
      <c r="P2" s="169"/>
      <c r="Q2" s="169"/>
      <c r="R2" s="169"/>
      <c r="S2" s="169"/>
      <c r="T2" s="170"/>
    </row>
    <row r="3" spans="1:22">
      <c r="A3" s="126" t="s">
        <v>202</v>
      </c>
      <c r="B3" s="127">
        <v>9000</v>
      </c>
      <c r="C3" s="137">
        <f t="shared" ref="C3:C6" si="0">B3/180000</f>
        <v>0.05</v>
      </c>
      <c r="D3" s="134">
        <f t="shared" ref="D3:D5" si="1">$C$11*(C3)</f>
        <v>12832</v>
      </c>
      <c r="F3">
        <v>6544</v>
      </c>
      <c r="G3" s="134">
        <f t="shared" ref="G3:G5" si="2">F3-H3</f>
        <v>3926</v>
      </c>
      <c r="H3" s="134">
        <v>2618</v>
      </c>
      <c r="I3">
        <v>6288</v>
      </c>
      <c r="J3" s="134">
        <f t="shared" ref="J3:J5" si="3">I3-K3</f>
        <v>3773</v>
      </c>
      <c r="K3" s="134">
        <v>2515</v>
      </c>
      <c r="N3" s="171" t="s">
        <v>203</v>
      </c>
      <c r="O3" s="171" t="s">
        <v>204</v>
      </c>
      <c r="P3" s="171" t="s">
        <v>205</v>
      </c>
      <c r="Q3" s="171"/>
      <c r="R3" s="171" t="s">
        <v>206</v>
      </c>
      <c r="S3" s="171" t="s">
        <v>205</v>
      </c>
      <c r="T3" s="171"/>
    </row>
    <row r="4" spans="1:22">
      <c r="A4" s="126" t="s">
        <v>207</v>
      </c>
      <c r="B4" s="132">
        <v>9000</v>
      </c>
      <c r="C4" s="131">
        <f t="shared" si="0"/>
        <v>0.05</v>
      </c>
      <c r="D4" s="134">
        <f t="shared" si="1"/>
        <v>12832</v>
      </c>
      <c r="F4">
        <v>6544</v>
      </c>
      <c r="G4" s="134">
        <f t="shared" si="2"/>
        <v>3926</v>
      </c>
      <c r="H4" s="134">
        <v>2618</v>
      </c>
      <c r="I4">
        <v>6288</v>
      </c>
      <c r="J4" s="134">
        <f t="shared" si="3"/>
        <v>3773</v>
      </c>
      <c r="K4" s="134">
        <v>2515</v>
      </c>
      <c r="N4" s="171"/>
      <c r="O4" s="171"/>
      <c r="P4" s="128" t="s">
        <v>208</v>
      </c>
      <c r="Q4" s="128" t="s">
        <v>200</v>
      </c>
      <c r="R4" s="171"/>
      <c r="S4" s="128" t="s">
        <v>208</v>
      </c>
      <c r="T4" s="128" t="s">
        <v>200</v>
      </c>
    </row>
    <row r="5" spans="1:22">
      <c r="A5" s="133" t="s">
        <v>208</v>
      </c>
      <c r="B5" s="129">
        <v>54000</v>
      </c>
      <c r="C5" s="138">
        <f t="shared" si="0"/>
        <v>0.3</v>
      </c>
      <c r="D5" s="134">
        <f t="shared" si="1"/>
        <v>76992</v>
      </c>
      <c r="F5">
        <v>39266</v>
      </c>
      <c r="G5" s="134">
        <f t="shared" si="2"/>
        <v>23560</v>
      </c>
      <c r="H5" s="134">
        <v>15706</v>
      </c>
      <c r="I5">
        <v>37726</v>
      </c>
      <c r="J5" s="134">
        <f t="shared" si="3"/>
        <v>22636</v>
      </c>
      <c r="K5" s="134">
        <v>15090</v>
      </c>
      <c r="N5" s="129">
        <v>1</v>
      </c>
      <c r="O5" s="129">
        <v>37</v>
      </c>
      <c r="P5" s="129">
        <v>30</v>
      </c>
      <c r="Q5" s="129">
        <v>7</v>
      </c>
      <c r="R5" s="129">
        <v>203</v>
      </c>
      <c r="S5" s="129">
        <v>162</v>
      </c>
      <c r="T5" s="129">
        <v>41</v>
      </c>
    </row>
    <row r="6" spans="1:22">
      <c r="C6" s="131"/>
      <c r="N6" s="129">
        <v>2</v>
      </c>
      <c r="O6" s="129">
        <v>47</v>
      </c>
      <c r="P6" s="129">
        <v>38</v>
      </c>
      <c r="Q6" s="129">
        <v>9</v>
      </c>
      <c r="R6" s="129">
        <v>203</v>
      </c>
      <c r="S6" s="129">
        <v>162</v>
      </c>
      <c r="T6" s="129">
        <v>41</v>
      </c>
    </row>
    <row r="7" spans="1:22">
      <c r="N7" s="129">
        <v>3</v>
      </c>
      <c r="O7" s="129">
        <v>62</v>
      </c>
      <c r="P7" s="129">
        <v>50</v>
      </c>
      <c r="Q7" s="129">
        <v>12</v>
      </c>
      <c r="R7" s="129">
        <v>173</v>
      </c>
      <c r="S7" s="129">
        <v>138</v>
      </c>
      <c r="T7" s="129">
        <v>35</v>
      </c>
    </row>
    <row r="8" spans="1:22">
      <c r="N8" s="129">
        <v>4</v>
      </c>
      <c r="O8" s="129">
        <v>76</v>
      </c>
      <c r="P8" s="129">
        <v>61</v>
      </c>
      <c r="Q8" s="129">
        <v>15</v>
      </c>
      <c r="R8" s="129">
        <v>177</v>
      </c>
      <c r="S8" s="129">
        <v>142</v>
      </c>
      <c r="T8" s="129">
        <v>35</v>
      </c>
    </row>
    <row r="9" spans="1:22" ht="29.25">
      <c r="H9" s="147" t="s">
        <v>209</v>
      </c>
      <c r="I9" s="148">
        <v>135000</v>
      </c>
      <c r="J9" s="141"/>
      <c r="N9" s="129">
        <v>5</v>
      </c>
      <c r="O9" s="129">
        <v>92</v>
      </c>
      <c r="P9" s="129">
        <v>74</v>
      </c>
      <c r="Q9" s="129">
        <v>18</v>
      </c>
      <c r="R9" s="129">
        <v>85</v>
      </c>
      <c r="S9" s="129">
        <v>68</v>
      </c>
      <c r="T9" s="129">
        <v>17</v>
      </c>
    </row>
    <row r="10" spans="1:22" ht="29.25">
      <c r="H10" s="147" t="s">
        <v>210</v>
      </c>
      <c r="I10" s="147">
        <f>D12</f>
        <v>130885</v>
      </c>
      <c r="N10" s="129"/>
      <c r="O10" s="128">
        <v>314</v>
      </c>
      <c r="P10" s="129">
        <v>251</v>
      </c>
      <c r="Q10" s="129">
        <v>63</v>
      </c>
      <c r="R10" s="128">
        <v>841</v>
      </c>
      <c r="S10" s="129">
        <v>673</v>
      </c>
      <c r="T10" s="129">
        <v>168</v>
      </c>
    </row>
    <row r="11" spans="1:22">
      <c r="B11" s="135" t="s">
        <v>211</v>
      </c>
      <c r="C11" s="134">
        <v>256640</v>
      </c>
      <c r="V11">
        <f>O10+R10</f>
        <v>1155</v>
      </c>
    </row>
    <row r="12" spans="1:22">
      <c r="B12" s="134" t="s">
        <v>204</v>
      </c>
      <c r="C12">
        <f>O15*C11</f>
        <v>130886.40000000001</v>
      </c>
      <c r="D12" s="134">
        <v>130885</v>
      </c>
      <c r="V12" s="140">
        <f>O10/V11</f>
        <v>0.27186147186147186</v>
      </c>
    </row>
    <row r="13" spans="1:22">
      <c r="B13" s="134" t="s">
        <v>196</v>
      </c>
      <c r="C13">
        <f>O13*D12</f>
        <v>81148.7</v>
      </c>
      <c r="D13" s="134">
        <v>81149</v>
      </c>
      <c r="F13">
        <f>D12-D13</f>
        <v>49736</v>
      </c>
      <c r="H13" t="s">
        <v>194</v>
      </c>
      <c r="N13" s="143" t="s">
        <v>212</v>
      </c>
      <c r="O13" s="144">
        <v>0.62</v>
      </c>
      <c r="P13" s="145" t="s">
        <v>213</v>
      </c>
    </row>
    <row r="14" spans="1:22">
      <c r="B14" s="134" t="s">
        <v>206</v>
      </c>
      <c r="C14">
        <f>O16*C11</f>
        <v>125753.59999999999</v>
      </c>
      <c r="D14" s="134">
        <v>125755</v>
      </c>
      <c r="N14" s="129" t="s">
        <v>214</v>
      </c>
      <c r="O14" s="142">
        <v>0.4</v>
      </c>
      <c r="P14" s="129"/>
    </row>
    <row r="15" spans="1:22">
      <c r="B15" s="134" t="s">
        <v>199</v>
      </c>
      <c r="C15">
        <f>O13*D14</f>
        <v>77968.100000000006</v>
      </c>
      <c r="D15" s="134">
        <v>77967</v>
      </c>
      <c r="F15">
        <f>D14-D15</f>
        <v>47788</v>
      </c>
      <c r="H15" t="s">
        <v>197</v>
      </c>
      <c r="N15" s="126" t="s">
        <v>204</v>
      </c>
      <c r="O15" s="130">
        <v>0.51</v>
      </c>
      <c r="P15" s="127" t="s">
        <v>215</v>
      </c>
    </row>
    <row r="16" spans="1:22">
      <c r="N16" s="126" t="s">
        <v>206</v>
      </c>
      <c r="O16" s="130">
        <v>0.49</v>
      </c>
      <c r="P16" s="127" t="s">
        <v>216</v>
      </c>
    </row>
    <row r="18" spans="1:5">
      <c r="B18" t="s">
        <v>194</v>
      </c>
      <c r="C18" t="s">
        <v>196</v>
      </c>
      <c r="D18" t="s">
        <v>197</v>
      </c>
      <c r="E18" t="s">
        <v>199</v>
      </c>
    </row>
    <row r="19" spans="1:5">
      <c r="A19" s="126" t="s">
        <v>200</v>
      </c>
      <c r="B19">
        <v>78531.839999999997</v>
      </c>
      <c r="C19">
        <f>B19*O14</f>
        <v>31412.736000000001</v>
      </c>
      <c r="D19">
        <v>75452.160000000003</v>
      </c>
      <c r="E19">
        <f>D19*O14</f>
        <v>30180.864000000001</v>
      </c>
    </row>
    <row r="20" spans="1:5">
      <c r="A20" s="126" t="s">
        <v>202</v>
      </c>
      <c r="B20">
        <f>D3*O15</f>
        <v>6544.32</v>
      </c>
      <c r="C20">
        <f>B20*O14</f>
        <v>2617.7280000000001</v>
      </c>
      <c r="D20">
        <f>D3*O16</f>
        <v>6287.68</v>
      </c>
      <c r="E20">
        <f>D20*O14</f>
        <v>2515.0720000000001</v>
      </c>
    </row>
    <row r="21" spans="1:5">
      <c r="A21" s="126" t="s">
        <v>207</v>
      </c>
      <c r="B21">
        <f>D3*O15</f>
        <v>6544.32</v>
      </c>
      <c r="C21">
        <f>B21*O14</f>
        <v>2617.7280000000001</v>
      </c>
      <c r="D21">
        <f>D4*O16</f>
        <v>6287.68</v>
      </c>
      <c r="E21">
        <f>D21*O14</f>
        <v>2515.0720000000001</v>
      </c>
    </row>
    <row r="22" spans="1:5">
      <c r="A22" s="133" t="s">
        <v>208</v>
      </c>
      <c r="B22">
        <f>D5*O15</f>
        <v>39265.919999999998</v>
      </c>
      <c r="C22">
        <f>B22*O14</f>
        <v>15706.368</v>
      </c>
      <c r="D22">
        <f>D5*O16</f>
        <v>37726.080000000002</v>
      </c>
      <c r="E22">
        <f>D22*O14</f>
        <v>15090.432000000001</v>
      </c>
    </row>
  </sheetData>
  <mergeCells count="6">
    <mergeCell ref="S3:T3"/>
    <mergeCell ref="N2:T2"/>
    <mergeCell ref="N3:N4"/>
    <mergeCell ref="O3:O4"/>
    <mergeCell ref="P3:Q3"/>
    <mergeCell ref="R3:R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7BD4-7121-4F94-AFCD-E8AFD42EE24B}">
  <dimension ref="A1:G27"/>
  <sheetViews>
    <sheetView topLeftCell="L1" workbookViewId="0">
      <selection activeCell="G19" sqref="G19"/>
    </sheetView>
  </sheetViews>
  <sheetFormatPr defaultRowHeight="15"/>
  <cols>
    <col min="2" max="2" width="25.140625" customWidth="1"/>
    <col min="3" max="3" width="27.7109375" customWidth="1"/>
    <col min="4" max="5" width="23.42578125" customWidth="1"/>
    <col min="6" max="6" width="47.85546875" customWidth="1"/>
    <col min="7" max="7" width="82.85546875" customWidth="1"/>
  </cols>
  <sheetData>
    <row r="1" spans="1:7" ht="21.75">
      <c r="A1" s="29"/>
      <c r="B1" s="29"/>
      <c r="C1" s="29"/>
      <c r="D1" s="30" t="s">
        <v>217</v>
      </c>
      <c r="E1" s="30"/>
      <c r="F1" s="29"/>
      <c r="G1" s="29"/>
    </row>
    <row r="2" spans="1:7" ht="18">
      <c r="A2" s="29"/>
      <c r="B2" s="29"/>
      <c r="C2" s="29"/>
      <c r="D2" s="31" t="s">
        <v>218</v>
      </c>
      <c r="E2" s="31"/>
      <c r="F2" s="29"/>
      <c r="G2" s="29"/>
    </row>
    <row r="3" spans="1:7" ht="87">
      <c r="A3" s="29"/>
      <c r="B3" s="32" t="s">
        <v>219</v>
      </c>
      <c r="C3" s="32" t="s">
        <v>220</v>
      </c>
      <c r="D3" s="33" t="s">
        <v>221</v>
      </c>
      <c r="E3" s="32" t="s">
        <v>222</v>
      </c>
      <c r="F3" s="33" t="s">
        <v>223</v>
      </c>
      <c r="G3" s="33" t="s">
        <v>224</v>
      </c>
    </row>
    <row r="4" spans="1:7" ht="15.75">
      <c r="A4" s="29"/>
      <c r="B4" s="34"/>
      <c r="C4" s="34"/>
      <c r="D4" s="34"/>
      <c r="E4" s="34"/>
      <c r="F4" s="34"/>
      <c r="G4" s="34"/>
    </row>
    <row r="5" spans="1:7" ht="15.75">
      <c r="A5" s="29"/>
      <c r="B5" s="34" t="s">
        <v>225</v>
      </c>
      <c r="C5" s="34">
        <v>22</v>
      </c>
      <c r="D5" s="34">
        <v>6</v>
      </c>
      <c r="E5" s="34">
        <v>2</v>
      </c>
      <c r="F5" s="34">
        <v>365</v>
      </c>
      <c r="G5" s="35">
        <v>96360</v>
      </c>
    </row>
    <row r="6" spans="1:7" ht="15.75">
      <c r="A6" s="29"/>
      <c r="B6" s="34" t="s">
        <v>226</v>
      </c>
      <c r="C6" s="34">
        <v>8</v>
      </c>
      <c r="D6" s="34">
        <v>6</v>
      </c>
      <c r="E6" s="34">
        <v>5</v>
      </c>
      <c r="F6" s="34">
        <v>365</v>
      </c>
      <c r="G6" s="35">
        <v>87600</v>
      </c>
    </row>
    <row r="7" spans="1:7" ht="15.75">
      <c r="A7" s="29"/>
      <c r="B7" s="34" t="s">
        <v>227</v>
      </c>
      <c r="C7" s="34">
        <v>2</v>
      </c>
      <c r="D7" s="34">
        <v>6</v>
      </c>
      <c r="E7" s="34">
        <v>7</v>
      </c>
      <c r="F7" s="34">
        <v>365</v>
      </c>
      <c r="G7" s="35">
        <v>30660</v>
      </c>
    </row>
    <row r="8" spans="1:7" ht="15.75">
      <c r="A8" s="29"/>
      <c r="B8" s="34" t="s">
        <v>228</v>
      </c>
      <c r="C8" s="34">
        <v>1</v>
      </c>
      <c r="D8" s="34">
        <v>6</v>
      </c>
      <c r="E8" s="34">
        <v>6</v>
      </c>
      <c r="F8" s="34">
        <v>365</v>
      </c>
      <c r="G8" s="35">
        <v>13140</v>
      </c>
    </row>
    <row r="9" spans="1:7" ht="15.75">
      <c r="A9" s="29"/>
      <c r="B9" s="34" t="s">
        <v>229</v>
      </c>
      <c r="C9" s="34">
        <v>1</v>
      </c>
      <c r="D9" s="34">
        <v>6</v>
      </c>
      <c r="E9" s="34">
        <v>9</v>
      </c>
      <c r="F9" s="34">
        <v>365</v>
      </c>
      <c r="G9" s="35">
        <v>19710</v>
      </c>
    </row>
    <row r="10" spans="1:7" ht="15.75">
      <c r="A10" s="29"/>
      <c r="B10" s="34" t="s">
        <v>230</v>
      </c>
      <c r="C10" s="34">
        <v>1</v>
      </c>
      <c r="D10" s="34">
        <v>6</v>
      </c>
      <c r="E10" s="34">
        <v>9.5</v>
      </c>
      <c r="F10" s="34">
        <v>365</v>
      </c>
      <c r="G10" s="35">
        <v>20805</v>
      </c>
    </row>
    <row r="11" spans="1:7" ht="15.75">
      <c r="A11" s="29"/>
      <c r="B11" s="34" t="s">
        <v>231</v>
      </c>
      <c r="C11" s="34">
        <v>1</v>
      </c>
      <c r="D11" s="34">
        <v>6</v>
      </c>
      <c r="E11" s="34">
        <v>8</v>
      </c>
      <c r="F11" s="34">
        <v>365</v>
      </c>
      <c r="G11" s="35">
        <v>17520</v>
      </c>
    </row>
    <row r="12" spans="1:7" ht="15.75">
      <c r="A12" s="29"/>
      <c r="B12" s="34" t="s">
        <v>232</v>
      </c>
      <c r="C12" s="34">
        <v>1</v>
      </c>
      <c r="D12" s="34">
        <v>6</v>
      </c>
      <c r="E12" s="34">
        <v>1</v>
      </c>
      <c r="F12" s="34">
        <v>365</v>
      </c>
      <c r="G12" s="35">
        <v>2190</v>
      </c>
    </row>
    <row r="13" spans="1:7" ht="15.75">
      <c r="A13" s="36"/>
      <c r="B13" s="37" t="s">
        <v>233</v>
      </c>
      <c r="C13" s="37">
        <v>37</v>
      </c>
      <c r="D13" s="37"/>
      <c r="E13" s="37"/>
      <c r="F13" s="37"/>
      <c r="G13" s="37"/>
    </row>
    <row r="14" spans="1:7" ht="15.75">
      <c r="A14" s="29"/>
      <c r="B14" s="172" t="s">
        <v>234</v>
      </c>
      <c r="C14" s="173"/>
      <c r="D14" s="173"/>
      <c r="E14" s="173"/>
      <c r="F14" s="174"/>
      <c r="G14" s="38">
        <v>287985</v>
      </c>
    </row>
    <row r="15" spans="1:7">
      <c r="A15" s="29"/>
      <c r="B15" s="29"/>
      <c r="C15" s="29"/>
      <c r="D15" s="29"/>
      <c r="E15" s="29"/>
      <c r="F15" s="29"/>
      <c r="G15" s="29"/>
    </row>
    <row r="16" spans="1:7">
      <c r="A16" s="29"/>
      <c r="B16" s="29"/>
      <c r="C16" s="29"/>
      <c r="D16" s="29"/>
      <c r="E16" s="29"/>
      <c r="F16" s="29"/>
      <c r="G16" s="29"/>
    </row>
    <row r="17" spans="1:7">
      <c r="A17" s="29"/>
      <c r="B17" s="29" t="s">
        <v>235</v>
      </c>
      <c r="C17" s="29"/>
      <c r="D17" s="29"/>
      <c r="E17" s="29"/>
      <c r="F17" s="29"/>
      <c r="G17" s="29"/>
    </row>
    <row r="18" spans="1:7">
      <c r="A18" s="29"/>
      <c r="B18" s="29"/>
      <c r="C18" s="29"/>
      <c r="D18" s="29"/>
      <c r="E18" s="29"/>
      <c r="F18" s="29"/>
      <c r="G18" s="29"/>
    </row>
    <row r="19" spans="1:7">
      <c r="A19" s="29"/>
      <c r="B19" s="39" t="s">
        <v>236</v>
      </c>
      <c r="C19" s="39" t="s">
        <v>237</v>
      </c>
      <c r="D19" s="29"/>
      <c r="E19" s="29"/>
      <c r="G19" s="29"/>
    </row>
    <row r="20" spans="1:7">
      <c r="A20" s="29"/>
      <c r="B20" s="40" t="s">
        <v>238</v>
      </c>
      <c r="C20" s="41">
        <v>287985</v>
      </c>
      <c r="D20" s="29"/>
      <c r="E20" s="29"/>
      <c r="F20" s="29"/>
      <c r="G20" s="29"/>
    </row>
    <row r="21" spans="1:7" ht="15.75">
      <c r="A21" s="29"/>
      <c r="B21" s="40" t="s">
        <v>239</v>
      </c>
      <c r="C21" s="41">
        <v>255000</v>
      </c>
      <c r="D21" s="29"/>
      <c r="E21" s="29"/>
      <c r="F21" s="48" t="s">
        <v>240</v>
      </c>
      <c r="G21" s="29"/>
    </row>
    <row r="22" spans="1:7" ht="15.75">
      <c r="A22" s="29"/>
      <c r="B22" s="40" t="s">
        <v>241</v>
      </c>
      <c r="C22" s="41">
        <v>185000</v>
      </c>
      <c r="D22" s="29"/>
      <c r="E22" s="43" t="s">
        <v>192</v>
      </c>
    </row>
    <row r="23" spans="1:7" ht="16.5">
      <c r="A23" s="29"/>
      <c r="B23" s="40" t="s">
        <v>242</v>
      </c>
      <c r="C23" s="41">
        <v>98000</v>
      </c>
      <c r="D23" s="29"/>
      <c r="E23" s="44" t="s">
        <v>243</v>
      </c>
      <c r="F23" s="45" t="s">
        <v>244</v>
      </c>
      <c r="G23" s="45" t="s">
        <v>245</v>
      </c>
    </row>
    <row r="24" spans="1:7">
      <c r="A24" s="29"/>
      <c r="B24" s="40" t="s">
        <v>246</v>
      </c>
      <c r="C24" s="41">
        <v>175000</v>
      </c>
      <c r="D24" s="29"/>
      <c r="E24" s="46" t="s">
        <v>247</v>
      </c>
      <c r="F24" s="47" t="s">
        <v>248</v>
      </c>
      <c r="G24" s="47" t="s">
        <v>249</v>
      </c>
    </row>
    <row r="25" spans="1:7" ht="31.5" customHeight="1">
      <c r="A25" s="29"/>
      <c r="B25" s="42" t="s">
        <v>250</v>
      </c>
      <c r="C25" s="41">
        <v>1000985</v>
      </c>
      <c r="D25" s="29"/>
      <c r="E25" s="29"/>
      <c r="F25" s="29"/>
      <c r="G25" s="29"/>
    </row>
    <row r="26" spans="1:7">
      <c r="A26" s="29"/>
      <c r="B26" s="29"/>
      <c r="C26" s="29"/>
      <c r="D26" s="29"/>
      <c r="E26" s="29"/>
      <c r="F26" s="29"/>
      <c r="G26" s="29"/>
    </row>
    <row r="27" spans="1:7">
      <c r="A27" s="29"/>
      <c r="B27" s="29"/>
      <c r="C27" s="29"/>
      <c r="D27" s="29"/>
      <c r="E27" s="29"/>
      <c r="F27" s="29"/>
      <c r="G27" s="29"/>
    </row>
  </sheetData>
  <mergeCells count="1">
    <mergeCell ref="B14:F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85E65-6548-42D2-A20D-9AB81B5ECBA1}">
  <dimension ref="A1:C22"/>
  <sheetViews>
    <sheetView workbookViewId="0">
      <pane ySplit="1" topLeftCell="A7" activePane="bottomLeft" state="frozen"/>
      <selection pane="bottomLeft" activeCell="C25" sqref="C25"/>
    </sheetView>
  </sheetViews>
  <sheetFormatPr defaultRowHeight="15"/>
  <cols>
    <col min="1" max="1" width="26.140625" customWidth="1"/>
    <col min="2" max="2" width="50.42578125" customWidth="1"/>
    <col min="3" max="3" width="50.140625" customWidth="1"/>
  </cols>
  <sheetData>
    <row r="1" spans="1:3">
      <c r="A1" s="10" t="s">
        <v>251</v>
      </c>
      <c r="B1" s="10" t="s">
        <v>252</v>
      </c>
      <c r="C1" s="10" t="s">
        <v>253</v>
      </c>
    </row>
    <row r="2" spans="1:3" ht="128.25" customHeight="1">
      <c r="A2" t="s">
        <v>254</v>
      </c>
      <c r="B2" s="8" t="s">
        <v>255</v>
      </c>
      <c r="C2" s="8" t="s">
        <v>256</v>
      </c>
    </row>
    <row r="3" spans="1:3" ht="233.25" customHeight="1">
      <c r="A3" t="s">
        <v>257</v>
      </c>
      <c r="B3" s="8" t="s">
        <v>258</v>
      </c>
      <c r="C3" s="8" t="s">
        <v>259</v>
      </c>
    </row>
    <row r="4" spans="1:3" ht="130.5">
      <c r="A4" t="s">
        <v>260</v>
      </c>
      <c r="B4" s="8" t="s">
        <v>261</v>
      </c>
      <c r="C4" s="8" t="s">
        <v>262</v>
      </c>
    </row>
    <row r="5" spans="1:3" ht="144.75">
      <c r="A5" t="s">
        <v>263</v>
      </c>
      <c r="B5" s="8" t="s">
        <v>264</v>
      </c>
      <c r="C5" s="8" t="s">
        <v>265</v>
      </c>
    </row>
    <row r="6" spans="1:3" ht="150" customHeight="1">
      <c r="A6" t="s">
        <v>266</v>
      </c>
      <c r="B6" s="8" t="s">
        <v>267</v>
      </c>
      <c r="C6" s="8" t="s">
        <v>268</v>
      </c>
    </row>
    <row r="7" spans="1:3" ht="130.5">
      <c r="A7" t="s">
        <v>269</v>
      </c>
      <c r="B7" s="12" t="s">
        <v>270</v>
      </c>
      <c r="C7" s="8" t="s">
        <v>271</v>
      </c>
    </row>
    <row r="8" spans="1:3" ht="101.25">
      <c r="A8" t="s">
        <v>272</v>
      </c>
      <c r="B8" s="11" t="s">
        <v>273</v>
      </c>
      <c r="C8" s="8" t="s">
        <v>274</v>
      </c>
    </row>
    <row r="9" spans="1:3">
      <c r="A9" s="14"/>
      <c r="B9" s="14"/>
      <c r="C9" s="14"/>
    </row>
    <row r="10" spans="1:3" ht="72.75">
      <c r="A10" t="s">
        <v>275</v>
      </c>
      <c r="B10" s="8" t="s">
        <v>276</v>
      </c>
      <c r="C10" s="8" t="s">
        <v>277</v>
      </c>
    </row>
    <row r="11" spans="1:3" ht="57.75">
      <c r="A11" t="s">
        <v>278</v>
      </c>
      <c r="B11" s="8" t="s">
        <v>279</v>
      </c>
      <c r="C11" s="8" t="s">
        <v>280</v>
      </c>
    </row>
    <row r="12" spans="1:3">
      <c r="A12" t="s">
        <v>281</v>
      </c>
    </row>
    <row r="13" spans="1:3">
      <c r="A13" t="s">
        <v>282</v>
      </c>
    </row>
    <row r="14" spans="1:3">
      <c r="A14" s="14"/>
      <c r="B14" s="14"/>
      <c r="C14" s="14"/>
    </row>
    <row r="16" spans="1:3">
      <c r="A16" t="s">
        <v>283</v>
      </c>
    </row>
    <row r="17" spans="1:3" ht="29.25">
      <c r="A17" t="s">
        <v>284</v>
      </c>
      <c r="C17" s="8" t="s">
        <v>285</v>
      </c>
    </row>
    <row r="18" spans="1:3">
      <c r="A18" s="14"/>
      <c r="B18" s="14"/>
      <c r="C18" s="14"/>
    </row>
    <row r="19" spans="1:3">
      <c r="A19" t="s">
        <v>286</v>
      </c>
    </row>
    <row r="20" spans="1:3">
      <c r="A20" t="s">
        <v>287</v>
      </c>
    </row>
    <row r="21" spans="1:3">
      <c r="A21" t="s">
        <v>288</v>
      </c>
    </row>
    <row r="22" spans="1:3">
      <c r="A22" t="s">
        <v>289</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44AC-546B-4286-835E-C2FE36D41C2D}">
  <dimension ref="A1:D48"/>
  <sheetViews>
    <sheetView topLeftCell="A11" workbookViewId="0">
      <selection activeCell="C37" sqref="C37"/>
    </sheetView>
  </sheetViews>
  <sheetFormatPr defaultRowHeight="15"/>
  <cols>
    <col min="1" max="1" width="13.7109375" customWidth="1"/>
    <col min="2" max="2" width="19.140625" customWidth="1"/>
    <col min="3" max="3" width="25.7109375" customWidth="1"/>
    <col min="4" max="4" width="32.42578125" customWidth="1"/>
  </cols>
  <sheetData>
    <row r="1" spans="1:4">
      <c r="A1" s="53" t="s">
        <v>290</v>
      </c>
      <c r="B1" s="53" t="s">
        <v>291</v>
      </c>
      <c r="C1" s="54" t="s">
        <v>46</v>
      </c>
      <c r="D1" s="55" t="s">
        <v>292</v>
      </c>
    </row>
    <row r="2" spans="1:4">
      <c r="A2" s="51" t="s">
        <v>293</v>
      </c>
      <c r="B2" s="51" t="s">
        <v>294</v>
      </c>
      <c r="C2" s="51" t="s">
        <v>64</v>
      </c>
      <c r="D2" s="51" t="s">
        <v>295</v>
      </c>
    </row>
    <row r="3" spans="1:4">
      <c r="A3" s="51" t="s">
        <v>293</v>
      </c>
      <c r="B3" s="51" t="s">
        <v>294</v>
      </c>
      <c r="C3" s="51" t="s">
        <v>64</v>
      </c>
      <c r="D3" s="51" t="s">
        <v>296</v>
      </c>
    </row>
    <row r="4" spans="1:4">
      <c r="A4" s="51" t="s">
        <v>293</v>
      </c>
      <c r="B4" s="51" t="s">
        <v>294</v>
      </c>
      <c r="C4" s="51" t="s">
        <v>64</v>
      </c>
      <c r="D4" s="51" t="s">
        <v>297</v>
      </c>
    </row>
    <row r="5" spans="1:4">
      <c r="A5" s="51" t="s">
        <v>293</v>
      </c>
      <c r="B5" s="51" t="s">
        <v>294</v>
      </c>
      <c r="C5" s="51" t="s">
        <v>64</v>
      </c>
      <c r="D5" s="51" t="s">
        <v>298</v>
      </c>
    </row>
    <row r="6" spans="1:4">
      <c r="A6" s="51" t="s">
        <v>293</v>
      </c>
      <c r="B6" s="51" t="s">
        <v>294</v>
      </c>
      <c r="C6" s="51" t="s">
        <v>64</v>
      </c>
      <c r="D6" s="51" t="s">
        <v>299</v>
      </c>
    </row>
    <row r="7" spans="1:4">
      <c r="A7" s="51" t="s">
        <v>293</v>
      </c>
      <c r="B7" s="51" t="s">
        <v>294</v>
      </c>
      <c r="C7" s="51" t="s">
        <v>64</v>
      </c>
      <c r="D7" s="51" t="s">
        <v>300</v>
      </c>
    </row>
    <row r="8" spans="1:4">
      <c r="A8" s="51" t="s">
        <v>293</v>
      </c>
      <c r="B8" s="51" t="s">
        <v>294</v>
      </c>
      <c r="C8" s="51" t="s">
        <v>64</v>
      </c>
      <c r="D8" s="51" t="s">
        <v>87</v>
      </c>
    </row>
    <row r="9" spans="1:4">
      <c r="A9" s="51" t="s">
        <v>293</v>
      </c>
      <c r="B9" s="51" t="s">
        <v>294</v>
      </c>
      <c r="C9" s="51" t="s">
        <v>64</v>
      </c>
      <c r="D9" s="51" t="s">
        <v>301</v>
      </c>
    </row>
    <row r="10" spans="1:4">
      <c r="A10" s="51" t="s">
        <v>293</v>
      </c>
      <c r="B10" s="51" t="s">
        <v>294</v>
      </c>
      <c r="C10" s="51" t="s">
        <v>64</v>
      </c>
      <c r="D10" s="51" t="s">
        <v>302</v>
      </c>
    </row>
    <row r="11" spans="1:4">
      <c r="A11" s="51" t="s">
        <v>293</v>
      </c>
      <c r="B11" s="51" t="s">
        <v>294</v>
      </c>
      <c r="C11" s="51" t="s">
        <v>64</v>
      </c>
      <c r="D11" s="51" t="s">
        <v>303</v>
      </c>
    </row>
    <row r="12" spans="1:4">
      <c r="A12" s="51" t="s">
        <v>293</v>
      </c>
      <c r="B12" s="51" t="s">
        <v>294</v>
      </c>
      <c r="C12" s="51" t="s">
        <v>64</v>
      </c>
      <c r="D12" s="51" t="s">
        <v>304</v>
      </c>
    </row>
    <row r="13" spans="1:4">
      <c r="A13" s="51" t="s">
        <v>293</v>
      </c>
      <c r="B13" s="51" t="s">
        <v>294</v>
      </c>
      <c r="C13" s="51" t="s">
        <v>64</v>
      </c>
      <c r="D13" s="51" t="s">
        <v>305</v>
      </c>
    </row>
    <row r="14" spans="1:4">
      <c r="A14" s="51" t="s">
        <v>293</v>
      </c>
      <c r="B14" s="51" t="s">
        <v>294</v>
      </c>
      <c r="C14" s="51" t="s">
        <v>64</v>
      </c>
      <c r="D14" s="51" t="s">
        <v>306</v>
      </c>
    </row>
    <row r="15" spans="1:4">
      <c r="A15" s="51" t="s">
        <v>293</v>
      </c>
      <c r="B15" s="51" t="s">
        <v>294</v>
      </c>
      <c r="C15" s="51" t="s">
        <v>64</v>
      </c>
      <c r="D15" s="51" t="s">
        <v>307</v>
      </c>
    </row>
    <row r="16" spans="1:4">
      <c r="A16" s="51" t="s">
        <v>293</v>
      </c>
      <c r="B16" s="51" t="s">
        <v>294</v>
      </c>
      <c r="C16" s="51" t="s">
        <v>64</v>
      </c>
      <c r="D16" s="51" t="s">
        <v>308</v>
      </c>
    </row>
    <row r="17" spans="1:4">
      <c r="A17" s="51" t="s">
        <v>293</v>
      </c>
      <c r="B17" s="51" t="s">
        <v>294</v>
      </c>
      <c r="C17" s="51" t="s">
        <v>64</v>
      </c>
      <c r="D17" s="51" t="s">
        <v>309</v>
      </c>
    </row>
    <row r="18" spans="1:4">
      <c r="A18" s="51" t="s">
        <v>293</v>
      </c>
      <c r="B18" s="51" t="s">
        <v>294</v>
      </c>
      <c r="C18" s="51" t="s">
        <v>64</v>
      </c>
      <c r="D18" s="51" t="s">
        <v>310</v>
      </c>
    </row>
    <row r="19" spans="1:4">
      <c r="A19" s="51" t="s">
        <v>293</v>
      </c>
      <c r="B19" s="51" t="s">
        <v>294</v>
      </c>
      <c r="C19" s="51" t="s">
        <v>64</v>
      </c>
      <c r="D19" s="51" t="s">
        <v>311</v>
      </c>
    </row>
    <row r="20" spans="1:4">
      <c r="A20" s="51" t="s">
        <v>293</v>
      </c>
      <c r="B20" s="51" t="s">
        <v>294</v>
      </c>
      <c r="C20" s="51" t="s">
        <v>64</v>
      </c>
      <c r="D20" s="51" t="s">
        <v>312</v>
      </c>
    </row>
    <row r="21" spans="1:4">
      <c r="A21" s="51" t="s">
        <v>293</v>
      </c>
      <c r="B21" s="51" t="s">
        <v>294</v>
      </c>
      <c r="C21" s="51" t="s">
        <v>64</v>
      </c>
      <c r="D21" s="51" t="s">
        <v>313</v>
      </c>
    </row>
    <row r="22" spans="1:4">
      <c r="A22" s="51" t="s">
        <v>293</v>
      </c>
      <c r="B22" s="51" t="s">
        <v>294</v>
      </c>
      <c r="C22" s="51" t="s">
        <v>64</v>
      </c>
      <c r="D22" s="51" t="s">
        <v>314</v>
      </c>
    </row>
    <row r="23" spans="1:4">
      <c r="A23" s="51" t="s">
        <v>293</v>
      </c>
      <c r="B23" s="51" t="s">
        <v>294</v>
      </c>
      <c r="C23" s="51" t="s">
        <v>64</v>
      </c>
      <c r="D23" s="51" t="s">
        <v>315</v>
      </c>
    </row>
    <row r="24" spans="1:4">
      <c r="A24" s="51" t="s">
        <v>293</v>
      </c>
      <c r="B24" s="51" t="s">
        <v>294</v>
      </c>
      <c r="C24" s="51" t="s">
        <v>64</v>
      </c>
      <c r="D24" s="51" t="s">
        <v>316</v>
      </c>
    </row>
    <row r="25" spans="1:4">
      <c r="A25" s="51" t="s">
        <v>293</v>
      </c>
      <c r="B25" s="51" t="s">
        <v>294</v>
      </c>
      <c r="C25" s="51" t="s">
        <v>64</v>
      </c>
      <c r="D25" s="51" t="s">
        <v>317</v>
      </c>
    </row>
    <row r="26" spans="1:4">
      <c r="A26" s="51" t="s">
        <v>293</v>
      </c>
      <c r="B26" s="51" t="s">
        <v>294</v>
      </c>
      <c r="C26" s="51" t="s">
        <v>131</v>
      </c>
      <c r="D26" s="51" t="s">
        <v>318</v>
      </c>
    </row>
    <row r="27" spans="1:4">
      <c r="A27" s="51" t="s">
        <v>293</v>
      </c>
      <c r="B27" s="51" t="s">
        <v>294</v>
      </c>
      <c r="C27" s="51" t="s">
        <v>131</v>
      </c>
      <c r="D27" s="51" t="s">
        <v>319</v>
      </c>
    </row>
    <row r="28" spans="1:4">
      <c r="A28" s="51" t="s">
        <v>293</v>
      </c>
      <c r="B28" s="51" t="s">
        <v>294</v>
      </c>
      <c r="C28" s="51" t="s">
        <v>131</v>
      </c>
      <c r="D28" s="51" t="s">
        <v>320</v>
      </c>
    </row>
    <row r="29" spans="1:4">
      <c r="A29" s="51" t="s">
        <v>293</v>
      </c>
      <c r="B29" s="51" t="s">
        <v>294</v>
      </c>
      <c r="C29" s="51" t="s">
        <v>131</v>
      </c>
      <c r="D29" s="51" t="s">
        <v>321</v>
      </c>
    </row>
    <row r="30" spans="1:4">
      <c r="A30" s="51" t="s">
        <v>293</v>
      </c>
      <c r="B30" s="51" t="s">
        <v>294</v>
      </c>
      <c r="C30" s="51" t="s">
        <v>131</v>
      </c>
      <c r="D30" s="51" t="s">
        <v>322</v>
      </c>
    </row>
    <row r="31" spans="1:4">
      <c r="A31" s="51" t="s">
        <v>293</v>
      </c>
      <c r="B31" s="51" t="s">
        <v>294</v>
      </c>
      <c r="C31" s="51" t="s">
        <v>131</v>
      </c>
      <c r="D31" s="51" t="s">
        <v>323</v>
      </c>
    </row>
    <row r="32" spans="1:4">
      <c r="A32" s="51" t="s">
        <v>293</v>
      </c>
      <c r="B32" s="51" t="s">
        <v>294</v>
      </c>
      <c r="C32" s="51" t="s">
        <v>131</v>
      </c>
      <c r="D32" s="51" t="s">
        <v>324</v>
      </c>
    </row>
    <row r="33" spans="1:4">
      <c r="A33" s="51" t="s">
        <v>293</v>
      </c>
      <c r="B33" s="51" t="s">
        <v>294</v>
      </c>
      <c r="C33" s="51" t="s">
        <v>131</v>
      </c>
      <c r="D33" s="51" t="s">
        <v>325</v>
      </c>
    </row>
    <row r="34" spans="1:4">
      <c r="A34" s="51" t="s">
        <v>293</v>
      </c>
      <c r="B34" s="51" t="s">
        <v>294</v>
      </c>
      <c r="C34" s="51" t="s">
        <v>131</v>
      </c>
      <c r="D34" s="51" t="s">
        <v>326</v>
      </c>
    </row>
    <row r="35" spans="1:4">
      <c r="A35" s="51" t="s">
        <v>293</v>
      </c>
      <c r="B35" s="51" t="s">
        <v>294</v>
      </c>
      <c r="C35" s="51" t="s">
        <v>327</v>
      </c>
      <c r="D35" s="51" t="s">
        <v>328</v>
      </c>
    </row>
    <row r="36" spans="1:4">
      <c r="A36" s="51" t="s">
        <v>293</v>
      </c>
      <c r="B36" s="51" t="s">
        <v>294</v>
      </c>
      <c r="C36" s="51" t="s">
        <v>327</v>
      </c>
      <c r="D36" s="51" t="s">
        <v>329</v>
      </c>
    </row>
    <row r="37" spans="1:4">
      <c r="A37" s="51" t="s">
        <v>293</v>
      </c>
      <c r="B37" s="51" t="s">
        <v>294</v>
      </c>
      <c r="C37" s="51" t="s">
        <v>327</v>
      </c>
      <c r="D37" s="51" t="s">
        <v>330</v>
      </c>
    </row>
    <row r="38" spans="1:4">
      <c r="A38" s="51" t="s">
        <v>293</v>
      </c>
      <c r="B38" s="51" t="s">
        <v>294</v>
      </c>
      <c r="C38" s="51" t="s">
        <v>64</v>
      </c>
      <c r="D38" s="51" t="s">
        <v>331</v>
      </c>
    </row>
    <row r="39" spans="1:4">
      <c r="C39" s="52" t="s">
        <v>192</v>
      </c>
      <c r="D39" s="15"/>
    </row>
    <row r="40" spans="1:4">
      <c r="C40" s="9"/>
      <c r="D40" s="16"/>
    </row>
    <row r="41" spans="1:4">
      <c r="D41" s="17"/>
    </row>
    <row r="42" spans="1:4">
      <c r="D42" s="17"/>
    </row>
    <row r="43" spans="1:4">
      <c r="D43" s="17"/>
    </row>
    <row r="44" spans="1:4">
      <c r="D44" s="17"/>
    </row>
    <row r="45" spans="1:4">
      <c r="D45" s="17"/>
    </row>
    <row r="46" spans="1:4">
      <c r="D46" s="17"/>
    </row>
    <row r="47" spans="1:4">
      <c r="D47" s="17"/>
    </row>
    <row r="48" spans="1:4">
      <c r="D48"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D854F-6320-4701-9E52-C8FAA23F1A5A}"/>
</file>

<file path=customXml/itemProps2.xml><?xml version="1.0" encoding="utf-8"?>
<ds:datastoreItem xmlns:ds="http://schemas.openxmlformats.org/officeDocument/2006/customXml" ds:itemID="{144FFFD3-FF49-4C62-8C98-CD4325BABAA6}"/>
</file>

<file path=customXml/itemProps3.xml><?xml version="1.0" encoding="utf-8"?>
<ds:datastoreItem xmlns:ds="http://schemas.openxmlformats.org/officeDocument/2006/customXml" ds:itemID="{7311F474-3058-42F1-AA82-4106AF399A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2025-11-30T10:23:53Z</dcterms:created>
  <dcterms:modified xsi:type="dcterms:W3CDTF">2026-10-18T21:43:24Z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