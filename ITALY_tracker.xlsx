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undp.sharepoint.com/sites/sudanresilience/Shared Documents/Project Implmentation/Italy/Gedaref State/2025/01 M&amp;E and Reporting/"/>
    </mc:Choice>
  </mc:AlternateContent>
  <xr:revisionPtr revIDLastSave="0" documentId="8_{8FA4E182-EF75-44B9-820E-14C975AA1C63}" xr6:coauthVersionLast="47" xr6:coauthVersionMax="47" xr10:uidLastSave="{00000000-0000-0000-0000-000000000000}"/>
  <bookViews>
    <workbookView xWindow="32280" yWindow="-120" windowWidth="29040" windowHeight="15720" firstSheet="5" activeTab="5" xr2:uid="{CE0A0ABE-5DF7-459D-B665-A9AE99ADA698}"/>
  </bookViews>
  <sheets>
    <sheet name="Project_Factsheet" sheetId="3" r:id="rId1"/>
    <sheet name="ITALY_WASH_GDKS" sheetId="1" r:id="rId2"/>
    <sheet name="Weekly_Updates" sheetId="4" r:id="rId3"/>
    <sheet name="Indicator Ref Sheet" sheetId="2" r:id="rId4"/>
    <sheet name="Sheet2" sheetId="9" r:id="rId5"/>
    <sheet name="RehabilitationWorks" sheetId="5" r:id="rId6"/>
    <sheet name="SolarStreetLights" sheetId="7" r:id="rId7"/>
    <sheet name="IP_Locations" sheetId="6" r:id="rId8"/>
    <sheet name="Sheet1" sheetId="8" r:id="rId9"/>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F16" i="1"/>
  <c r="F15" i="1"/>
  <c r="F7" i="1"/>
  <c r="I7" i="2"/>
  <c r="F12" i="1"/>
  <c r="F14" i="1"/>
  <c r="F4" i="1"/>
  <c r="F18" i="1"/>
  <c r="F17" i="1"/>
  <c r="F6" i="1"/>
  <c r="F5" i="1"/>
  <c r="F3" i="1"/>
  <c r="F9" i="1"/>
  <c r="F19" i="1"/>
  <c r="F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tc={90C6A3A9-677A-4769-914F-37B1053676BB}</author>
    <author>tc={03648906-D722-4240-B2A4-C3C4565028B6}</author>
    <author>tc={0F81847C-8397-4992-A5E7-2E49C4CF34F6}</author>
    <author>tc={15A72AD7-9077-4239-AE76-450DA4B0A469}</author>
  </authors>
  <commentList>
    <comment ref="E2" authorId="0" shapeId="0" xr:uid="{90C6A3A9-677A-4769-914F-37B1053676BB}">
      <text>
        <t>[Threaded comment]
Your version of Excel allows you to read this threaded comment; however, any edits to it will get removed if the file is opened in a newer version of Excel. Learn more: https://go.microsoft.com/fwlink/?linkid=870924
Comment:
    @Mohieldin Aboh Can you update this column based based on the weekly updates shared?
Reply:
    @Marrian Gebreselassie All columns updated</t>
      </text>
    </comment>
    <comment ref="G12" authorId="1" shapeId="0" xr:uid="{03648906-D722-4240-B2A4-C3C4565028B6}">
      <text>
        <t>[Threaded comment]
Your version of Excel allows you to read this threaded comment; however, any edits to it will get removed if the file is opened in a newer version of Excel. Learn more: https://go.microsoft.com/fwlink/?linkid=870924
Comment:
    @Isaac Asare yesterday's sheet and the update from the presentation you shared stated 360. Nothing on this was stated in the partner report either. Was another activity report shared on the rest?
Reply:
    This was implemented directly through procurement
Reply:
    this is @John Anodam .. this activity was implemented directly by UNDP through procurement and not by the IP.
Reply:
    @Mohieldin Aboh Thank you for clarifying. In the future, please flag to me things implemented directly by UNDP because these details aren't captured in any documents I received.</t>
      </text>
    </comment>
    <comment ref="F14" authorId="2" shapeId="0" xr:uid="{0F81847C-8397-4992-A5E7-2E49C4CF34F6}">
      <text>
        <t>[Threaded comment]
Your version of Excel allows you to read this threaded comment; however, any edits to it will get removed if the file is opened in a newer version of Excel. Learn more: https://go.microsoft.com/fwlink/?linkid=870924
Comment:
    @Isaac Asare note the change
Reply:
    okay</t>
      </text>
    </comment>
    <comment ref="F20" authorId="3" shapeId="0" xr:uid="{15A72AD7-9077-4239-AE76-450DA4B0A469}">
      <text>
        <t>[Threaded comment]
Your version of Excel allows you to read this threaded comment; however, any edits to it will get removed if the file is opened in a newer version of Excel. Learn more: https://go.microsoft.com/fwlink/?linkid=870924
Comment:
    @Isaac Asare note the change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tc={94871BC7-A556-4C99-89C4-C12BC7C45DF0}</author>
  </authors>
  <commentList>
    <comment ref="B9" authorId="0" shapeId="0" xr:uid="{94871BC7-A556-4C99-89C4-C12BC7C45DF0}">
      <text>
        <t>[Threaded comment]
Your version of Excel allows you to read this threaded comment; however, any edits to it will get removed if the file is opened in a newer version of Excel. Learn more: https://go.microsoft.com/fwlink/?linkid=870924
Comment:
    @Mohieldin Aboh / @John Anodam  / @Isaac Asare / @Abdalla Ali Abdalla Ibrahim Did you receive this draft report?
Reply:
    @Marrian Gebreselassie, yes, I have received the report. I have added some comments and forwarded it to the IP for their endorsement. Once finalized, I will share it with you.</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tc={06611880-55A9-45D1-909B-A406B7A100FA}</author>
    <author>tc={CA69D6DF-F76A-4B7F-A1B3-88B8C46798BA}</author>
  </authors>
  <commentList>
    <comment ref="D1" authorId="0" shapeId="0" xr:uid="{06611880-55A9-45D1-909B-A406B7A100FA}">
      <text>
        <t>[Threaded comment]
Your version of Excel allows you to read this threaded comment; however, any edits to it will get removed if the file is opened in a newer version of Excel. Learn more: https://go.microsoft.com/fwlink/?linkid=870924
Comment:
    @Yassir Zahir / @Mohieldin Aboh please include information for Captain water yard in Gedaref</t>
      </text>
    </comment>
    <comment ref="G24" authorId="1" shapeId="0" xr:uid="{CA69D6DF-F76A-4B7F-A1B3-88B8C46798BA}">
      <text>
        <t>[Threaded comment]
Your version of Excel allows you to read this threaded comment; however, any edits to it will get removed if the file is opened in a newer version of Excel. Learn more: https://go.microsoft.com/fwlink/?linkid=870924
Comment:
    @Islam Mohamed / @Ahmed Adam / @Mohieldin Aboh please update status of sites highlighted in yellow
Reply:
    Done</t>
      </text>
    </comment>
  </commentList>
</comments>
</file>

<file path=xl/sharedStrings.xml><?xml version="1.0" encoding="utf-8"?>
<sst xmlns="http://schemas.openxmlformats.org/spreadsheetml/2006/main" count="2018" uniqueCount="314">
  <si>
    <t>Project Name:</t>
  </si>
  <si>
    <t>Addressing the Urgent Needs of IDPs and Host Communities to Strengthen the Resilience and Social Stability of Conflict-affected Communities in Sudan</t>
  </si>
  <si>
    <t>Donor:</t>
  </si>
  <si>
    <t xml:space="preserve">Italian Agency for Development Cooperation (AICS) </t>
  </si>
  <si>
    <t>Award No.:</t>
  </si>
  <si>
    <t>Award No: 1339192 – Italy</t>
  </si>
  <si>
    <t>Total budget:</t>
  </si>
  <si>
    <t>Start date:</t>
  </si>
  <si>
    <t>End date:</t>
  </si>
  <si>
    <t>Duration:</t>
  </si>
  <si>
    <t>36 months</t>
  </si>
  <si>
    <t>Target locations:</t>
  </si>
  <si>
    <t>Kassala State (El Girba and New Halfa Localities) and Gedaref State (Galaa Al Nahal and Elgorisha</t>
  </si>
  <si>
    <t>Implementing Partners:</t>
  </si>
  <si>
    <t>SORR (Gedaref)</t>
  </si>
  <si>
    <t>Last update to tracker:</t>
  </si>
  <si>
    <t>3/02/026</t>
  </si>
  <si>
    <t>Output</t>
  </si>
  <si>
    <t>Activity</t>
  </si>
  <si>
    <t>PIMS_ToI</t>
  </si>
  <si>
    <t>Target</t>
  </si>
  <si>
    <t>Achievement</t>
  </si>
  <si>
    <t>Comment</t>
  </si>
  <si>
    <t>Count</t>
  </si>
  <si>
    <t>% of Achievement</t>
  </si>
  <si>
    <t>Output 1: Improved income-generation capacity and livelihood opportunities for the women by selling surplus produce and value-added products</t>
  </si>
  <si>
    <t>Activity 1.1: Distribute agricultural inputs (seeds, tools, solar water pumps, fertilizers, etc.) to 1,200 households.</t>
  </si>
  <si>
    <r>
      <rPr>
        <sz val="10"/>
        <color rgb="FF000000"/>
        <rFont val="Aptos Narrow"/>
        <scheme val="minor"/>
      </rPr>
      <t xml:space="preserve">600 households received improved seeds , each received;
</t>
    </r>
    <r>
      <rPr>
        <sz val="10"/>
        <color rgb="FFFF0000"/>
        <rFont val="Aptos Narrow"/>
        <scheme val="minor"/>
      </rPr>
      <t xml:space="preserve">Groundnuts: 33 kg / 200 sacks with 25kgs
</t>
    </r>
    <r>
      <rPr>
        <sz val="10"/>
        <color rgb="FF000000"/>
        <rFont val="Aptos Narrow"/>
        <scheme val="minor"/>
      </rPr>
      <t xml:space="preserve">sesame: 10kg
Sorghum:10kg
UNDP also distributed agricultural tools (hoe, weeding tools, sickle). UNDP will provide an additional 600 households with improved seeds in 2026, covering Kassala State (300/locality) 
</t>
    </r>
    <r>
      <rPr>
        <sz val="11"/>
        <color rgb="FF00B050"/>
        <rFont val="Aptos Narrow"/>
        <scheme val="minor"/>
      </rPr>
      <t>*Additional 600 households are ready to receive agriculture inputs in July 2026 for the 2026 agricultural season. Preparations at advanced stages.</t>
    </r>
  </si>
  <si>
    <t>Activity 1.2: Implement 4 agricultural trainings for 1,200 households using 4 Farmer Field School Sites. (1training course in each of the 4 sites)</t>
  </si>
  <si>
    <r>
      <rPr>
        <sz val="10"/>
        <color rgb="FF000000"/>
        <rFont val="Aptos Narrow"/>
        <scheme val="minor"/>
      </rPr>
      <t xml:space="preserve">600 farmers participated in agricultural training sessions at four Farmer Field School sites in Gedaref state. A similar training will be conducted in Kassala state in 2026.
</t>
    </r>
    <r>
      <rPr>
        <sz val="10"/>
        <color rgb="FF00B050"/>
        <rFont val="Aptos Narrow"/>
        <scheme val="minor"/>
      </rPr>
      <t>*Preparations are at advanced stages for the training of additional 800 beneficiaies in 2026 in line with the agriculture season.</t>
    </r>
  </si>
  <si>
    <t>Activity 1.3: Initiate home gardening for 600 households involving displaced women and the host community</t>
  </si>
  <si>
    <r>
      <rPr>
        <sz val="10"/>
        <color rgb="FF000000"/>
        <rFont val="Aptos Narrow"/>
        <scheme val="minor"/>
      </rPr>
      <t xml:space="preserve">300 households, including displaced women and host community members, received vegetable seeds and gardening tools to start home gardens. (150 in each locality)
</t>
    </r>
    <r>
      <rPr>
        <sz val="10"/>
        <color rgb="FF00B050"/>
        <rFont val="Aptos Narrow"/>
        <scheme val="minor"/>
      </rPr>
      <t>*Additional 300 households will recive home gardening support during the current season. Preparations at advanced stages.</t>
    </r>
  </si>
  <si>
    <t xml:space="preserve">Activity 1.4: Provide 60 micro-grants to vulnerable groups and associations (including IDPs and host community members) targeting 3,000 individuals. </t>
  </si>
  <si>
    <r>
      <rPr>
        <sz val="10"/>
        <color rgb="FF000000"/>
        <rFont val="Aptos Narrow"/>
        <scheme val="minor"/>
      </rPr>
      <t xml:space="preserve">A total of 837 individuals (239 males and 598 females), representing 32 groups, have benefited from this micro-project through the application process and the implementation of winning projects. Each group ranged in size from 21 to 30 members and collectively covered a diverse range of project activities. 
</t>
    </r>
    <r>
      <rPr>
        <sz val="10"/>
        <color rgb="FF00B050"/>
        <rFont val="Aptos Narrow"/>
        <scheme val="minor"/>
      </rPr>
      <t>Additional 30 grants are currently being provided before end of the year.</t>
    </r>
  </si>
  <si>
    <t xml:space="preserve">Activity 1.5: Support 16 Local Savings and Lending Associations for IDPs and host communities to enhance self-help and income generation, targeting 320 individuals. </t>
  </si>
  <si>
    <r>
      <rPr>
        <sz val="10"/>
        <color rgb="FF000000"/>
        <rFont val="Aptos Narrow"/>
        <scheme val="minor"/>
      </rPr>
      <t xml:space="preserve">UNDP established 14 Local Savings and Lending Associations, comprising </t>
    </r>
    <r>
      <rPr>
        <sz val="10"/>
        <color rgb="FFFF0000"/>
        <rFont val="Aptos Narrow"/>
        <scheme val="minor"/>
      </rPr>
      <t xml:space="preserve">322 </t>
    </r>
    <r>
      <rPr>
        <strike/>
        <sz val="10"/>
        <color rgb="FFFF0000"/>
        <rFont val="Aptos Narrow"/>
        <scheme val="minor"/>
      </rPr>
      <t>320</t>
    </r>
    <r>
      <rPr>
        <sz val="10"/>
        <color rgb="FF000000"/>
        <rFont val="Aptos Narrow"/>
        <scheme val="minor"/>
      </rPr>
      <t xml:space="preserve"> members. The VSLAs were trained and supported to engage in income-generating activities. 
</t>
    </r>
    <r>
      <rPr>
        <sz val="10"/>
        <color rgb="FF00B050"/>
        <rFont val="Aptos Narrow"/>
        <scheme val="minor"/>
      </rPr>
      <t>Eight (8) additional 8 VSLAs have been identified and being support.</t>
    </r>
  </si>
  <si>
    <t>Activity 1.6: Conduct 4 vocational and skills training on income-generating activities for 100 youth, targeting four trade courses (namely: electricity, mobile phone maintenance, solar cookstoves, masonry/construction of shelter).</t>
  </si>
  <si>
    <r>
      <rPr>
        <sz val="10"/>
        <color rgb="FF000000"/>
        <rFont val="Aptos Narrow"/>
        <scheme val="minor"/>
      </rPr>
      <t xml:space="preserve">Total of 50 youth (50% female), who received skills training in mobile phone maintenance, electricity and solar systems, makeup and henna design, and tailoring and sewing, accompanied by start-up kits. 50% in each locality;
</t>
    </r>
    <r>
      <rPr>
        <sz val="10"/>
        <color rgb="FF00B050"/>
        <rFont val="Aptos Narrow"/>
        <scheme val="minor"/>
      </rPr>
      <t>Additional 50 trainees are being prepared for trainng in the Kassala State in partnership with the JASMAR Organisation. Preparations at advanced stages.</t>
    </r>
  </si>
  <si>
    <t>Output 1 %</t>
  </si>
  <si>
    <t>Output 2: Improved absorption capacity of host communities through increased access to basic services.</t>
  </si>
  <si>
    <t xml:space="preserve">Activity 2.1: Rehabilitate four clinics, four schools, and four water yards, including the chlorinating water points, to benefit 20,000 people. </t>
  </si>
  <si>
    <r>
      <rPr>
        <b/>
        <sz val="10"/>
        <color rgb="FF000000"/>
        <rFont val="Aptos Narrow"/>
      </rPr>
      <t xml:space="preserve">1: Rehabilitation of Water Yards:
</t>
    </r>
    <r>
      <rPr>
        <sz val="10"/>
        <color rgb="FF000000"/>
        <rFont val="Aptos Narrow"/>
      </rPr>
      <t>*The rehabilitation of the two water yards has been completed, one in each of Gedaref handover over process ongoing and in Kassala handed over to SWC.
*</t>
    </r>
    <r>
      <rPr>
        <sz val="10"/>
        <color rgb="FF00B050"/>
        <rFont val="Aptos Narrow"/>
      </rPr>
      <t xml:space="preserve">Rehabaliation  of two (2) additional water yards  one each in Kassala and Gedaref is completed 100% the site are handedover. 
</t>
    </r>
    <r>
      <rPr>
        <b/>
        <sz val="10"/>
        <color rgb="FF000000"/>
        <rFont val="Aptos Narrow"/>
      </rPr>
      <t xml:space="preserve">2: Rehabilitation of Schools:
</t>
    </r>
    <r>
      <rPr>
        <sz val="10"/>
        <color rgb="FF000000"/>
        <rFont val="Aptos Narrow"/>
      </rPr>
      <t xml:space="preserve">*The rehabilitation of two schools one in Gurisha and  in  Elmatna in GalaaAlnhal are completed 100% completed and handed over. 
</t>
    </r>
    <r>
      <rPr>
        <sz val="10"/>
        <color rgb="FF00B050"/>
        <rFont val="Aptos Narrow"/>
      </rPr>
      <t xml:space="preserve">*Rehabalitated of 1 school in village 2 in Khashm-Elgirbal and 1 school in village 19 in New Halfa is completed 85%.
</t>
    </r>
    <r>
      <rPr>
        <b/>
        <sz val="10"/>
        <color rgb="FF000000"/>
        <rFont val="Aptos Narrow"/>
      </rPr>
      <t xml:space="preserve">3: Rehabilitation of Clinics
</t>
    </r>
    <r>
      <rPr>
        <sz val="10"/>
        <color rgb="FF000000"/>
        <rFont val="Aptos Narrow"/>
      </rPr>
      <t>The rehabilitation of two community health centers have been completed and handed over to Ministry of Health: one in Elmtna, and one in Tabarakalla in Gedaref State</t>
    </r>
    <r>
      <rPr>
        <sz val="10"/>
        <color rgb="FFC00000"/>
        <rFont val="Aptos Narrow"/>
      </rPr>
      <t xml:space="preserve">.
</t>
    </r>
    <r>
      <rPr>
        <sz val="10"/>
        <color rgb="FF00B050"/>
        <rFont val="Aptos Narrow"/>
      </rPr>
      <t xml:space="preserve">*Rehabalitated of 1 clinic in village 2 in Khashm-Elgirbal and 1 cilinc in village 19 in New Halfa is completed 75%.
</t>
    </r>
  </si>
  <si>
    <t>Activity 2.2: Establish 4 water user associations (WUA) and a cost recovery system to maintain and sustain the basic services delivered.</t>
  </si>
  <si>
    <r>
      <rPr>
        <sz val="10"/>
        <color rgb="FF000000"/>
        <rFont val="Aptos Narrow"/>
        <scheme val="minor"/>
      </rPr>
      <t xml:space="preserve">Two (2) existing but non-functional WUAs have been reactivated and training will be organised in Q1  2026. Cost recovery systems will be established in Q1 2026.
</t>
    </r>
    <r>
      <rPr>
        <sz val="10"/>
        <color rgb="FF00B050"/>
        <rFont val="Aptos Narrow"/>
        <scheme val="minor"/>
      </rPr>
      <t>*Two additional WUAS are being reactivated to be trained .</t>
    </r>
  </si>
  <si>
    <t>Activity 2.3: Procure and distribute Non-Food Items (NFIs), such as water Jerry cans, tents, and Solar NFIs, to 600 IDPs and vulnerable households in host communities (3-in-1 solar set: mobile charging, lighting, and FM radio) to enhance IDPs' and host communities' access to energy, protection (GBV cases), and information.</t>
  </si>
  <si>
    <r>
      <rPr>
        <sz val="10"/>
        <color rgb="FFFF0000"/>
        <rFont val="Aptos Narrow"/>
        <scheme val="minor"/>
      </rPr>
      <t>300</t>
    </r>
    <r>
      <rPr>
        <strike/>
        <sz val="10"/>
        <color rgb="FF000000"/>
        <rFont val="Aptos Narrow"/>
        <scheme val="minor"/>
      </rPr>
      <t xml:space="preserve"> 690</t>
    </r>
  </si>
  <si>
    <r>
      <rPr>
        <sz val="10"/>
        <color rgb="FF000000"/>
        <rFont val="Aptos Narrow"/>
        <scheme val="minor"/>
      </rPr>
      <t xml:space="preserve">UNDP distributed 600 jerricans and 90  solar lanterns to IDPs and host communities in Gedaref and Kassala Stats. Additional 
</t>
    </r>
    <r>
      <rPr>
        <sz val="10"/>
        <color rgb="FF00B050"/>
        <rFont val="Aptos Narrow"/>
        <scheme val="minor"/>
      </rPr>
      <t>^Additional 50 solar laterns are currently under procurement at advance level.</t>
    </r>
  </si>
  <si>
    <t>Activity 2.4: Procure and install 30 Solar Street lights in IDP Gathering Areas and host communities to enhance safety and security, especially for girls and women at night, which is estimated to benefit at least 6.000 households.</t>
  </si>
  <si>
    <r>
      <rPr>
        <sz val="10"/>
        <color rgb="FF000000"/>
        <rFont val="Aptos Narrow"/>
      </rPr>
      <t xml:space="preserve">Sixteen (16) solar street lights have so far been procured and inslalled in 10 communities in New Halfa and Girba Localities in Kassala State. 
</t>
    </r>
    <r>
      <rPr>
        <sz val="10"/>
        <color rgb="FF00B050"/>
        <rFont val="Aptos Narrow"/>
      </rPr>
      <t>*Additional 14 Solar Lights are currently undergoing procurement.</t>
    </r>
  </si>
  <si>
    <t xml:space="preserve">Output 2 </t>
  </si>
  <si>
    <t>Output 3: Strengthened social cohesion and empowerment of women through collective action and peer learning.</t>
  </si>
  <si>
    <t xml:space="preserve">Activity 3.1: Establish 4 Community Management Committees (CMCs) of 20 members each and 8 Subcommittees) to ensure the supervision of project activities, particularly for identifying and maintaining water points to be rehabilitated in schools and primary health centers. </t>
  </si>
  <si>
    <t xml:space="preserve">Six (6) CMCs were established in Al Guraisha  and Gala Alnahal localities, with a total of 48 key community members.  Also, 12  Subcommittees have been formed with 72 members of which </t>
  </si>
  <si>
    <t xml:space="preserve">Activity 3.2: Launch 4 social Peace and Social cohesion committees - with at least 50% female representation -tasked with promoting peaceful coexistence and facilitating peacebuilding within communities. </t>
  </si>
  <si>
    <t xml:space="preserve">Four (4) Peace events were successfully conducted in two localities, two session in each, with representation from involved stakeholders.  </t>
  </si>
  <si>
    <t>Activity 3.3: Conduct four (4) Training of Trainers (ToT) courses for 80 CMC members to train local mediators to facilitate dialogue and reconciliation processes between displaced persons and host communities on topics related to women's empowerment, the rights of persons with disabilities, water resource management, peacebuilding, and social inclusion.</t>
  </si>
  <si>
    <t xml:space="preserve">Organized TOT for six (6) CMCs, with a total membership of 130. Trained on conflict resolution, peacebuilding.
Two separate Training of Trainers (TOT) were conducted in Al Guraisha and  GalAlnhal  localities, with a total of 58 key community members participating (20 female and 38 male). In addition to 72  local mediators has been trained in the two localities (39 males and 33 females) </t>
  </si>
  <si>
    <t>Activity 3.4: Organize 8 community events to promote social cohesion and raise awareness on issues such as GBV and risk prevention (UXO-DRR) through sports activities, cultural fairs, radio broadcasts, etc</t>
  </si>
  <si>
    <t xml:space="preserve">4 community peace events held to promote inclusion, GBV awareness, and risk reduction. 
</t>
  </si>
  <si>
    <t>Output 3 %</t>
  </si>
  <si>
    <t xml:space="preserve">Overall Percentage Achievement </t>
  </si>
  <si>
    <t>Week Duration</t>
  </si>
  <si>
    <t xml:space="preserve">IP_Progress (SORR)/ </t>
  </si>
  <si>
    <t>Kassala_Updates/ JASMAR Org</t>
  </si>
  <si>
    <t>Procurement</t>
  </si>
  <si>
    <t>30th Nov to 4th Dec</t>
  </si>
  <si>
    <t xml:space="preserve">SORR
•	New target locations were reached in Guraisha Locality, including Khor-Zaraf, Barbar, Gabal-Gana, and Tabarakallah, for the rollout of the small-grant activity.
•	Submission of small-grant applications continues in both localities and is expected to close tomorrow.
•	Orientation sessions were conducted in Guraisha and Gal Al Nahal to explain the activity and application procedures.
•	Formation of Farm Protection Committees (FPCs) has been completed.
</t>
  </si>
  <si>
    <t xml:space="preserve">Italy Livelihoods Project:
-	Preparation of documents for the rehabilitation of 2 schools and 2 clinics in the Kassala state have been completed, awaiting initiation of procurement process
-	Rehabilitation of one (1) water yard in New Halfa Locality is o-going at about 95% and expected to be completed by end of the year.
</t>
  </si>
  <si>
    <t xml:space="preserve">Procurement Activities
•	The Abo Gulut water yard in Guraisha Locality has been handed over to the contractor (Abo Sora).
•	Material mobilization is completed, and work has progressed to 10%.
</t>
  </si>
  <si>
    <t>7th Dec to 11th Dec</t>
  </si>
  <si>
    <t xml:space="preserve">SORR
•	The selection process for the small-grant group winners has been successfully completed.
•	Total applications received from both localities: 162 youth groups (Guraisha: 86, Gal AlNahal: 76).
•	Total selected applications from both localities = 32 groups (Guraisha: 16, Gal AlNahal: 16).
•	Total number of individuals within the selected groups = 837 (598 females and 239 males).
</t>
  </si>
  <si>
    <t>•	AICS: Rehabilitation of Asobery water yard (New Halfa) completed (100%); handover preparation ongoing.</t>
  </si>
  <si>
    <t>14th Dec to 18th Dec</t>
  </si>
  <si>
    <r>
      <rPr>
        <sz val="11"/>
        <color rgb="FF000000"/>
        <rFont val="Aptos Narrow"/>
        <family val="2"/>
        <scheme val="minor"/>
      </rPr>
      <t xml:space="preserve">SORR
•	The procurement process for small-grant in-kind support items will be completed today.
•	Following the receipt of approval from the Local Authority (LA), we have planned to conduct the </t>
    </r>
    <r>
      <rPr>
        <b/>
        <sz val="11"/>
        <color rgb="FF000000"/>
        <rFont val="Aptos Narrow"/>
        <family val="2"/>
        <scheme val="minor"/>
      </rPr>
      <t>community events in Guraisha Locality on Saturday, 20 December, alongside the distribution of in-kind support items to 16 youth groups</t>
    </r>
    <r>
      <rPr>
        <sz val="11"/>
        <color rgb="FF000000"/>
        <rFont val="Aptos Narrow"/>
        <family val="2"/>
        <scheme val="minor"/>
      </rPr>
      <t xml:space="preserve">.
•	The same activity will be conducted in </t>
    </r>
    <r>
      <rPr>
        <b/>
        <sz val="11"/>
        <color rgb="FF000000"/>
        <rFont val="Aptos Narrow"/>
        <family val="2"/>
        <scheme val="minor"/>
      </rPr>
      <t>GalAlNahal Locality, tentatively on Sunday 21 December, 2025</t>
    </r>
    <r>
      <rPr>
        <sz val="11"/>
        <color rgb="FF000000"/>
        <rFont val="Aptos Narrow"/>
        <family val="2"/>
        <scheme val="minor"/>
      </rPr>
      <t xml:space="preserve">.
</t>
    </r>
  </si>
  <si>
    <t>21st Dec to 25th Dec</t>
  </si>
  <si>
    <t xml:space="preserve">SORR
•	Community events were conducted in Guraisha Locality, alongside the distribution of in-kind support to 16 youth groups.
•	A similar community event was also conducted in Gal Al-Nahal Locality for the same purpose.
</t>
  </si>
  <si>
    <r>
      <rPr>
        <sz val="11"/>
        <color rgb="FF000000"/>
        <rFont val="Aptos Narrow"/>
        <scheme val="minor"/>
      </rPr>
      <t xml:space="preserve">•	AICS: Rehabilitation of Asobery Water Yard (New Halfa) completed (100%); </t>
    </r>
    <r>
      <rPr>
        <b/>
        <sz val="11"/>
        <color rgb="FFFF0000"/>
        <rFont val="Aptos Narrow"/>
        <scheme val="minor"/>
      </rPr>
      <t>handover preparation is ongoing.</t>
    </r>
  </si>
  <si>
    <t>28th Dec to 31st Dec</t>
  </si>
  <si>
    <t xml:space="preserve">SORR
•	Distribution of various in-kind support items to 32 youth groups was successfully completed across the two localities.
•	Community events were conducted with strong and active participation.
•	The small-grant activity information sheet has been finalized and includes details of all supported groups.
</t>
  </si>
  <si>
    <r>
      <rPr>
        <sz val="11"/>
        <color rgb="FF000000"/>
        <rFont val="Aptos Narrow"/>
        <family val="2"/>
        <scheme val="minor"/>
      </rPr>
      <t xml:space="preserve">b. Procurement Activities
Contractor: Abo Sora (Construction)
•	Installation of the solar system in Abu Gulut has reached 95% completion and is ready for handover.
</t>
    </r>
    <r>
      <rPr>
        <b/>
        <sz val="11"/>
        <color rgb="FF000000"/>
        <rFont val="Aptos Narrow"/>
        <family val="2"/>
        <scheme val="minor"/>
      </rPr>
      <t xml:space="preserve">Italy Fund – Water Infrastructure - Kassala
</t>
    </r>
    <r>
      <rPr>
        <sz val="11"/>
        <color rgb="FF000000"/>
        <rFont val="Aptos Narrow"/>
        <family val="2"/>
        <scheme val="minor"/>
      </rPr>
      <t xml:space="preserve">•	Asobri Water Yard:   Rehabilitation and solar system installation 99% complete.
</t>
    </r>
  </si>
  <si>
    <t>4th Jan to 8th Jan</t>
  </si>
  <si>
    <t xml:space="preserve">SORR
•	Preparation of final project reports.
</t>
  </si>
  <si>
    <r>
      <rPr>
        <sz val="11"/>
        <color rgb="FF000000"/>
        <rFont val="Aptos Narrow"/>
        <family val="2"/>
        <scheme val="minor"/>
      </rPr>
      <t xml:space="preserve">Contractor: Abo Sora (Construction) - Gedaref
•	</t>
    </r>
    <r>
      <rPr>
        <b/>
        <sz val="11"/>
        <color rgb="FFFF0000"/>
        <rFont val="Aptos Narrow"/>
        <family val="2"/>
        <scheme val="minor"/>
      </rPr>
      <t xml:space="preserve">95% completion of solar system installation at Abu Gulut; ready for handover.
</t>
    </r>
    <r>
      <rPr>
        <sz val="11"/>
        <color rgb="FF000000"/>
        <rFont val="Aptos Narrow"/>
        <family val="2"/>
        <scheme val="minor"/>
      </rPr>
      <t xml:space="preserve">•	Handover of Elmatna Health Center in Galaalnahal locality to the contractor.
</t>
    </r>
  </si>
  <si>
    <t>11th Jan to 15th Jan</t>
  </si>
  <si>
    <t>SORR
•	Draft Report Have sent for reviewing.</t>
  </si>
  <si>
    <r>
      <rPr>
        <sz val="11"/>
        <color rgb="FF000000"/>
        <rFont val="Aptos Narrow"/>
        <scheme val="minor"/>
      </rPr>
      <t xml:space="preserve">Contractor: Abo Sora (Construction)
•	</t>
    </r>
    <r>
      <rPr>
        <b/>
        <sz val="11"/>
        <color rgb="FFFF0000"/>
        <rFont val="Aptos Narrow"/>
        <scheme val="minor"/>
      </rPr>
      <t xml:space="preserve">Complete 95 % of installation of solar system at Abu Gulut, Ready to be Handed over
</t>
    </r>
    <r>
      <rPr>
        <sz val="11"/>
        <color rgb="FF000000"/>
        <rFont val="Aptos Narrow"/>
        <scheme val="minor"/>
      </rPr>
      <t xml:space="preserve">•	Construction of Elmatna Health center, Galaalnahal locality contractor start mobilization of material.
4. Italy Fund Items- Kassala
Project Ref: 10445867 – Rehabilitation and solarization of water yards (Kassala State)
Contractor: AboSora for Construction Co.
•	100 % completion of rehabilitation works at Asobri Water Yard.
</t>
    </r>
  </si>
  <si>
    <t>18th Jan to 22nd Jan</t>
  </si>
  <si>
    <t xml:space="preserve">SORR
•	Final report currently under review
</t>
  </si>
  <si>
    <t xml:space="preserve">Procurement Activities
Abo Sora (Construction)
•	Abu Gulut Solar System: 95% completed and ready for handover.
•	Elmatna Health Center – Galaalnahal Locality: Contractor mobilization underway.
Hewa – Water Drilling (Gurisha)
•	Site handed over for construction of a new water yard at Barbar Alfugara.
Abo Sora – Gurisha
•	Site handed over for rehabilitation of Tabarak Allah Health Unit.
Concrete – Gurisha
•	Site handed over for rehabilitation of Al Gureisha School.
</t>
  </si>
  <si>
    <t xml:space="preserve">4. Italy Fund – Infrastructure Works - Kassala
Project Ref: 10445867 – Rehabilitation and Solarization of Water Yards (Kassala State)
100% completion of rehabilitation works at Asobri Water Yard.
Project Ref: 10488064 – RFO: Supply, Delivery &amp; Installation of Solar Streetlights
•	Sites list shared with the contractor.
•	Site handover planned for the coming weeks.
</t>
  </si>
  <si>
    <t>25th Jan to 29th Jan</t>
  </si>
  <si>
    <t xml:space="preserve">1. RPA Activities
SORR
•	Final report under reviewing process.
</t>
  </si>
  <si>
    <t xml:space="preserve">Italy Fund – Infrastructure Works - Kassala
Project Ref: 10445867 – Rehabilitation and Solarization of Water Yards (Kassala State)
100% completion of rehabilitation works at Asobri Water Yard.
Project Ref: 10488064 – RFO: Supply, Delivery &amp; Installation of Solar Streetlights
•	Sites list shared with the contractor.
•	Site handover planned for the coming weeks.
</t>
  </si>
  <si>
    <t xml:space="preserve">2. Procurement Activities
Contractor: Abo Sora (Construction)
•	Installation of the solar system at Abu Gulut has reached 95% and is ready for handover.
•	Construction of Elmatna Health Center in Galaalnahal Locality: contractor has commenced mobilization of materials.
•	The work has started.
Contractor: Hewa (Water Drilling) – Gurisha
•	Site handed over for implementation:
o	New construction of Barbar Alfugara water yard.
•	Contractor mobilized the material to the sites
Contractor: Abo Sora – Gurisha
•	Site handed over for implementation:
o	Rehabilitation of Tabarak Allah Health Unit.
•	Contractor mobilized the material to the sites
Contractor: Concrete – Gurisha
•	Site handed over for implementation:
o	Rehabilitation of Al Gureisha School.
•	Contractor mobilized the material to the sites
</t>
  </si>
  <si>
    <t>1st Feb to 5th Feb</t>
  </si>
  <si>
    <t xml:space="preserve">1. RPA Activities
SORR
•	No report Recieved.
</t>
  </si>
  <si>
    <t xml:space="preserve">2. Procurement Activities - Gedaref
Contractor: Abo Sora (Construction)
•	Installation of the solar system at Abu Gulut has reached 95% and is ready for handover.
•	Construction of Elmatna Health Center in Galaalnahal Locality: project reached 10%.
Contractor: Hewa (Water Drilling) – Gurisha
•	Construction reached 10% in:
o	New construction of Barbar Alfugara water yard.
Contractor: Abo Sora – Gurisha
•	Construction reached 10% in:
o	Rehabilitation of Tabarak Allah Health Unit.
Contractor: Concrete – Gurisha
•	Construction reached 10% in:
o	Rehabilitation of Al Gureisha School.
</t>
  </si>
  <si>
    <t>8th Feb to 12th Feb</t>
  </si>
  <si>
    <t xml:space="preserve">Italy Fund
•	Asobery Water Yard rehabilitation and solarization completed (100%) and officially handed over to the Water Corporation and the village Water User Association. The handover ceremony was conducted in the presence of UNDP, the Executive Locality Director’s representative, the contractor, and the local community.
•	Solar streetlight installation sites handed over.
</t>
  </si>
  <si>
    <t xml:space="preserve">Italy Project
1. Procurement Activities
Contractor: Abo Sora (Construction)
•	Installation of the solar system at Abu Gulut has reached 95% and is ready for handover.
•	Construction of Elmatna Health Center in Galaalnahal Locality: project reached 15%.
Contractor: Hewa (Water Drilling) –  Gurisha
•	Construction reached 10% in:
	New construction of Barbar Alfugara water yard.
Contractor: Abo Sora – Gurisha
•	Construction reached 15% in:
	Rehabilitation of Tabarak Allah Health Unit.
Contractor: Concrete – Gurisha
•	Construction reached 15% in:
	Rehabilitation of Al Gureisha School.
</t>
  </si>
  <si>
    <t>15th Feb to 19th Feb</t>
  </si>
  <si>
    <t xml:space="preserve">. Procurement Activities
Contractor Abo Sora for construction
•	Completed 95 % of installation of solar system at Abu Gulut, the pump has stopped, and the contractor instructed to submit technical report to know the cause and decide. 
</t>
  </si>
  <si>
    <r>
      <rPr>
        <sz val="11"/>
        <color rgb="FF000000"/>
        <rFont val="Aptos Narrow"/>
        <scheme val="minor"/>
      </rPr>
      <t xml:space="preserve">Contractor: Abosora has received the following sites to start implementation in Guraisha Locality,
•	Rehabilitation of Tabarak Allah Health Center. 30%
•	Rehabilitation of Elmatna Health Center. 25%
Contractor: Hewa for water drilling has received the following sites to start implementation in Gurisha,
•	New construction of Barbar Alfugara New water yard water yard. 30%
Contractor: Concrete has received the following sites to start implementation in Guraisha Locality,
•	Rehabilitation of Al Gureisha School, 40%
•	Rehabilitation of Galaa Elnahal Technical school, 30%
Italy
-	The rehabilitation of the Asobri Water Yard has been completed and handed over to the community and locality authorities.
-	Assessments for the rehabilitation of 1 water yard are currently on-going.
-	</t>
    </r>
    <r>
      <rPr>
        <b/>
        <sz val="11"/>
        <color rgb="FF00B0F0"/>
        <rFont val="Aptos Narrow"/>
        <scheme val="minor"/>
      </rPr>
      <t xml:space="preserve">The engagement of an implementing partner for the second batch of the activities is on-going. Scoping of partners and preparation of documentation at advanced stages.
</t>
    </r>
  </si>
  <si>
    <t>22nd Feb to 26th Feb</t>
  </si>
  <si>
    <t xml:space="preserve">AICS:
•	Rehabilitation of 2 schools, 2 health centers, and 1 water yard In New Halfa and Girba localities. Technical documents submitted to procurement for evaluation and advertisement.
</t>
  </si>
  <si>
    <t>1st Mar to 5th Mar</t>
  </si>
  <si>
    <r>
      <rPr>
        <sz val="11"/>
        <color rgb="FF000000"/>
        <rFont val="Aptos Narrow"/>
        <scheme val="minor"/>
      </rPr>
      <t xml:space="preserve">1. Procurement Activities
Contractor Abo Sora for construction
•	Completed 97 % of installation of solar system at Abu Gulut, the pump has stopped, and the contractor instructed to submit technical report to know the cause and decide. 
•	Rehabilitation of Tabarak Allah Health Center. 50%
•	Rehabilitation of Elmatna Health Center. 45%
Contractor: Hewa for water drilling :
•	New construction of Barbar Alfugara New water yard water yard. 35%
Contractor: Concrete
•	Rehabilitation of Al Gureisha School, 55%
•	Rehabilitation of Galaa Elnahal Technical school, 45%
</t>
    </r>
    <r>
      <rPr>
        <b/>
        <sz val="11"/>
        <color rgb="FF000000"/>
        <rFont val="Aptos Narrow"/>
        <scheme val="minor"/>
      </rPr>
      <t xml:space="preserve">Italy Fund
</t>
    </r>
    <r>
      <rPr>
        <sz val="11"/>
        <color rgb="FF000000"/>
        <rFont val="Aptos Narrow"/>
        <scheme val="minor"/>
      </rPr>
      <t xml:space="preserve">•	Solar streetlight in New Halfa and Girba localities, sites handed over to contractor and installation scheduled to start Saturday 7 March 26.
</t>
    </r>
  </si>
  <si>
    <t>8th Mar to 12th Mar</t>
  </si>
  <si>
    <t xml:space="preserve">Italy Fund: 
•	Installation of solar streetlights in New Halfa and Girba localities – 30% completed. 
</t>
  </si>
  <si>
    <t>15th Mar to 19th Mar</t>
  </si>
  <si>
    <r>
      <rPr>
        <sz val="11"/>
        <color rgb="FF000000"/>
        <rFont val="Aptos Narrow"/>
        <scheme val="minor"/>
      </rPr>
      <t xml:space="preserve">Procurement Activities
Contractor Abo Sora for construction: 
•	</t>
    </r>
    <r>
      <rPr>
        <b/>
        <sz val="11"/>
        <color rgb="FFFF0000"/>
        <rFont val="Aptos Narrow"/>
        <scheme val="minor"/>
      </rPr>
      <t xml:space="preserve">Completed 98 % of installation of solar system at Abu Gulut, the pump has stopped, and the contractor instructed to submit technical report to know the cause and decide. 
</t>
    </r>
    <r>
      <rPr>
        <sz val="11"/>
        <color rgb="FF000000"/>
        <rFont val="Aptos Narrow"/>
        <scheme val="minor"/>
      </rPr>
      <t xml:space="preserve">•	Rehabilitation of Tabarak Allah Health Center. 90%
•	Rehabilitation of Elmatna Health Center.90%
Contractor: Hewa for water drilling:
•	New construction of Barbar Alfugara New water yard water yard. 55%
Contractor: Concrete:
•	Rehabilitation of Al Gureisha School, 90%
•	Rehabilitation of Galaa Elnahal Technical school, 80%
</t>
    </r>
    <r>
      <rPr>
        <b/>
        <sz val="11"/>
        <color rgb="FF000000"/>
        <rFont val="Aptos Narrow"/>
        <scheme val="minor"/>
      </rPr>
      <t xml:space="preserve">Italy Fund: 
</t>
    </r>
    <r>
      <rPr>
        <sz val="11"/>
        <color rgb="FF000000"/>
        <rFont val="Aptos Narrow"/>
        <scheme val="minor"/>
      </rPr>
      <t xml:space="preserve">•	Installation of solar streetlights in New Halfa and Girba localities – 30% completed. 
</t>
    </r>
  </si>
  <si>
    <t>22nd Mar to 26th Mar</t>
  </si>
  <si>
    <t xml:space="preserve">1.	Installation of solar streetlights in New Halfa and Girba localities – 30% completed. 
2.	Project Ref: 10445867 – Rehabilitation and solarization of water yards (Kassala State); Contractor: AboSora for Construction Co.; 100 % completion of rehabilitation works at Asobri Water Yard. And handed over to SWC and Community
3.	Project Ref: 10488064- RFO - Supply, delivery, and installation of Solar Streetlights; Contractor: KSM; 40% completion of Solar Streetlights 
</t>
  </si>
  <si>
    <t>29th Mar to 2nd Apr</t>
  </si>
  <si>
    <t xml:space="preserve">Italy Fund: 
1.	During the week, the team has been working on paperwork for the engagement of new Implementing Partners for the implementation of the project.
2.	One (1) Field Site visit was paid to the New Halfa Locality by the Engineering Team to monitor progress on rehabilitation activities.
</t>
  </si>
  <si>
    <r>
      <rPr>
        <sz val="11"/>
        <color rgb="FF000000"/>
        <rFont val="Aptos Narrow"/>
        <scheme val="minor"/>
      </rPr>
      <t xml:space="preserve">Civil Works under Italy - Kassala
1.	Installation of solar streetlights in New Halfa and Girba localities – 40% completed. 
2.	Project Ref: 10445867 – Rehabilitation and solarization of water yards (Kassala State); Contractor: AboSora for Construction Co.; 100 % completion of rehabilitation works at Asobri Water Yard. And handed over to SWC and Community.
3.	Project Ref: 10488064- RFO - Supply, delivery, and installation of Solar Streetlights; Contractor: KSM; 50% completion of Solar Streetlights.
4.	Procurement process for the rehabilitation of a School and Clinic in Girba and New Halfa is on-going. Site visits have been conducted by 4 contractors as part of the bidding process.
</t>
    </r>
    <r>
      <rPr>
        <b/>
        <sz val="11"/>
        <color rgb="FF4EA72E"/>
        <rFont val="Aptos Narrow"/>
        <scheme val="minor"/>
      </rPr>
      <t xml:space="preserve">Italy Project - GEDAREF:
</t>
    </r>
    <r>
      <rPr>
        <sz val="11"/>
        <color rgb="FF000000"/>
        <rFont val="Aptos Narrow"/>
        <scheme val="minor"/>
      </rPr>
      <t xml:space="preserve">•	Abu Gulut: Work reached 98% completion, currently paused due to pump malfunction. Procurement of a replacement pump is underway. 
•	Tabarak Allah Health Center: 95% completed, ready for handover to state and locality authorities. 
•	Elmatna Health Center: 95% completed.
Contractor: Hewa for Water Drilling
•	Barbar Alfugara water yard: 65% completed.
Contractor: Concrete
•	Al Gureisha School rehabilitation: 95% completed, ready for handover.
•	Gala El Nahal Technical School: 90% completed.
</t>
    </r>
  </si>
  <si>
    <t>5 April  – 9  April 2026</t>
  </si>
  <si>
    <t xml:space="preserve">Italy Fund: 
1.	During the week, the team continued working on paperwork including review of budget for the engagement of new Implementing Partners for the implementation of the project.
</t>
  </si>
  <si>
    <t xml:space="preserve">Civil Works Italy - Kassala
1.	Installation of solar streetlights in New Halfa and Girba localities – 50% completed. 
2.	Project Ref: 10488064- RFO - Supply, delivery, and installation of Solar Streetlights; Contractor: KSM; 60% completion of Solar Streetlights.
3.	Procurement process for the rehabilitation of a School and Clinic in Girba and New Halfa bidding process is ongoing after field visit by contractors
</t>
  </si>
  <si>
    <t>12 – 16 April 2026</t>
  </si>
  <si>
    <t xml:space="preserve">RPA for 2026:
 Conducted budget review and paperwork for engagement of new IP for AICS </t>
  </si>
  <si>
    <t>ITALY:
- Solar streetlight installation under AICS has been completed
- Procurement processes for additional 2 water rehabilitation, 2 schools, and 2 health infrastructure under AICS are ongoing.</t>
  </si>
  <si>
    <t>19 – 23 April 2026</t>
  </si>
  <si>
    <t>RPA for 2026:
Paperwork for engagement of new IP for AICS project is completed, waiting the financial breakdown from the finance team to update the drafted RPA agreement.</t>
  </si>
  <si>
    <t xml:space="preserve">Solar streetlight installation under AICS has been completed, with testing and commissioning remaining. </t>
  </si>
  <si>
    <t>26 – 30 April 2026</t>
  </si>
  <si>
    <r>
      <rPr>
        <b/>
        <sz val="11"/>
        <color rgb="FF0070C0"/>
        <rFont val="Aptos Narrow"/>
        <scheme val="minor"/>
      </rPr>
      <t xml:space="preserve">AICS - Kassala
</t>
    </r>
    <r>
      <rPr>
        <sz val="11"/>
        <color rgb="FF000000"/>
        <rFont val="Aptos Narrow"/>
        <scheme val="minor"/>
      </rPr>
      <t xml:space="preserve">- Solar streetlight installation under AICS has been completed, with testing and commissioning remaining. 
- Procurement processes for additional 2 water rehabilitation, 2 schools, and 2 health infrastructure under AICS are ongoing.
</t>
    </r>
    <r>
      <rPr>
        <b/>
        <sz val="11"/>
        <color rgb="FF0070C0"/>
        <rFont val="Aptos Narrow"/>
        <scheme val="minor"/>
      </rPr>
      <t xml:space="preserve">AICS - Gedaref:
</t>
    </r>
    <r>
      <rPr>
        <sz val="11"/>
        <color rgb="FF000000"/>
        <rFont val="Aptos Narrow"/>
        <scheme val="minor"/>
      </rPr>
      <t>	Italy Project: Major milestones were achieved, including completion of the Abu Gulut pump installation ready for commissioning, full completion of Tabarak Allah and Elmatna Health Centers, and 98% completion of the Barbar Alfugara water yard. School rehabilitation works at Al Gureisha were handed over, while Gala El Nahal Technical School is finalized and awaiting formal handover.</t>
    </r>
  </si>
  <si>
    <t>03–07 May 2026</t>
  </si>
  <si>
    <t>RPA for 2026:
Administrative preparations for the engagement of new implementing partner (IP) under the AICS project completed, with draft RPA agreement.</t>
  </si>
  <si>
    <t>AICS - Kassala
- Solar streetlight installation under AICS has been completed, with testing and commissioning remaining. 
- Procurement processes for additional 2 water rehabilitation, 2 schools, and 2 health infrastructure under AICS are ongoing.
AICS - Gedaref:
- Italy Project: Major milestones were achieved, including completion of the Abu Gulut pump installation ready for commissioning, full completion of Tabarak Allah and Elmatna Health Centers, and 98% completion of the Barbar Alfugara water yard. Gala El Nahal Technical School is finalized and handed over.</t>
  </si>
  <si>
    <t>10–14 May</t>
  </si>
  <si>
    <t>RPA for 2026:
Administrative preparations for the engagement of new implementing partner (IP) under the AICS project completed, with RPA agreements being drafted.</t>
  </si>
  <si>
    <t xml:space="preserve">AICS - Kassala
- Solar streetlight installation under AICS has been completed, with testing and commissioning remaining. 
- Procurement processes for additional 2 water rehabilitation, 2 schools, and 2 health infrastructure under AICS are ongoing.
AICS - Gedaref:
•	El Matna Health Center reached 98% completion 
•	Barbar Al Fugara water yard also reached 98% completion 
</t>
  </si>
  <si>
    <t>17–21 May</t>
  </si>
  <si>
    <t>RPA for 2026:
IP selection for the implementation of AICS project in Kassala progressed with with potential identified who are preparing proposal.</t>
  </si>
  <si>
    <t xml:space="preserve">AICS - KAssala:
NFIs/Jerry cans under IACS at an advanced level. Street lights completed bending testing and commissioning; the procurement process for 2 schools and 2 clinics was completed unsuccessfully, and the team is discussing alternative options. </t>
  </si>
  <si>
    <t>RPA for 2026:
IP selection for the implementation of AICS project in Kassala progressed; the proposal is expected to be received by end of today.</t>
  </si>
  <si>
    <t>31 May - 4 June 2026</t>
  </si>
  <si>
    <t xml:space="preserve">LVGA for 2026:
•	The team held extended meetings with the CPMU to clarify remaining hurdles for the use of LVG modality for national CSOs. The way forward has been agreed. 
•	IP selection for the implementation of AICS project in Kassala progressed: drafting of Low Value Grant currently on-going
</t>
  </si>
  <si>
    <t>AICS - Kassala:
Civil work/procurement activities progressed during the week: NFIs/Jerry cans under IACS at an advanced level. Plans for the handing over of Streetlights completed; the procurement process for 2 schools and 2 clinics was completed unsuccessfully, and the team is discussing alternative options.</t>
  </si>
  <si>
    <t>7 – 11 June 2026</t>
  </si>
  <si>
    <t>LVGA for 2026:
IP selection for the implementation of AICS project in Kassala progressed: drafting of Low Value Grant and RPA currently on-going;</t>
  </si>
  <si>
    <t xml:space="preserve">AICS - Kassala:
NFIs/Jerry cans under IACS at an advanced level. Plans for the handing over of Streetlights completed.
The procurement process for 2 schools and 2 clinics was completed unsuccessfully, and the team is discussing alternative options. 
AICS Gedaref:
Contractor: Hewa for Water Drilling
•	Barbar Al Fugara Water Yard: 98% completed. An inspection visit was conducted to identify and address outstanding remarks. The facility is now ready for handover. 
Contractor: Concrete
•	Gala El Nahal Technical School: 100% completed and ready for handover. </t>
  </si>
  <si>
    <t>14 – 18 June 2026</t>
  </si>
  <si>
    <r>
      <rPr>
        <sz val="11"/>
        <color rgb="FF000000"/>
        <rFont val="Aptos Narrow"/>
        <scheme val="minor"/>
      </rPr>
      <t xml:space="preserve">AICS - Kassala:
</t>
    </r>
    <r>
      <rPr>
        <b/>
        <sz val="11"/>
        <color rgb="FF000000"/>
        <rFont val="Aptos Narrow"/>
        <scheme val="minor"/>
      </rPr>
      <t xml:space="preserve">- The procurement of NFIs under the IASC have been completed and the items have now been delivered in Girba to be distributed during the week,
</t>
    </r>
    <r>
      <rPr>
        <sz val="11"/>
        <color rgb="FF000000"/>
        <rFont val="Aptos Narrow"/>
        <scheme val="minor"/>
      </rPr>
      <t xml:space="preserve">- The procurement process for 2 schools and 2 clinics was completed unsuccessfully, and the team is discussing alternative options.
</t>
    </r>
    <r>
      <rPr>
        <b/>
        <sz val="11"/>
        <color rgb="FF000000"/>
        <rFont val="Aptos Narrow"/>
        <scheme val="minor"/>
      </rPr>
      <t xml:space="preserve">AICS Project - Gedaref:
Contractor: Abo Sora 
</t>
    </r>
    <r>
      <rPr>
        <sz val="11"/>
        <color rgb="FF000000"/>
        <rFont val="Aptos Narrow"/>
        <scheme val="minor"/>
      </rPr>
      <t xml:space="preserve">•	Abu Gulut: New Pump installation completed and ready for commissioning with Water corporation
•	Tabarak Allah Health Center: 100% completed, handed over to the local authorities. 
•	Elmatna Health Center: 100% completed ready for hand to local authorities at locality level.
</t>
    </r>
    <r>
      <rPr>
        <b/>
        <sz val="11"/>
        <color rgb="FF000000"/>
        <rFont val="Aptos Narrow"/>
        <scheme val="minor"/>
      </rPr>
      <t xml:space="preserve">Contractor: Hewa for Water Drilling
</t>
    </r>
    <r>
      <rPr>
        <sz val="11"/>
        <color rgb="FF000000"/>
        <rFont val="Aptos Narrow"/>
        <scheme val="minor"/>
      </rPr>
      <t xml:space="preserve">•	Barbar Alfugara water yard: 98% completed. Inspection visit conducted to identify and remove remarks and ready for handover
</t>
    </r>
    <r>
      <rPr>
        <b/>
        <sz val="11"/>
        <color rgb="FF000000"/>
        <rFont val="Aptos Narrow"/>
        <scheme val="minor"/>
      </rPr>
      <t xml:space="preserve">Contractor: Concrete
</t>
    </r>
    <r>
      <rPr>
        <sz val="11"/>
        <color rgb="FF000000"/>
        <rFont val="Aptos Narrow"/>
        <scheme val="minor"/>
      </rPr>
      <t xml:space="preserve">•	Al Gureisha School rehabilitation: 100% completed and handed over to the locality authority.
•	Gala El Nahal Technical School: 100% completed. Ready for handover 
</t>
    </r>
    <r>
      <rPr>
        <b/>
        <sz val="11"/>
        <color rgb="FF000000"/>
        <rFont val="Aptos Narrow"/>
        <scheme val="minor"/>
      </rPr>
      <t xml:space="preserve">Contractor: Tihraga
</t>
    </r>
    <r>
      <rPr>
        <sz val="11"/>
        <color rgb="FF000000"/>
        <rFont val="Aptos Narrow"/>
        <scheme val="minor"/>
      </rPr>
      <t xml:space="preserve">•	Captain water yard to be handover to contractor next week
</t>
    </r>
  </si>
  <si>
    <t>25th June 2026</t>
  </si>
  <si>
    <t>NA</t>
  </si>
  <si>
    <t>Kassala:
Procurement process for rehabilitation of two schools and two clinics under AICS was completed unsuccessfully; alternative procurement options are under review.
Two wards under AICS and Kuwait support were handed over in New Halfa, with contractors expected to commence implementation.
AICS-supported NFI distribution preparations are ongoing with Girba Locality, planned for the coming week.
Gedaref:
Rehabilitation works at Almatana Health Center have been completed and verified and are scheduled for handover to local authorities next week, together with Barbar Al Fugara Water Yard and Gala Alnahal Technical School. In addition, the Captin Water Yard was officially handed over to the contractor on 22 June 2026 to commence implementation.</t>
  </si>
  <si>
    <t>1st July 2026</t>
  </si>
  <si>
    <t>Civil works Kassala:
Procurement process for rehabilitation of two schools and two clinics under AICS was completed, supplier selected, the sites will be handed over to the contractor after UNDP civil engineer comes back next week.
AICS-supported NFI distribution preparations are ongoing with Girba Locality, plan distribution ongoing.</t>
  </si>
  <si>
    <t>Finalized three LVGA agreements (one under AICS and two under Kuwait 460) and submitted them to the LVG Committee for review.</t>
  </si>
  <si>
    <t xml:space="preserve">Civil Work Kassala:
Rehabilitation of Khor Alban Water Yard (AICS) reached 10%.
Preparations are ongoing for rehabilitation of two schools and two health centers, with site handover planned next week (AICS).
Preparations underway for the distribution of 300 jerrycans in Om Alkhair Village - Girba (AICS).
</t>
  </si>
  <si>
    <t xml:space="preserve">Civil Work Kassala:
 Streetlights fully completed and handed over (AICS), while rehabilitation of water yards 35%, schools (5%), and health facilities (5%) under (AICS) continued.
</t>
  </si>
  <si>
    <t>Civil work Kassala
Rehabilitation of water yards 40%, 2 schools (8%), and 2 health facilities (8%) under (AICS) continued.</t>
  </si>
  <si>
    <t>•	JASMAR-Italy: A technical agreement of AICS has been drafted and shared with the state Ministry of production for review and signature; once signed, the IP will commence the work on the ground.</t>
  </si>
  <si>
    <t xml:space="preserve">•	Civil works Kassala: 
•	Under Italy, Khor Alban water yard rehabilitation reached 95%, while two schools and two health centers reached 12% completion. 
•	300 water containers have been delivered to Omalkhair community in Girba Locality. The items have been planned to be distributed on 17 August 2026.
</t>
  </si>
  <si>
    <t>JASMAR/AICS: One day inception meeting was organized for the new IP for the implementation of the activities in the Kassala State. Implementation agreement has so far been signed with HAC and Ministry of Production. Target selection and community mobilization are currently on-going in the Girba and New Halfa Localities.</t>
  </si>
  <si>
    <t xml:space="preserve">Civil Work Kassala:
o	Rehabilitation of Khor Alban Water Yard, Elshargia, Girba Locality, reached 98% completion.
o	Rehabilitation of two schools and two health centres is ongoing: 20% completion at Village 19, Halfa Locality, and 20% at Arab 2, Girba Locality.
o	Distributed 300 water containers (Jerricans) in Omalkhair Village, achieving 100% completion.
</t>
  </si>
  <si>
    <t>IACS-Italy Project
JASMAR - Women Led NGO
The technical agreement for the Project has been signed by State Government
Jasmar has started community mobilization in 8 villages selected for the project in New Halfa and Girba Localities.
Preparations are on the way to start vocational training activities for 50 youth and Home gardening support for 300 women in Girba and New Halfa Localities.</t>
  </si>
  <si>
    <t>Civil Works and Infrastructure Kassala:
Rehabilitation of Water Yard in Khor Alban village in Girba Locality is progressing at 99% completion (Under AICS)
Rehabilitation of two schools and two health Centres in Halfa and Girba Localities are progressing at about 30% (Under AICS).</t>
  </si>
  <si>
    <t>Civil Works and Infrastructure Kassala:
Rehabilitation of Water Yard in Khor Alban village in Girba Locality is progressing at 99% completion (Under AICS)
Rehabilitation of two schools and two health Centres in Halfa and Girba Localities are progressing at about 30% (Under AICS).</t>
  </si>
  <si>
    <t>AICS Project
JASMAR Organization: The current agricultural season is experiencing delayed and insufficient rainfall compared with the previous year, with an irregular rainfall pattern posing significant risks to rain-fed agriculture, the effort should be focused on winterseason  (source; MoPER).</t>
  </si>
  <si>
    <t>Civil Work Kassala:
Rehabilitation of Water Yard in Khor Alban village in Girba Locality is progressing at 100% completion (Under AICS)
Rehabilitation of two schools and two health Centers in Halfa and Girba Localities is progressing at about 45% (Under AICS).</t>
  </si>
  <si>
    <t>AICS Project – JASMAR Organization
A total of 80 CMCs in New Halfa and Girba localities has been formed with representatives of women, youth, IDPs, returnees, and host-community members. And 40-member sub-committees were also established to support community-level coordination.</t>
  </si>
  <si>
    <t>Civil Works and Infrastructure:
Rehabilitation of Water Yard in Khor Alban village in Girba Locality is now completed 100% (Under AICS)
Rehabilitation of two schools and two health Centers in Halfa and Girba Localities is progressing at about 60% (Under AICS).</t>
  </si>
  <si>
    <t>AICS Project – JASMAR Organization:
Supported 50 women across two groups comprising IDPs, returnees, and host-community members in Girba and New Halfa localities through savings and credit activities.</t>
  </si>
  <si>
    <t>Civil Works – Kassala
Under the AICS -funded intervention: Rehabilitation of 2 schools and 2 health centers in Village 19, Halfa and Village Arab 2, Girba on localities: progress 70% to complete</t>
  </si>
  <si>
    <t>AICS Project – JASMAR: Conducted training for two Associations in VSLA targeting 50 female beneficiaries in New Halfa Locality, to strengthen self-help, savings, lending, and income-generation opportunities.
Two Water User Committees (WUAs) have been established and trained in New Halfa and Girba localities, 30 members participated (17 male and 13 female) from Asobri and Khor Alabn water yards rehabilitated.</t>
  </si>
  <si>
    <t>Civil Works Kassala:
Rehabilitation progress reached 80% at Village 19, New Halfa, and 75% at Village Arab 2, Al-Girba, covering two schools and two health centers under the AICS Project.</t>
  </si>
  <si>
    <t>Indicators</t>
  </si>
  <si>
    <t>Baseline</t>
  </si>
  <si>
    <t>Actual</t>
  </si>
  <si>
    <t>1.1: # of smallholder farmers assisted with inputs</t>
  </si>
  <si>
    <t>HH</t>
  </si>
  <si>
    <t>1.2: # of households assisted to do home gardening.</t>
  </si>
  <si>
    <t>1.3: # of groups assisted with micro-grants.</t>
  </si>
  <si>
    <t>Each association should have 50 members</t>
  </si>
  <si>
    <t>1.4: # of local savings and lending schemes established up and running</t>
  </si>
  <si>
    <t>*14 established comprising of 320 members, 82% female
*Each VSLA should have 20 members</t>
  </si>
  <si>
    <t>1.5: # of youth who receive vocational skills training</t>
  </si>
  <si>
    <t>2.1: # of basic services rehabilitated up and functional</t>
  </si>
  <si>
    <t xml:space="preserve">*The rehabilitation of two (2) schools completed; and 2 currently on-going. 
*Rehabilitation of two (2) clinics completed; 2 more at advanced stages of procurement.
*Construction/rehabilitation of two (2) water yards completed and two (2) more on-going. </t>
  </si>
  <si>
    <t>-</t>
  </si>
  <si>
    <t>2.2: # of households who receive NFI support.</t>
  </si>
  <si>
    <t>90% female-headed</t>
  </si>
  <si>
    <t>2.3: # of households who benefit from protection due to solar streetlight assistance.</t>
  </si>
  <si>
    <t>Sixteen (16) Solar street lights have been procured, delivered and installed in 10 commuinities so far benefiting over 5,200 households. Additional 50 Street lights are at advanced stages of procurement.</t>
  </si>
  <si>
    <t>Output 2 %</t>
  </si>
  <si>
    <t xml:space="preserve">Activity 3.1: Establish 4 Community Management Committees (CMCs) of 20 members each and 8 Sub_x0002_committees) to ensure the supervision of project activities, particularly for identifying and maintaining water points to be rehabilitated in schools and primary health centers. </t>
  </si>
  <si>
    <t>3.1: # of local community structures established and members trained.</t>
  </si>
  <si>
    <t>Six (6) CMCs with 48 members in place. 12 Sub-commitees have been established with 72 members.</t>
  </si>
  <si>
    <t xml:space="preserve">3.2: # of community members who receive ToTs and are able to replicate the same. </t>
  </si>
  <si>
    <t>3.3: # of social cohesion events organized.</t>
  </si>
  <si>
    <t>NFI DISTRIBUTION – JERRYCANS</t>
  </si>
  <si>
    <t>No.</t>
  </si>
  <si>
    <t>Beneficiary Name</t>
  </si>
  <si>
    <t>Community</t>
  </si>
  <si>
    <t>Gender</t>
  </si>
  <si>
    <t>Contact Phone</t>
  </si>
  <si>
    <t xml:space="preserve">N. of Item </t>
  </si>
  <si>
    <t>Beneficiary Signature</t>
  </si>
  <si>
    <t> </t>
  </si>
  <si>
    <t>State</t>
  </si>
  <si>
    <t xml:space="preserve">Locality </t>
  </si>
  <si>
    <t>Project name, location and coordinate</t>
  </si>
  <si>
    <t>Estimated Beneficiary</t>
  </si>
  <si>
    <t>Implementation status</t>
  </si>
  <si>
    <t>Intervention Type (rehabilitation)</t>
  </si>
  <si>
    <t>Kassala</t>
  </si>
  <si>
    <t>New Halfa</t>
  </si>
  <si>
    <t>Rehabilitation of Asoberi Water yard.</t>
  </si>
  <si>
    <t>100% and handed over</t>
  </si>
  <si>
    <t>Water yard</t>
  </si>
  <si>
    <t>New Halfa – Asobary village</t>
  </si>
  <si>
    <t>N=35,746496    E=15.318410</t>
  </si>
  <si>
    <t>Gedaref</t>
  </si>
  <si>
    <t>Gala alnhal</t>
  </si>
  <si>
    <r>
      <rPr>
        <sz val="10"/>
        <color rgb="FF000000"/>
        <rFont val="Aptos"/>
      </rPr>
      <t>Rehabilitation of Gala alnhal school</t>
    </r>
    <r>
      <rPr>
        <b/>
        <sz val="10"/>
        <color rgb="FF000000"/>
        <rFont val="Aptos"/>
      </rPr>
      <t xml:space="preserve"> </t>
    </r>
  </si>
  <si>
    <t>school</t>
  </si>
  <si>
    <t>Coordinate:</t>
  </si>
  <si>
    <t>13°37'20.2"N 34°56'06.7"E</t>
  </si>
  <si>
    <t>100% rehabilitation and handed over</t>
  </si>
  <si>
    <t>Gurisha</t>
  </si>
  <si>
    <r>
      <rPr>
        <sz val="10"/>
        <color rgb="FF000000"/>
        <rFont val="Aptos"/>
      </rPr>
      <t>Tabarak Allah Health unit</t>
    </r>
    <r>
      <rPr>
        <b/>
        <sz val="10"/>
        <color rgb="FF000000"/>
        <rFont val="Aptos"/>
      </rPr>
      <t xml:space="preserve"> Coordinate:</t>
    </r>
    <r>
      <rPr>
        <sz val="10"/>
        <color rgb="FF000000"/>
        <rFont val="Aptos"/>
      </rPr>
      <t xml:space="preserve"> NA </t>
    </r>
  </si>
  <si>
    <t>100% Handed Over</t>
  </si>
  <si>
    <t>Health center</t>
  </si>
  <si>
    <r>
      <rPr>
        <sz val="10"/>
        <color rgb="FF000000"/>
        <rFont val="Aptos"/>
      </rPr>
      <t>Al Gurisha School</t>
    </r>
    <r>
      <rPr>
        <b/>
        <sz val="10"/>
        <color rgb="FF000000"/>
        <rFont val="Aptos"/>
      </rPr>
      <t xml:space="preserve"> Coordinate:</t>
    </r>
  </si>
  <si>
    <t>13°42'56.5"N 35°55'40.3"E</t>
  </si>
  <si>
    <r>
      <rPr>
        <sz val="10"/>
        <color rgb="FF000000"/>
        <rFont val="Aptos"/>
      </rPr>
      <t xml:space="preserve">Elmatna health center </t>
    </r>
    <r>
      <rPr>
        <b/>
        <sz val="10"/>
        <color rgb="FF000000"/>
        <rFont val="Aptos"/>
      </rPr>
      <t>Coordinate:</t>
    </r>
  </si>
  <si>
    <t>13°45'59.2"N 35°02'41.5"E</t>
  </si>
  <si>
    <r>
      <rPr>
        <sz val="10"/>
        <color rgb="FF00B050"/>
        <rFont val="Aptos"/>
      </rPr>
      <t xml:space="preserve">Abuglut mini water yard </t>
    </r>
    <r>
      <rPr>
        <b/>
        <sz val="10"/>
        <color rgb="FF00B050"/>
        <rFont val="Aptos"/>
      </rPr>
      <t>Coordinate:</t>
    </r>
  </si>
  <si>
    <t xml:space="preserve">Completed 100% and handed over </t>
  </si>
  <si>
    <t>13°39'51.0"N 35°53'09.1"E</t>
  </si>
  <si>
    <t>Girba</t>
  </si>
  <si>
    <t xml:space="preserve">Rehabilitation of Khor Alaben Water Yard </t>
  </si>
  <si>
    <t>100% completed and handover</t>
  </si>
  <si>
    <t>"N: 15.170990,
 E: 35.861053"</t>
  </si>
  <si>
    <t>Rehabilitation of Village 19 - Clinic</t>
  </si>
  <si>
    <t>Progress 92%</t>
  </si>
  <si>
    <t>N:15.364975, E:35.684738</t>
  </si>
  <si>
    <t>Rehabilitation of Arab 2 - Clinic</t>
  </si>
  <si>
    <t>N:15.146650      E:35.590502</t>
  </si>
  <si>
    <t>Rehabilitation of Arab 2 - School</t>
  </si>
  <si>
    <t>Rehabilitation of Village 19 - School</t>
  </si>
  <si>
    <t>Locality</t>
  </si>
  <si>
    <t xml:space="preserve">Targeted area/Community </t>
  </si>
  <si>
    <t>Solar Light capacity (Watts)</t>
  </si>
  <si>
    <t>No. of Hours operating</t>
  </si>
  <si>
    <t>Approximate Beneficiaries (individuals)</t>
  </si>
  <si>
    <t>Coordinates</t>
  </si>
  <si>
    <t>Status</t>
  </si>
  <si>
    <t>Handed over</t>
  </si>
  <si>
    <t>Handover date</t>
  </si>
  <si>
    <t>Tambai</t>
  </si>
  <si>
    <t>1000 Watt</t>
  </si>
  <si>
    <t>12 Hrs</t>
  </si>
  <si>
    <t>N: 15.666037,
 E: 35.500433</t>
  </si>
  <si>
    <t xml:space="preserve">operating </t>
  </si>
  <si>
    <t>Yes</t>
  </si>
  <si>
    <t>Village 6</t>
  </si>
  <si>
    <t>N:15.21252o
E:35.67656o</t>
  </si>
  <si>
    <t>Village 12</t>
  </si>
  <si>
    <t>N:15.285410,
 E: 35.676933</t>
  </si>
  <si>
    <t>Village 19</t>
  </si>
  <si>
    <t>Alzalag</t>
  </si>
  <si>
    <t>N:15°28'02.5 
E: 35°42'39.7</t>
  </si>
  <si>
    <t>Amart Alkhawlda</t>
  </si>
  <si>
    <t>N:15.789583, E:35.505500</t>
  </si>
  <si>
    <t>Asobri</t>
  </si>
  <si>
    <t>N=35,746496    E=15.318410</t>
  </si>
  <si>
    <t xml:space="preserve">Girba </t>
  </si>
  <si>
    <t>Village 2 Arab</t>
  </si>
  <si>
    <t>Darelsalam</t>
  </si>
  <si>
    <t>N:15.015792      E:35.816696</t>
  </si>
  <si>
    <t>Dar elnaeem</t>
  </si>
  <si>
    <t>N: 15.037111,
 E: 35.789286</t>
  </si>
  <si>
    <r>
      <t>State</t>
    </r>
    <r>
      <rPr>
        <sz val="11"/>
        <rFont val="Aptos"/>
        <charset val="1"/>
      </rPr>
      <t> </t>
    </r>
  </si>
  <si>
    <t>IP</t>
  </si>
  <si>
    <r>
      <t>Locality</t>
    </r>
    <r>
      <rPr>
        <sz val="11"/>
        <rFont val="Aptos"/>
        <charset val="1"/>
      </rPr>
      <t> </t>
    </r>
  </si>
  <si>
    <r>
      <t>Communities</t>
    </r>
    <r>
      <rPr>
        <sz val="11"/>
        <rFont val="Aptos"/>
        <charset val="1"/>
      </rPr>
      <t> </t>
    </r>
  </si>
  <si>
    <t>Gedaref </t>
  </si>
  <si>
    <t>SORR</t>
  </si>
  <si>
    <t>El Guresha </t>
  </si>
  <si>
    <t>Guresha town</t>
  </si>
  <si>
    <t>Wad-Yousif Village</t>
  </si>
  <si>
    <t>Kakoum</t>
  </si>
  <si>
    <t>AbuGolood</t>
  </si>
  <si>
    <t>AlGalla</t>
  </si>
  <si>
    <t>Shoeib</t>
  </si>
  <si>
    <t>Tabarakalla</t>
  </si>
  <si>
    <t>Barbar</t>
  </si>
  <si>
    <t>KhorZaraf</t>
  </si>
  <si>
    <t>Gabal-Gana</t>
  </si>
  <si>
    <t>Galaa Al Nahal </t>
  </si>
  <si>
    <t>GalAlNahal town</t>
  </si>
  <si>
    <t>Al-Matna</t>
  </si>
  <si>
    <t>Al-Kowaishir</t>
  </si>
  <si>
    <t>AbuRanja</t>
  </si>
  <si>
    <t xml:space="preserve">Haffair-AlGeer </t>
  </si>
  <si>
    <t>Ban</t>
  </si>
  <si>
    <t>Boloz</t>
  </si>
  <si>
    <t>Kartot</t>
  </si>
  <si>
    <t>Al-Areed</t>
  </si>
  <si>
    <t>Wad-Shos</t>
  </si>
  <si>
    <t>Al-Amanara Village</t>
  </si>
  <si>
    <t>Kassala </t>
  </si>
  <si>
    <t>TBD</t>
  </si>
  <si>
    <t>New-Halfa </t>
  </si>
  <si>
    <t>Asoberi</t>
  </si>
  <si>
    <t xml:space="preserve">Village 6 </t>
  </si>
  <si>
    <t>Khashm El-Girba </t>
  </si>
  <si>
    <t>Village Arab 2</t>
  </si>
  <si>
    <t>Khor Allaban</t>
  </si>
  <si>
    <t>Dar Alsalam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</si>
</sst>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50">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sz val="10"/>
      <color theme="1"/>
      <name val="Aptos Narrow"/>
      <family val="2"/>
      <scheme val="minor"/>
    </font>
    <font>
      <sz val="10"/>
      <name val="Aptos Narrow"/>
      <family val="2"/>
      <scheme val="minor"/>
    </font>
    <font>
      <sz val="10"/>
      <color rgb="FFC00000"/>
      <name val="Aptos Narrow"/>
      <family val="2"/>
      <scheme val="minor"/>
    </font>
    <font>
      <sz val="10"/>
      <color rgb="FF000000"/>
      <name val="Aptos Narrow"/>
      <family val="2"/>
      <scheme val="minor"/>
    </font>
    <font>
      <sz val="12"/>
      <color theme="1"/>
      <name val="Aptos Narrow"/>
      <family val="2"/>
      <scheme val="minor"/>
    </font>
    <font>
      <sz val="11"/>
      <color rgb="FF000000"/>
      <name val="Aptos Narrow"/>
      <family val="2"/>
      <scheme val="minor"/>
    </font>
    <font>
      <b/>
      <sz val="11"/>
      <color rgb="FF000000"/>
      <name val="Aptos Narrow"/>
      <family val="2"/>
      <scheme val="minor"/>
    </font>
    <font>
      <b/>
      <sz val="11"/>
      <color rgb="FFFF0000"/>
      <name val="Aptos Narrow"/>
      <family val="2"/>
      <scheme val="minor"/>
    </font>
    <font>
      <sz val="10"/>
      <color rgb="FF000000"/>
      <name val="Aptos Narrow"/>
      <scheme val="minor"/>
    </font>
    <font>
      <sz val="10"/>
      <color theme="1"/>
      <name val="Aptos Narrow"/>
      <scheme val="minor"/>
    </font>
    <font>
      <sz val="11"/>
      <color rgb="FF000000"/>
      <name val="Aptos Narrow"/>
      <scheme val="minor"/>
    </font>
    <font>
      <b/>
      <sz val="11"/>
      <color rgb="FFFF0000"/>
      <name val="Aptos Narrow"/>
      <scheme val="minor"/>
    </font>
    <font>
      <sz val="11"/>
      <color theme="1"/>
      <name val="Aptos Narrow"/>
      <scheme val="minor"/>
    </font>
    <font>
      <b/>
      <sz val="10"/>
      <color rgb="FF000000"/>
      <name val="Aptos"/>
      <family val="2"/>
    </font>
    <font>
      <b/>
      <sz val="10"/>
      <color rgb="FF000000"/>
      <name val="Calibri"/>
      <family val="2"/>
    </font>
    <font>
      <sz val="10"/>
      <color rgb="FF000000"/>
      <name val="Calibri"/>
      <family val="2"/>
    </font>
    <font>
      <sz val="10"/>
      <color rgb="FF000000"/>
      <name val="Aptos"/>
      <family val="2"/>
    </font>
    <font>
      <b/>
      <sz val="11"/>
      <color rgb="FF00B0F0"/>
      <name val="Aptos Narrow"/>
      <scheme val="minor"/>
    </font>
    <font>
      <sz val="10"/>
      <color rgb="FFFF0000"/>
      <name val="Aptos Narrow"/>
      <scheme val="minor"/>
    </font>
    <font>
      <strike/>
      <sz val="10"/>
      <color rgb="FFFF0000"/>
      <name val="Aptos Narrow"/>
      <scheme val="minor"/>
    </font>
    <font>
      <b/>
      <sz val="11"/>
      <color rgb="FF000000"/>
      <name val="Aptos Narrow"/>
      <scheme val="minor"/>
    </font>
    <font>
      <b/>
      <sz val="11"/>
      <color rgb="FF4EA72E"/>
      <name val="Aptos Narrow"/>
      <scheme val="minor"/>
    </font>
    <font>
      <sz val="11"/>
      <name val="Aptos"/>
      <charset val="1"/>
    </font>
    <font>
      <b/>
      <sz val="11"/>
      <name val="Aptos"/>
      <charset val="1"/>
    </font>
    <font>
      <sz val="12"/>
      <name val="Aptos"/>
      <charset val="1"/>
    </font>
    <font>
      <sz val="10"/>
      <color rgb="FF000000"/>
      <name val="Aptos"/>
    </font>
    <font>
      <b/>
      <sz val="10"/>
      <color rgb="FF000000"/>
      <name val="Aptos"/>
    </font>
    <font>
      <sz val="11"/>
      <color rgb="FF0070C0"/>
      <name val="Aptos Narrow"/>
      <family val="2"/>
      <scheme val="minor"/>
    </font>
    <font>
      <b/>
      <sz val="11"/>
      <color rgb="FF0070C0"/>
      <name val="Aptos Narrow"/>
      <scheme val="minor"/>
    </font>
    <font>
      <sz val="11"/>
      <color rgb="FF0070C0"/>
      <name val="Segoe UI"/>
      <charset val="1"/>
    </font>
    <font>
      <sz val="11"/>
      <color rgb="FF000000"/>
      <name val="Aptos"/>
      <family val="2"/>
      <charset val="1"/>
    </font>
    <font>
      <sz val="11"/>
      <color rgb="FF00B050"/>
      <name val="Aptos Narrow"/>
      <scheme val="minor"/>
    </font>
    <font>
      <sz val="10"/>
      <color rgb="FF00B050"/>
      <name val="Aptos Narrow"/>
      <scheme val="minor"/>
    </font>
    <font>
      <b/>
      <sz val="10"/>
      <color rgb="FF000000"/>
      <name val="Aptos Narrow"/>
    </font>
    <font>
      <sz val="10"/>
      <color rgb="FF000000"/>
      <name val="Aptos Narrow"/>
    </font>
    <font>
      <sz val="10"/>
      <color rgb="FF00B050"/>
      <name val="Aptos Narrow"/>
    </font>
    <font>
      <sz val="10"/>
      <color rgb="FFC00000"/>
      <name val="Aptos Narrow"/>
    </font>
    <font>
      <sz val="10"/>
      <color theme="1"/>
      <name val="Aptos Narrow"/>
    </font>
    <font>
      <sz val="10"/>
      <color rgb="FF00B050"/>
      <name val="Aptos"/>
    </font>
    <font>
      <b/>
      <sz val="10"/>
      <color rgb="FF00B050"/>
      <name val="Aptos"/>
    </font>
    <font>
      <sz val="10"/>
      <color rgb="FF00B050"/>
      <name val="Calibri"/>
      <family val="2"/>
    </font>
    <font>
      <sz val="11"/>
      <color rgb="FF00B050"/>
      <name val="Aptos Narrow"/>
      <family val="2"/>
      <scheme val="minor"/>
    </font>
    <font>
      <b/>
      <sz val="11"/>
      <color rgb="FF000000"/>
      <name val="Aptos"/>
    </font>
    <font>
      <strike/>
      <sz val="10"/>
      <color rgb="FF000000"/>
      <name val="Aptos Narrow"/>
      <scheme val="minor"/>
    </font>
    <font>
      <b/>
      <sz val="11"/>
      <name val="Calibri"/>
    </font>
    <font>
      <sz val="11"/>
      <color rgb="FF000000"/>
      <name val="Calibri"/>
      <family val="2"/>
    </font>
  </fonts>
  <fills count="11">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rgb="FFA5C9EB"/>
        <bgColor rgb="FF000000"/>
      </patternFill>
    </fill>
    <fill>
      <patternFill patternType="solid">
        <fgColor rgb="FFDAE9F7"/>
        <bgColor rgb="FF000000"/>
      </patternFill>
    </fill>
    <fill>
      <patternFill patternType="solid">
        <fgColor rgb="FFD9EAF7"/>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style="thin">
        <color indexed="64"/>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diagonal/>
    </border>
    <border>
      <left/>
      <right style="thin">
        <color auto="1"/>
      </right>
      <top style="thin">
        <color rgb="FF000000"/>
      </top>
      <bottom style="thin">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style="medium">
        <color indexed="64"/>
      </right>
      <top style="medium">
        <color indexed="64"/>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s>
  <cellStyleXfs count="2">
    <xf numFmtId="0" fontId="0" fillId="0" borderId="0"/>
    <xf numFmtId="9" fontId="1" fillId="0" borderId="0" applyFont="0" applyFill="0" applyBorder="0" applyAlignment="0" applyProtection="0"/>
  </cellStyleXfs>
  <cellXfs count="147">
    <xf numFmtId="0" fontId="0" fillId="0" borderId="0" xfId="0"/>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wrapText="1"/>
    </xf>
    <xf numFmtId="0" fontId="0" fillId="0" borderId="0" xfId="0" applyAlignment="1">
      <alignment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top" wrapText="1"/>
    </xf>
    <xf numFmtId="0" fontId="2" fillId="2" borderId="1" xfId="0" applyFont="1" applyFill="1" applyBorder="1" applyAlignment="1">
      <alignment horizontal="center" vertical="top"/>
    </xf>
    <xf numFmtId="0" fontId="2" fillId="2" borderId="2" xfId="0" applyFont="1" applyFill="1" applyBorder="1" applyAlignment="1">
      <alignment horizontal="center" vertical="top"/>
    </xf>
    <xf numFmtId="0" fontId="2" fillId="2" borderId="1" xfId="0" applyFont="1" applyFill="1" applyBorder="1"/>
    <xf numFmtId="0" fontId="2" fillId="2" borderId="1" xfId="0" applyFont="1" applyFill="1" applyBorder="1" applyAlignment="1">
      <alignment wrapText="1"/>
    </xf>
    <xf numFmtId="0" fontId="3" fillId="0" borderId="1" xfId="0" applyFont="1" applyBorder="1" applyAlignment="1">
      <alignment horizontal="center" vertical="top"/>
    </xf>
    <xf numFmtId="0" fontId="4" fillId="0" borderId="0" xfId="0" applyFont="1"/>
    <xf numFmtId="0" fontId="4" fillId="0" borderId="1" xfId="0" applyFont="1" applyBorder="1" applyAlignment="1">
      <alignment horizontal="left" vertical="top" wrapText="1"/>
    </xf>
    <xf numFmtId="0" fontId="4" fillId="0" borderId="1" xfId="0" applyFont="1" applyBorder="1" applyAlignment="1">
      <alignment horizontal="right" vertical="top"/>
    </xf>
    <xf numFmtId="9" fontId="4" fillId="0" borderId="1" xfId="1" applyFont="1" applyBorder="1" applyAlignment="1">
      <alignment vertical="top"/>
    </xf>
    <xf numFmtId="9" fontId="4" fillId="0" borderId="1" xfId="1" applyFont="1" applyFill="1" applyBorder="1" applyAlignment="1">
      <alignment vertical="top"/>
    </xf>
    <xf numFmtId="9" fontId="4" fillId="0" borderId="2" xfId="1" applyFont="1" applyBorder="1" applyAlignment="1">
      <alignment vertical="top"/>
    </xf>
    <xf numFmtId="0" fontId="3" fillId="0" borderId="0" xfId="0" applyFont="1"/>
    <xf numFmtId="0" fontId="4" fillId="0" borderId="0" xfId="0" applyFont="1" applyAlignment="1">
      <alignment horizontal="right"/>
    </xf>
    <xf numFmtId="0" fontId="4" fillId="0" borderId="0" xfId="0" applyFont="1" applyAlignment="1">
      <alignment wrapText="1"/>
    </xf>
    <xf numFmtId="0" fontId="3" fillId="4" borderId="1" xfId="0" applyFont="1" applyFill="1" applyBorder="1" applyAlignment="1">
      <alignment horizontal="left" vertical="center" wrapText="1"/>
    </xf>
    <xf numFmtId="0" fontId="3" fillId="4" borderId="1" xfId="0" applyFont="1" applyFill="1" applyBorder="1" applyAlignment="1">
      <alignment horizontal="left" vertical="top" wrapText="1"/>
    </xf>
    <xf numFmtId="0" fontId="3" fillId="4" borderId="1" xfId="0" applyFont="1" applyFill="1" applyBorder="1" applyAlignment="1">
      <alignment horizontal="right" vertical="top"/>
    </xf>
    <xf numFmtId="9" fontId="3" fillId="4" borderId="3" xfId="1" applyFont="1" applyFill="1" applyBorder="1" applyAlignment="1">
      <alignment vertical="top"/>
    </xf>
    <xf numFmtId="0" fontId="3" fillId="4" borderId="1" xfId="0" applyFont="1" applyFill="1" applyBorder="1" applyAlignment="1">
      <alignment wrapText="1"/>
    </xf>
    <xf numFmtId="0" fontId="3" fillId="4" borderId="0" xfId="0" applyFont="1" applyFill="1"/>
    <xf numFmtId="0" fontId="4" fillId="0" borderId="1" xfId="0" applyFont="1" applyBorder="1" applyAlignment="1">
      <alignment vertical="top" wrapText="1"/>
    </xf>
    <xf numFmtId="9" fontId="3" fillId="4" borderId="2" xfId="1" applyFont="1" applyFill="1" applyBorder="1" applyAlignment="1">
      <alignment vertical="top"/>
    </xf>
    <xf numFmtId="0" fontId="4" fillId="0" borderId="1" xfId="0" applyFont="1" applyBorder="1" applyAlignment="1">
      <alignment horizontal="right" vertical="top" wrapText="1"/>
    </xf>
    <xf numFmtId="9" fontId="6" fillId="0" borderId="1" xfId="1" applyFont="1" applyFill="1" applyBorder="1" applyAlignment="1">
      <alignment horizontal="right" vertical="top"/>
    </xf>
    <xf numFmtId="0" fontId="3" fillId="4" borderId="1" xfId="0" applyFont="1" applyFill="1" applyBorder="1"/>
    <xf numFmtId="0" fontId="4" fillId="4" borderId="0" xfId="0" applyFont="1" applyFill="1"/>
    <xf numFmtId="0" fontId="5" fillId="0" borderId="1" xfId="0" applyFont="1" applyBorder="1" applyAlignment="1">
      <alignment horizontal="right" vertical="top"/>
    </xf>
    <xf numFmtId="0" fontId="3" fillId="4" borderId="1" xfId="0" applyFont="1" applyFill="1" applyBorder="1" applyAlignment="1">
      <alignment horizontal="right"/>
    </xf>
    <xf numFmtId="9" fontId="3" fillId="4" borderId="1" xfId="0" applyNumberFormat="1" applyFont="1" applyFill="1" applyBorder="1"/>
    <xf numFmtId="0" fontId="3" fillId="5" borderId="0" xfId="0" applyFont="1" applyFill="1" applyAlignment="1">
      <alignment vertical="center"/>
    </xf>
    <xf numFmtId="0" fontId="3" fillId="5" borderId="0" xfId="0" applyFont="1" applyFill="1" applyAlignment="1">
      <alignment horizontal="right" vertical="center"/>
    </xf>
    <xf numFmtId="9" fontId="3" fillId="5" borderId="0" xfId="0" applyNumberFormat="1" applyFont="1" applyFill="1" applyAlignment="1">
      <alignment vertical="center"/>
    </xf>
    <xf numFmtId="0" fontId="3" fillId="5" borderId="0" xfId="0" applyFont="1" applyFill="1" applyAlignment="1">
      <alignment vertical="center" wrapText="1"/>
    </xf>
    <xf numFmtId="15" fontId="0" fillId="0" borderId="0" xfId="0" applyNumberFormat="1" applyAlignment="1">
      <alignment wrapText="1"/>
    </xf>
    <xf numFmtId="0" fontId="8" fillId="0" borderId="0" xfId="0" applyFont="1" applyAlignment="1">
      <alignment wrapText="1"/>
    </xf>
    <xf numFmtId="0" fontId="2" fillId="0" borderId="0" xfId="0" applyFont="1"/>
    <xf numFmtId="0" fontId="2" fillId="0" borderId="7" xfId="0" applyFont="1" applyBorder="1" applyAlignment="1">
      <alignment horizontal="center" vertical="top"/>
    </xf>
    <xf numFmtId="0" fontId="0" fillId="0" borderId="0" xfId="0" applyAlignment="1">
      <alignment vertical="top"/>
    </xf>
    <xf numFmtId="0" fontId="2" fillId="6" borderId="0" xfId="0" applyFont="1" applyFill="1"/>
    <xf numFmtId="9" fontId="7" fillId="0" borderId="2" xfId="1" applyFont="1" applyBorder="1" applyAlignment="1">
      <alignment vertical="top"/>
    </xf>
    <xf numFmtId="0" fontId="4" fillId="7" borderId="1" xfId="0" applyFont="1" applyFill="1" applyBorder="1" applyAlignment="1">
      <alignment vertical="top" wrapText="1"/>
    </xf>
    <xf numFmtId="0" fontId="3" fillId="7" borderId="1" xfId="0" applyFont="1" applyFill="1" applyBorder="1" applyAlignment="1">
      <alignment wrapText="1"/>
    </xf>
    <xf numFmtId="0" fontId="13" fillId="7" borderId="1" xfId="0" applyFont="1" applyFill="1" applyBorder="1" applyAlignment="1">
      <alignment vertical="top" wrapText="1"/>
    </xf>
    <xf numFmtId="0" fontId="4" fillId="7" borderId="1" xfId="0" applyFont="1" applyFill="1" applyBorder="1" applyAlignment="1">
      <alignment horizontal="right" vertical="top"/>
    </xf>
    <xf numFmtId="0" fontId="3" fillId="7" borderId="2" xfId="0" applyFont="1" applyFill="1" applyBorder="1" applyAlignment="1">
      <alignment horizontal="right" vertical="top"/>
    </xf>
    <xf numFmtId="0" fontId="3" fillId="7" borderId="1" xfId="0" applyFont="1" applyFill="1" applyBorder="1" applyAlignment="1">
      <alignment horizontal="right" vertical="top"/>
    </xf>
    <xf numFmtId="0" fontId="3" fillId="2" borderId="1" xfId="0" applyFont="1" applyFill="1" applyBorder="1" applyAlignment="1">
      <alignment vertical="top" wrapText="1"/>
    </xf>
    <xf numFmtId="0" fontId="27" fillId="0" borderId="11" xfId="0" applyFont="1" applyBorder="1" applyAlignment="1">
      <alignment readingOrder="1"/>
    </xf>
    <xf numFmtId="0" fontId="27" fillId="0" borderId="12" xfId="0" applyFont="1" applyBorder="1" applyAlignment="1">
      <alignment readingOrder="1"/>
    </xf>
    <xf numFmtId="0" fontId="27" fillId="0" borderId="13" xfId="0" applyFont="1" applyBorder="1" applyAlignment="1">
      <alignment readingOrder="1"/>
    </xf>
    <xf numFmtId="0" fontId="26" fillId="0" borderId="1" xfId="0" applyFont="1" applyBorder="1" applyAlignment="1">
      <alignment readingOrder="1"/>
    </xf>
    <xf numFmtId="0" fontId="28" fillId="0" borderId="15" xfId="0" applyFont="1" applyBorder="1" applyAlignment="1">
      <alignment readingOrder="1"/>
    </xf>
    <xf numFmtId="0" fontId="26" fillId="0" borderId="15" xfId="0" applyFont="1" applyBorder="1" applyAlignment="1">
      <alignment readingOrder="1"/>
    </xf>
    <xf numFmtId="0" fontId="26" fillId="0" borderId="16" xfId="0" applyFont="1" applyBorder="1" applyAlignment="1">
      <alignment readingOrder="1"/>
    </xf>
    <xf numFmtId="0" fontId="26" fillId="0" borderId="17" xfId="0" applyFont="1" applyBorder="1" applyAlignment="1">
      <alignment readingOrder="1"/>
    </xf>
    <xf numFmtId="0" fontId="26" fillId="0" borderId="14" xfId="0" applyFont="1" applyBorder="1" applyAlignment="1">
      <alignment readingOrder="1"/>
    </xf>
    <xf numFmtId="0" fontId="27" fillId="0" borderId="18" xfId="0" applyFont="1" applyBorder="1" applyAlignment="1">
      <alignment readingOrder="1"/>
    </xf>
    <xf numFmtId="0" fontId="26" fillId="0" borderId="19" xfId="0" applyFont="1" applyBorder="1" applyAlignment="1">
      <alignment readingOrder="1"/>
    </xf>
    <xf numFmtId="164" fontId="0" fillId="0" borderId="0" xfId="0" applyNumberFormat="1" applyAlignment="1">
      <alignment horizontal="left" wrapText="1"/>
    </xf>
    <xf numFmtId="15" fontId="0" fillId="0" borderId="0" xfId="0" applyNumberFormat="1" applyAlignment="1">
      <alignment horizontal="left" wrapText="1"/>
    </xf>
    <xf numFmtId="0" fontId="12" fillId="7" borderId="1" xfId="0" applyFont="1" applyFill="1" applyBorder="1" applyAlignment="1">
      <alignment vertical="top" wrapText="1"/>
    </xf>
    <xf numFmtId="0" fontId="41" fillId="7" borderId="1" xfId="0" applyFont="1" applyFill="1" applyBorder="1" applyAlignment="1">
      <alignment vertical="top" wrapText="1"/>
    </xf>
    <xf numFmtId="0" fontId="45" fillId="3" borderId="1" xfId="0" applyFont="1" applyFill="1" applyBorder="1" applyAlignment="1">
      <alignment horizontal="center" vertical="top"/>
    </xf>
    <xf numFmtId="0" fontId="0" fillId="0" borderId="1" xfId="0" applyBorder="1" applyAlignment="1">
      <alignment vertical="center" wrapText="1"/>
    </xf>
    <xf numFmtId="0" fontId="38" fillId="7" borderId="1" xfId="0" applyFont="1" applyFill="1" applyBorder="1" applyAlignment="1">
      <alignment vertical="top"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20" xfId="0" applyBorder="1"/>
    <xf numFmtId="3" fontId="45" fillId="3" borderId="1" xfId="0" applyNumberFormat="1" applyFont="1" applyFill="1" applyBorder="1" applyAlignment="1">
      <alignment horizontal="center" vertical="center"/>
    </xf>
    <xf numFmtId="0" fontId="46" fillId="9" borderId="8" xfId="0" applyFont="1" applyFill="1" applyBorder="1" applyAlignment="1">
      <alignment wrapText="1" readingOrder="1"/>
    </xf>
    <xf numFmtId="0" fontId="17" fillId="9" borderId="22" xfId="0" applyFont="1" applyFill="1" applyBorder="1" applyAlignment="1">
      <alignment wrapText="1" readingOrder="1"/>
    </xf>
    <xf numFmtId="0" fontId="13" fillId="7" borderId="1" xfId="0" applyFont="1" applyFill="1" applyBorder="1" applyAlignment="1">
      <alignment horizontal="right" vertical="top"/>
    </xf>
    <xf numFmtId="0" fontId="0" fillId="0" borderId="20" xfId="0" applyBorder="1" applyAlignment="1">
      <alignment wrapText="1"/>
    </xf>
    <xf numFmtId="0" fontId="0" fillId="4" borderId="20" xfId="0" applyFill="1" applyBorder="1"/>
    <xf numFmtId="0" fontId="0" fillId="0" borderId="0" xfId="0" applyAlignment="1">
      <alignment vertical="top" wrapText="1"/>
    </xf>
    <xf numFmtId="0" fontId="9" fillId="0" borderId="0" xfId="0" applyFont="1" applyAlignment="1">
      <alignment vertical="top" wrapText="1"/>
    </xf>
    <xf numFmtId="0" fontId="16" fillId="0" borderId="0" xfId="0" applyFont="1" applyAlignment="1">
      <alignment vertical="top" wrapText="1"/>
    </xf>
    <xf numFmtId="0" fontId="0" fillId="2" borderId="0" xfId="0" applyFill="1" applyAlignment="1">
      <alignment vertical="top"/>
    </xf>
    <xf numFmtId="0" fontId="1" fillId="0" borderId="0" xfId="0" applyFont="1" applyAlignment="1">
      <alignment vertical="top" wrapText="1"/>
    </xf>
    <xf numFmtId="0" fontId="15" fillId="0" borderId="0" xfId="0" applyFont="1" applyAlignment="1">
      <alignment vertical="top" wrapText="1"/>
    </xf>
    <xf numFmtId="0" fontId="11" fillId="0" borderId="0" xfId="0" applyFont="1" applyAlignment="1">
      <alignment vertical="top" wrapText="1"/>
    </xf>
    <xf numFmtId="0" fontId="14" fillId="0" borderId="0" xfId="0" applyFont="1" applyAlignment="1">
      <alignment vertical="top" wrapText="1"/>
    </xf>
    <xf numFmtId="0" fontId="31" fillId="0" borderId="0" xfId="0" applyFont="1" applyAlignment="1">
      <alignment horizontal="left" vertical="top"/>
    </xf>
    <xf numFmtId="15" fontId="33" fillId="0" borderId="0" xfId="0" applyNumberFormat="1" applyFont="1" applyAlignment="1">
      <alignment horizontal="left" vertical="top"/>
    </xf>
    <xf numFmtId="0" fontId="31" fillId="0" borderId="0" xfId="0" applyFont="1" applyAlignment="1">
      <alignment vertical="top"/>
    </xf>
    <xf numFmtId="0" fontId="34" fillId="0" borderId="0" xfId="0" applyFont="1" applyAlignment="1">
      <alignment vertical="top" wrapText="1"/>
    </xf>
    <xf numFmtId="15" fontId="0" fillId="0" borderId="0" xfId="0" applyNumberFormat="1"/>
    <xf numFmtId="15" fontId="0" fillId="0" borderId="0" xfId="0" applyNumberFormat="1" applyAlignment="1">
      <alignment vertical="top"/>
    </xf>
    <xf numFmtId="0" fontId="48" fillId="10" borderId="23" xfId="0" applyFont="1" applyFill="1" applyBorder="1" applyAlignment="1">
      <alignment wrapText="1"/>
    </xf>
    <xf numFmtId="0" fontId="48" fillId="10" borderId="24" xfId="0" applyFont="1" applyFill="1" applyBorder="1" applyAlignment="1">
      <alignment wrapText="1"/>
    </xf>
    <xf numFmtId="0" fontId="49" fillId="0" borderId="25" xfId="0" applyFont="1" applyBorder="1" applyAlignment="1">
      <alignment wrapText="1"/>
    </xf>
    <xf numFmtId="0" fontId="49" fillId="0" borderId="26" xfId="0" applyFont="1" applyBorder="1" applyAlignment="1">
      <alignment wrapText="1"/>
    </xf>
    <xf numFmtId="0" fontId="44" fillId="0" borderId="5" xfId="0" applyFont="1" applyBorder="1" applyAlignment="1">
      <alignment vertical="top" wrapText="1"/>
    </xf>
    <xf numFmtId="0" fontId="19" fillId="0" borderId="10" xfId="0" applyFont="1" applyBorder="1" applyAlignment="1">
      <alignment vertical="top" wrapText="1"/>
    </xf>
    <xf numFmtId="0" fontId="29" fillId="0" borderId="10" xfId="0" applyFont="1" applyBorder="1" applyAlignment="1">
      <alignment vertical="top" wrapText="1"/>
    </xf>
    <xf numFmtId="0" fontId="17" fillId="0" borderId="10" xfId="0" applyFont="1" applyBorder="1" applyAlignment="1">
      <alignment vertical="top" wrapText="1"/>
    </xf>
    <xf numFmtId="0" fontId="20" fillId="0" borderId="6" xfId="0" applyFont="1" applyBorder="1" applyAlignment="1">
      <alignment vertical="top" wrapText="1"/>
    </xf>
    <xf numFmtId="0" fontId="20" fillId="0" borderId="10" xfId="0" applyFont="1" applyBorder="1" applyAlignment="1">
      <alignment vertical="top" wrapText="1"/>
    </xf>
    <xf numFmtId="0" fontId="44" fillId="0" borderId="10" xfId="0" applyFont="1" applyBorder="1" applyAlignment="1">
      <alignment vertical="top" wrapText="1"/>
    </xf>
    <xf numFmtId="9" fontId="44" fillId="0" borderId="10" xfId="0" applyNumberFormat="1" applyFont="1" applyBorder="1" applyAlignment="1">
      <alignment vertical="top" wrapText="1"/>
    </xf>
    <xf numFmtId="0" fontId="42" fillId="0" borderId="10" xfId="0" applyFont="1" applyBorder="1" applyAlignment="1">
      <alignment vertical="top" wrapText="1"/>
    </xf>
    <xf numFmtId="0" fontId="20" fillId="0" borderId="21" xfId="0" applyFont="1" applyBorder="1" applyAlignment="1">
      <alignment vertical="top" wrapText="1"/>
    </xf>
    <xf numFmtId="0" fontId="0" fillId="0" borderId="20" xfId="0" applyBorder="1" applyAlignment="1">
      <alignment vertical="top"/>
    </xf>
    <xf numFmtId="3" fontId="0" fillId="0" borderId="20" xfId="0" applyNumberFormat="1" applyBorder="1" applyAlignment="1">
      <alignment vertical="top"/>
    </xf>
    <xf numFmtId="9" fontId="45" fillId="0" borderId="20" xfId="0" applyNumberFormat="1" applyFont="1" applyBorder="1" applyAlignment="1">
      <alignment horizontal="left" vertical="top" wrapText="1"/>
    </xf>
    <xf numFmtId="0" fontId="0" fillId="0" borderId="20" xfId="0" applyBorder="1" applyAlignment="1">
      <alignment vertical="top" wrapText="1"/>
    </xf>
    <xf numFmtId="0" fontId="31" fillId="0" borderId="20" xfId="0" applyFont="1" applyBorder="1" applyAlignment="1">
      <alignment vertical="top"/>
    </xf>
    <xf numFmtId="0" fontId="0" fillId="4" borderId="20" xfId="0" applyFill="1" applyBorder="1" applyAlignment="1">
      <alignment vertical="top"/>
    </xf>
    <xf numFmtId="0" fontId="9" fillId="0" borderId="20" xfId="0" applyFont="1" applyBorder="1" applyAlignment="1">
      <alignment vertical="top"/>
    </xf>
    <xf numFmtId="0" fontId="17" fillId="8" borderId="8" xfId="0" applyFont="1" applyFill="1" applyBorder="1" applyAlignment="1">
      <alignment vertical="top" wrapText="1"/>
    </xf>
    <xf numFmtId="0" fontId="17" fillId="8" borderId="9" xfId="0" applyFont="1" applyFill="1" applyBorder="1" applyAlignment="1">
      <alignment vertical="top" wrapText="1"/>
    </xf>
    <xf numFmtId="0" fontId="20" fillId="0" borderId="3" xfId="0" applyFont="1" applyBorder="1" applyAlignment="1">
      <alignment vertical="top" wrapText="1"/>
    </xf>
    <xf numFmtId="0" fontId="20" fillId="0" borderId="6" xfId="0" applyFont="1" applyBorder="1" applyAlignment="1">
      <alignment vertical="top" wrapText="1"/>
    </xf>
    <xf numFmtId="0" fontId="18" fillId="0" borderId="2" xfId="0" applyFont="1" applyBorder="1" applyAlignment="1">
      <alignment vertical="top" wrapText="1"/>
    </xf>
    <xf numFmtId="0" fontId="18" fillId="0" borderId="3" xfId="0" applyFont="1" applyBorder="1" applyAlignment="1">
      <alignment vertical="top" wrapText="1"/>
    </xf>
    <xf numFmtId="0" fontId="18" fillId="0" borderId="6" xfId="0" applyFont="1" applyBorder="1" applyAlignment="1">
      <alignment vertical="top" wrapText="1"/>
    </xf>
    <xf numFmtId="0" fontId="19" fillId="0" borderId="2" xfId="0" applyFont="1" applyBorder="1" applyAlignment="1">
      <alignment vertical="top" wrapText="1"/>
    </xf>
    <xf numFmtId="0" fontId="19" fillId="0" borderId="3" xfId="0" applyFont="1" applyBorder="1" applyAlignment="1">
      <alignment vertical="top" wrapText="1"/>
    </xf>
    <xf numFmtId="0" fontId="19" fillId="0" borderId="6" xfId="0" applyFont="1" applyBorder="1" applyAlignment="1">
      <alignment vertical="top" wrapText="1"/>
    </xf>
    <xf numFmtId="0" fontId="44" fillId="0" borderId="2" xfId="0" applyFont="1" applyBorder="1" applyAlignment="1">
      <alignment vertical="top" wrapText="1"/>
    </xf>
    <xf numFmtId="0" fontId="44" fillId="0" borderId="3" xfId="0" applyFont="1" applyBorder="1" applyAlignment="1">
      <alignment vertical="top" wrapText="1"/>
    </xf>
    <xf numFmtId="0" fontId="44" fillId="0" borderId="6" xfId="0" applyFont="1" applyBorder="1" applyAlignment="1">
      <alignment vertical="top" wrapText="1"/>
    </xf>
    <xf numFmtId="0" fontId="18" fillId="8" borderId="8" xfId="0" applyFont="1" applyFill="1" applyBorder="1" applyAlignment="1">
      <alignment vertical="top" wrapText="1"/>
    </xf>
    <xf numFmtId="0" fontId="18" fillId="8" borderId="9" xfId="0" applyFont="1" applyFill="1" applyBorder="1" applyAlignment="1">
      <alignment vertical="top" wrapText="1"/>
    </xf>
    <xf numFmtId="9" fontId="44" fillId="0" borderId="3" xfId="0" applyNumberFormat="1" applyFont="1" applyBorder="1" applyAlignment="1">
      <alignment vertical="top" wrapText="1"/>
    </xf>
    <xf numFmtId="0" fontId="3" fillId="0" borderId="2" xfId="0" applyFont="1" applyBorder="1" applyAlignment="1">
      <alignment horizontal="center" vertical="top" wrapText="1"/>
    </xf>
    <xf numFmtId="0" fontId="3" fillId="0" borderId="6" xfId="0" applyFont="1" applyBorder="1" applyAlignment="1">
      <alignment horizontal="center" vertical="top" wrapText="1"/>
    </xf>
    <xf numFmtId="0" fontId="3" fillId="0" borderId="4" xfId="0" applyFont="1" applyBorder="1" applyAlignment="1">
      <alignment horizontal="center" vertical="top"/>
    </xf>
    <xf numFmtId="0" fontId="3" fillId="0" borderId="5" xfId="0" applyFont="1" applyBorder="1" applyAlignment="1">
      <alignment horizontal="center" vertical="top"/>
    </xf>
    <xf numFmtId="0" fontId="4" fillId="4" borderId="1" xfId="0" applyFont="1" applyFill="1" applyBorder="1" applyAlignment="1">
      <alignment horizontal="left" vertical="top" wrapText="1"/>
    </xf>
    <xf numFmtId="0" fontId="3" fillId="4" borderId="2" xfId="0" applyFont="1" applyFill="1" applyBorder="1" applyAlignment="1">
      <alignment horizontal="center" vertical="top" wrapText="1"/>
    </xf>
    <xf numFmtId="0" fontId="3" fillId="4" borderId="6" xfId="0" applyFont="1" applyFill="1" applyBorder="1" applyAlignment="1">
      <alignment horizontal="center" vertical="top" wrapText="1"/>
    </xf>
    <xf numFmtId="0" fontId="3" fillId="0" borderId="2" xfId="0" applyFont="1" applyBorder="1" applyAlignment="1">
      <alignment horizontal="center" vertical="top"/>
    </xf>
    <xf numFmtId="0" fontId="3" fillId="0" borderId="6" xfId="0" applyFont="1" applyBorder="1" applyAlignment="1">
      <alignment horizontal="center" vertical="top"/>
    </xf>
    <xf numFmtId="0" fontId="0" fillId="2" borderId="1" xfId="0" applyFill="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hmed Adam" id="{2B88DD81-7DF2-413A-962D-1B1FF13F8403}" userId="ahmed.adam@undp.org" providerId="PeoplePicker"/>
  <person displayName="Isaac Asare" id="{E2132C4A-501C-402F-9405-7A2C76AB0CDC}" userId="isaac.asare@undp.org" providerId="PeoplePicker"/>
  <person displayName="John Anodam" id="{BA47480B-9DCD-48F5-85D3-EA555E1147DD}" userId="john.anodam@undp.org" providerId="PeoplePicker"/>
  <person displayName="Yassir Zahir" id="{6039E5D5-961F-4AA2-9F01-E4F75A29ABC7}" userId="yassir.zahir@undp.org" providerId="PeoplePicker"/>
  <person displayName="Islam Mohamed" id="{356A50AA-42E9-497D-B632-211B1077AC7F}" userId="islam.mohamed@undp.org" providerId="PeoplePicker"/>
  <person displayName="Mohieldin Aboh" id="{B008BC3C-D348-4CDD-9415-8F6A6E800DDF}" userId="mohieldin.aboh@undp.org" providerId="PeoplePicker"/>
  <person displayName="Marrian Gebreselassie" id="{3DB88A6B-01AF-4B80-BF91-FDDBF3058974}" userId="marrian.gebreselassie@undp.org" providerId="PeoplePicker"/>
  <person displayName="Abdalla Ali Abdalla Ibrahim" id="{A7EEE561-7EB9-49BA-B858-9A5DF259B69C}" userId="abdalla.ali.abdalla.ibrahim@undp.org" providerId="PeoplePicker"/>
  <person displayName="Isaac Asare" id="{E8875DCB-9EB7-478F-98E5-860160227C18}" userId="S::isaac.asare@undp.org::23be23d2-77ca-43b1-9200-716db4925338" providerId="AD"/>
  <person displayName="Mohieldin Aboh" id="{C21B019D-56B7-4949-AC27-18BB0F72B590}" userId="S::mohieldin.aboh@undp.org::1856698e-5c4c-400d-82c5-68eb94980ad1" providerId="AD"/>
  <person displayName="Marrian Gebreselassie" id="{72DAC431-DD34-45D6-872E-59E8B1882FC2}" userId="S::marrian.gebreselassie@undp.org::a958bc1d-bd72-465b-aabf-d5afe6e4dcc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 dT="2025-10-14T11:17:36.68" personId="{72DAC431-DD34-45D6-872E-59E8B1882FC2}" id="{90C6A3A9-677A-4769-914F-37B1053676BB}">
    <text>@Mohieldin Aboh Can you update this column based based on the weekly updates shared?</text>
    <mentions>
      <mention mentionpersonId="{B008BC3C-D348-4CDD-9415-8F6A6E800DDF}" mentionId="{42FEA31F-4CF1-4A65-AF01-49ADF638E564}" startIndex="0" length="15"/>
    </mentions>
  </threadedComment>
  <threadedComment ref="E2" dT="2026-02-03T13:50:13.70" personId="{C21B019D-56B7-4949-AC27-18BB0F72B590}" id="{E4BE0471-935E-414E-8D25-02BA37AE0587}" parentId="{90C6A3A9-677A-4769-914F-37B1053676BB}">
    <text>@Marrian Gebreselassie All columns updated</text>
    <mentions>
      <mention mentionpersonId="{3DB88A6B-01AF-4B80-BF91-FDDBF3058974}" mentionId="{2F75A94B-C2D0-4F83-9FC2-25BD2ABB0BE8}" startIndex="0" length="22"/>
    </mentions>
  </threadedComment>
  <threadedComment ref="G12" dT="2025-09-25T10:10:44.28" personId="{72DAC431-DD34-45D6-872E-59E8B1882FC2}" id="{03648906-D722-4240-B2A4-C3C4565028B6}" done="1">
    <text>@Isaac Asare yesterday's sheet and the update from the presentation you shared stated 360. Nothing on this was stated in the partner report either. Was another activity report shared on the rest?</text>
    <mentions>
      <mention mentionpersonId="{E2132C4A-501C-402F-9405-7A2C76AB0CDC}" mentionId="{A84DD76A-F237-4F41-AFBA-0760868816B9}" startIndex="0" length="12"/>
    </mentions>
  </threadedComment>
  <threadedComment ref="G12" dT="2025-09-25T10:16:19.84" personId="{E8875DCB-9EB7-478F-98E5-860160227C18}" id="{8F005106-5372-48E7-B064-0D9EFBED64B4}" parentId="{03648906-D722-4240-B2A4-C3C4565028B6}">
    <text>This was implemented directly through procurement</text>
  </threadedComment>
  <threadedComment ref="G12" dT="2025-09-25T13:13:02.30" personId="{C21B019D-56B7-4949-AC27-18BB0F72B590}" id="{03395F81-5C84-48FB-8FF7-A25F4F299FBE}" parentId="{03648906-D722-4240-B2A4-C3C4565028B6}">
    <text>this is @John Anodam .. this activity was implemented directly by UNDP through procurement and not by the IP.</text>
    <mentions>
      <mention mentionpersonId="{BA47480B-9DCD-48F5-85D3-EA555E1147DD}" mentionId="{706D2AE5-FECC-44C7-8094-671DB6002C63}" startIndex="8" length="12"/>
    </mentions>
  </threadedComment>
  <threadedComment ref="G12" dT="2025-09-25T13:42:26.39" personId="{72DAC431-DD34-45D6-872E-59E8B1882FC2}" id="{5756F535-7D48-41F2-A407-48EF28984ABD}" parentId="{03648906-D722-4240-B2A4-C3C4565028B6}">
    <text>@Mohieldin Aboh Thank you for clarifying. In the future, please flag to me things implemented directly by UNDP because these details aren't captured in any documents I received.</text>
    <mentions>
      <mention mentionpersonId="{B008BC3C-D348-4CDD-9415-8F6A6E800DDF}" mentionId="{BE285781-E42E-4B6E-8C0F-7FEAAA0FDD02}" startIndex="0" length="15"/>
    </mentions>
  </threadedComment>
  <threadedComment ref="F14" dT="2025-09-25T13:14:07.10" personId="{C21B019D-56B7-4949-AC27-18BB0F72B590}" id="{0F81847C-8397-4992-A5E7-2E49C4CF34F6}" done="1">
    <text>@Isaac Asare note the change</text>
    <mentions>
      <mention mentionpersonId="{E2132C4A-501C-402F-9405-7A2C76AB0CDC}" mentionId="{DA05B76D-0D55-499F-AA9B-FC31759185A4}" startIndex="0" length="12"/>
    </mentions>
  </threadedComment>
  <threadedComment ref="F14" dT="2025-09-25T13:20:07.22" personId="{E8875DCB-9EB7-478F-98E5-860160227C18}" id="{C11BE7CB-8150-4523-B18A-F9D9301BB7C7}" parentId="{0F81847C-8397-4992-A5E7-2E49C4CF34F6}">
    <text>okay</text>
  </threadedComment>
  <threadedComment ref="F20" dT="2025-09-25T13:14:31.82" personId="{C21B019D-56B7-4949-AC27-18BB0F72B590}" id="{15A72AD7-9077-4239-AE76-450DA4B0A469}" done="1">
    <text>@Isaac Asare note the change</text>
    <mentions>
      <mention mentionpersonId="{E2132C4A-501C-402F-9405-7A2C76AB0CDC}" mentionId="{F78169D3-56D3-43AE-83F8-7C7422274EB0}" startIndex="0" length="1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9" dT="2026-01-19T14:23:10.37" personId="{72DAC431-DD34-45D6-872E-59E8B1882FC2}" id="{94871BC7-A556-4C99-89C4-C12BC7C45DF0}" done="1">
    <text>@Mohieldin Aboh / @John Anodam  / @Isaac Asare / @Abdalla Ali Abdalla Ibrahim Did you receive this draft report?</text>
    <mentions>
      <mention mentionpersonId="{B008BC3C-D348-4CDD-9415-8F6A6E800DDF}" mentionId="{644F99E4-E9EE-433C-9DD2-76C195F266AF}" startIndex="0" length="15"/>
      <mention mentionpersonId="{BA47480B-9DCD-48F5-85D3-EA555E1147DD}" mentionId="{815E473D-B45B-42CB-A799-DAEB979D6AAB}" startIndex="18" length="12"/>
      <mention mentionpersonId="{E2132C4A-501C-402F-9405-7A2C76AB0CDC}" mentionId="{7A6A9295-E6C8-4A20-9233-8AA7013C7050}" startIndex="34" length="12"/>
      <mention mentionpersonId="{A7EEE561-7EB9-49BA-B858-9A5DF259B69C}" mentionId="{B69ED17B-22A4-4C88-BA3A-FF65C4615613}" startIndex="49" length="28"/>
    </mentions>
  </threadedComment>
  <threadedComment ref="B9" dT="2026-01-21T09:02:56.23" personId="{C21B019D-56B7-4949-AC27-18BB0F72B590}" id="{8F8D6232-6E0F-4A8C-9C8E-A59423F3CD55}" parentId="{94871BC7-A556-4C99-89C4-C12BC7C45DF0}">
    <text>@Marrian Gebreselassie, yes, I have received the report. I have added some comments and forwarded it to the IP for their endorsement. Once finalized, I will share it with you.</text>
    <mentions>
      <mention mentionpersonId="{3DB88A6B-01AF-4B80-BF91-FDDBF3058974}" mentionId="{B964B1D4-CEC0-4E14-957D-2C0EF5B65CD1}" startIndex="0" length="2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6-08-26T12:25:02.94" personId="{72DAC431-DD34-45D6-872E-59E8B1882FC2}" id="{06611880-55A9-45D1-909B-A406B7A100FA}">
    <text>@Yassir Zahir / @Mohieldin Aboh please include information for Captain water yard in Gedaref</text>
    <mentions>
      <mention mentionpersonId="{6039E5D5-961F-4AA2-9F01-E4F75A29ABC7}" mentionId="{44F37111-CB67-400D-9920-7BFC1699BCA2}" startIndex="0" length="13"/>
      <mention mentionpersonId="{B008BC3C-D348-4CDD-9415-8F6A6E800DDF}" mentionId="{550C64DD-140F-413F-9078-B3D8967A43B8}" startIndex="16" length="15"/>
    </mentions>
  </threadedComment>
  <threadedComment ref="G24" dT="2026-09-24T11:15:09.05" personId="{72DAC431-DD34-45D6-872E-59E8B1882FC2}" id="{CA69D6DF-F76A-4B7F-A1B3-88B8C46798BA}">
    <text>@Islam Mohamed / @Ahmed Adam / @Mohieldin Aboh please update status of sites highlighted in yellow</text>
    <mentions>
      <mention mentionpersonId="{356A50AA-42E9-497D-B632-211B1077AC7F}" mentionId="{F3840F53-9092-47E0-A16E-F4949CAEC3C8}" startIndex="0" length="14"/>
      <mention mentionpersonId="{2B88DD81-7DF2-413A-962D-1B1FF13F8403}" mentionId="{0CBF7F16-9AD0-4335-9612-BE8918DA7484}" startIndex="17" length="11"/>
      <mention mentionpersonId="{B008BC3C-D348-4CDD-9415-8F6A6E800DDF}" mentionId="{4E40AE7A-FD9B-4CCE-9986-6FA173D747F1}" startIndex="31" length="15"/>
    </mentions>
  </threadedComment>
  <threadedComment ref="G24" dT="2026-10-18T10:55:44.13" personId="{C21B019D-56B7-4949-AC27-18BB0F72B590}" id="{048BFB6A-CE5D-4A83-A182-6BEC79DDBD3A}" parentId="{CA69D6DF-F76A-4B7F-A1B3-88B8C46798BA}">
    <text>Done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882C9-48F9-4388-96A1-6B554182294A}">
  <dimension ref="A1:B10"/>
  <sheetViews>
    <sheetView workbookViewId="0">
      <selection activeCell="B6" sqref="B6"/>
    </sheetView>
  </sheetViews>
  <sheetFormatPr defaultRowHeight="14.45"/>
  <cols>
    <col min="1" max="1" width="21.28515625" customWidth="1"/>
    <col min="2" max="2" width="86.140625" customWidth="1"/>
  </cols>
  <sheetData>
    <row r="1" spans="1:2" ht="30.75">
      <c r="A1" s="47" t="s">
        <v>0</v>
      </c>
      <c r="B1" s="46" t="s">
        <v>1</v>
      </c>
    </row>
    <row r="2" spans="1:2" ht="15">
      <c r="A2" s="47" t="s">
        <v>2</v>
      </c>
      <c r="B2" t="s">
        <v>3</v>
      </c>
    </row>
    <row r="3" spans="1:2" ht="15">
      <c r="A3" s="47" t="s">
        <v>4</v>
      </c>
      <c r="B3" s="9" t="s">
        <v>5</v>
      </c>
    </row>
    <row r="4" spans="1:2" ht="15">
      <c r="A4" s="47" t="s">
        <v>6</v>
      </c>
      <c r="B4" s="70">
        <v>1000000</v>
      </c>
    </row>
    <row r="5" spans="1:2" ht="15">
      <c r="A5" s="47" t="s">
        <v>7</v>
      </c>
      <c r="B5" s="71">
        <v>45628</v>
      </c>
    </row>
    <row r="6" spans="1:2" ht="15">
      <c r="A6" s="47" t="s">
        <v>8</v>
      </c>
      <c r="B6" s="71">
        <v>46722</v>
      </c>
    </row>
    <row r="7" spans="1:2">
      <c r="A7" s="47" t="s">
        <v>9</v>
      </c>
      <c r="B7" s="45" t="s">
        <v>10</v>
      </c>
    </row>
    <row r="8" spans="1:2">
      <c r="A8" s="47" t="s">
        <v>11</v>
      </c>
      <c r="B8" s="9" t="s">
        <v>12</v>
      </c>
    </row>
    <row r="9" spans="1:2">
      <c r="A9" s="47" t="s">
        <v>13</v>
      </c>
      <c r="B9" s="9" t="s">
        <v>14</v>
      </c>
    </row>
    <row r="10" spans="1:2" ht="15">
      <c r="A10" s="47" t="s">
        <v>15</v>
      </c>
      <c r="B10" s="9"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2A63-CC03-45E8-BC6C-BD8693FD3C69}">
  <dimension ref="A1:G20"/>
  <sheetViews>
    <sheetView view="pageBreakPreview" topLeftCell="A8" zoomScale="115" zoomScaleNormal="100" zoomScaleSheetLayoutView="115" workbookViewId="0">
      <selection activeCell="G10" sqref="G10"/>
    </sheetView>
  </sheetViews>
  <sheetFormatPr defaultColWidth="8.7109375" defaultRowHeight="13.5" customHeight="1"/>
  <cols>
    <col min="1" max="1" width="26.85546875" style="37" customWidth="1"/>
    <col min="2" max="2" width="31.28515625" style="17" customWidth="1"/>
    <col min="3" max="3" width="33.42578125" style="17" hidden="1" customWidth="1"/>
    <col min="4" max="4" width="9" style="24" customWidth="1"/>
    <col min="5" max="5" width="10.42578125" style="17" customWidth="1"/>
    <col min="6" max="6" width="14.85546875" style="17" customWidth="1"/>
    <col min="7" max="7" width="67.85546875" style="25" customWidth="1"/>
    <col min="8" max="16384" width="8.7109375" style="17"/>
  </cols>
  <sheetData>
    <row r="1" spans="1:7" ht="12.95">
      <c r="A1" s="142" t="s">
        <v>17</v>
      </c>
      <c r="B1" s="137" t="s">
        <v>18</v>
      </c>
      <c r="C1" s="137" t="s">
        <v>19</v>
      </c>
      <c r="D1" s="144" t="s">
        <v>20</v>
      </c>
      <c r="E1" s="139" t="s">
        <v>21</v>
      </c>
      <c r="F1" s="140"/>
      <c r="G1" s="137" t="s">
        <v>22</v>
      </c>
    </row>
    <row r="2" spans="1:7" ht="12.95">
      <c r="A2" s="143"/>
      <c r="B2" s="138"/>
      <c r="C2" s="138"/>
      <c r="D2" s="145"/>
      <c r="E2" s="16" t="s">
        <v>23</v>
      </c>
      <c r="F2" s="16" t="s">
        <v>24</v>
      </c>
      <c r="G2" s="138"/>
    </row>
    <row r="3" spans="1:7" ht="124.5" customHeight="1">
      <c r="A3" s="141" t="s">
        <v>25</v>
      </c>
      <c r="B3" s="18" t="s">
        <v>26</v>
      </c>
      <c r="C3" s="18"/>
      <c r="D3" s="19">
        <v>1200</v>
      </c>
      <c r="E3" s="55">
        <v>600</v>
      </c>
      <c r="F3" s="20">
        <f>(E3/D3)</f>
        <v>0.5</v>
      </c>
      <c r="G3" s="54" t="s">
        <v>27</v>
      </c>
    </row>
    <row r="4" spans="1:7" ht="60.75" customHeight="1">
      <c r="A4" s="141"/>
      <c r="B4" s="18" t="s">
        <v>28</v>
      </c>
      <c r="C4" s="18"/>
      <c r="D4" s="38">
        <v>4</v>
      </c>
      <c r="E4" s="55">
        <v>4</v>
      </c>
      <c r="F4" s="20">
        <f>(E4/D4)</f>
        <v>1</v>
      </c>
      <c r="G4" s="54" t="s">
        <v>29</v>
      </c>
    </row>
    <row r="5" spans="1:7" ht="62.25" customHeight="1">
      <c r="A5" s="141"/>
      <c r="B5" s="18" t="s">
        <v>30</v>
      </c>
      <c r="C5" s="18"/>
      <c r="D5" s="19">
        <v>600</v>
      </c>
      <c r="E5" s="55">
        <v>300</v>
      </c>
      <c r="F5" s="20">
        <f t="shared" ref="F5" si="0">(E5/D5)</f>
        <v>0.5</v>
      </c>
      <c r="G5" s="54" t="s">
        <v>31</v>
      </c>
    </row>
    <row r="6" spans="1:7" ht="72.75" customHeight="1">
      <c r="A6" s="141"/>
      <c r="B6" s="18" t="s">
        <v>32</v>
      </c>
      <c r="C6" s="18"/>
      <c r="D6" s="19">
        <v>60</v>
      </c>
      <c r="E6" s="55">
        <v>32</v>
      </c>
      <c r="F6" s="20">
        <f>E6/D6</f>
        <v>0.53333333333333333</v>
      </c>
      <c r="G6" s="72" t="s">
        <v>33</v>
      </c>
    </row>
    <row r="7" spans="1:7" ht="67.5" customHeight="1">
      <c r="A7" s="141"/>
      <c r="B7" s="18" t="s">
        <v>34</v>
      </c>
      <c r="C7" s="18"/>
      <c r="D7" s="19">
        <v>16</v>
      </c>
      <c r="E7" s="55">
        <v>14</v>
      </c>
      <c r="F7" s="20">
        <f>(E7/D7)</f>
        <v>0.875</v>
      </c>
      <c r="G7" s="54" t="s">
        <v>35</v>
      </c>
    </row>
    <row r="8" spans="1:7" ht="95.25" customHeight="1">
      <c r="A8" s="141"/>
      <c r="B8" s="18" t="s">
        <v>36</v>
      </c>
      <c r="C8" s="18"/>
      <c r="D8" s="34">
        <v>100</v>
      </c>
      <c r="E8" s="55">
        <v>50</v>
      </c>
      <c r="F8" s="20">
        <f>(E8/D8)</f>
        <v>0.5</v>
      </c>
      <c r="G8" s="54" t="s">
        <v>37</v>
      </c>
    </row>
    <row r="9" spans="1:7" s="31" customFormat="1" ht="12.95">
      <c r="A9" s="26" t="s">
        <v>38</v>
      </c>
      <c r="B9" s="27"/>
      <c r="C9" s="27"/>
      <c r="D9" s="28"/>
      <c r="E9" s="56"/>
      <c r="F9" s="29">
        <f>AVERAGE(F3:F8)</f>
        <v>0.65138888888888891</v>
      </c>
      <c r="G9" s="53"/>
    </row>
    <row r="10" spans="1:7" ht="213.75" customHeight="1">
      <c r="A10" s="141" t="s">
        <v>39</v>
      </c>
      <c r="B10" s="58" t="s">
        <v>40</v>
      </c>
      <c r="C10" s="32"/>
      <c r="D10" s="19">
        <v>12</v>
      </c>
      <c r="E10" s="55">
        <v>6</v>
      </c>
      <c r="F10" s="35">
        <v>0.9</v>
      </c>
      <c r="G10" s="73" t="s">
        <v>41</v>
      </c>
    </row>
    <row r="11" spans="1:7" ht="62.25" customHeight="1">
      <c r="A11" s="141"/>
      <c r="B11" s="32" t="s">
        <v>42</v>
      </c>
      <c r="C11" s="32"/>
      <c r="D11" s="19">
        <v>4</v>
      </c>
      <c r="E11" s="55">
        <v>2</v>
      </c>
      <c r="F11" s="21">
        <v>0.55000000000000004</v>
      </c>
      <c r="G11" s="54" t="s">
        <v>43</v>
      </c>
    </row>
    <row r="12" spans="1:7" ht="120.75" customHeight="1">
      <c r="A12" s="141"/>
      <c r="B12" s="32" t="s">
        <v>44</v>
      </c>
      <c r="C12" s="32"/>
      <c r="D12" s="19">
        <v>600</v>
      </c>
      <c r="E12" s="83" t="s">
        <v>45</v>
      </c>
      <c r="F12" s="22" t="e">
        <f>(E12/D12)</f>
        <v>#VALUE!</v>
      </c>
      <c r="G12" s="54" t="s">
        <v>46</v>
      </c>
    </row>
    <row r="13" spans="1:7" ht="79.5" customHeight="1">
      <c r="A13" s="141"/>
      <c r="B13" s="32" t="s">
        <v>47</v>
      </c>
      <c r="C13" s="32"/>
      <c r="D13" s="19">
        <v>30</v>
      </c>
      <c r="E13" s="55">
        <v>16</v>
      </c>
      <c r="F13" s="51">
        <v>0.6</v>
      </c>
      <c r="G13" s="76" t="s">
        <v>48</v>
      </c>
    </row>
    <row r="14" spans="1:7" s="31" customFormat="1">
      <c r="A14" s="26" t="s">
        <v>49</v>
      </c>
      <c r="B14" s="30"/>
      <c r="C14" s="30"/>
      <c r="D14" s="28"/>
      <c r="E14" s="57"/>
      <c r="F14" s="33" t="e">
        <f>AVERAGE(F10:F13)</f>
        <v>#VALUE!</v>
      </c>
      <c r="G14" s="53"/>
    </row>
    <row r="15" spans="1:7" ht="103.5" customHeight="1">
      <c r="A15" s="141" t="s">
        <v>50</v>
      </c>
      <c r="B15" s="32" t="s">
        <v>51</v>
      </c>
      <c r="C15" s="32"/>
      <c r="D15" s="19">
        <v>12</v>
      </c>
      <c r="E15" s="55">
        <v>18</v>
      </c>
      <c r="F15" s="20">
        <f>(E15/D15)</f>
        <v>1.5</v>
      </c>
      <c r="G15" s="52" t="s">
        <v>52</v>
      </c>
    </row>
    <row r="16" spans="1:7" ht="68.25" customHeight="1">
      <c r="A16" s="141"/>
      <c r="B16" s="32" t="s">
        <v>53</v>
      </c>
      <c r="C16" s="32"/>
      <c r="D16" s="19">
        <v>4</v>
      </c>
      <c r="E16" s="55">
        <v>4</v>
      </c>
      <c r="F16" s="20">
        <f>(E16/D16)</f>
        <v>1</v>
      </c>
      <c r="G16" s="52" t="s">
        <v>54</v>
      </c>
    </row>
    <row r="17" spans="1:7" ht="105.75" customHeight="1">
      <c r="A17" s="141"/>
      <c r="B17" s="32" t="s">
        <v>55</v>
      </c>
      <c r="C17" s="32"/>
      <c r="D17" s="19">
        <v>4</v>
      </c>
      <c r="E17" s="55">
        <v>6</v>
      </c>
      <c r="F17" s="20">
        <f t="shared" ref="F17:F18" si="1">(E17/D17)</f>
        <v>1.5</v>
      </c>
      <c r="G17" s="54" t="s">
        <v>56</v>
      </c>
    </row>
    <row r="18" spans="1:7" ht="92.25" customHeight="1">
      <c r="A18" s="141"/>
      <c r="B18" s="32" t="s">
        <v>57</v>
      </c>
      <c r="C18" s="32"/>
      <c r="D18" s="19">
        <v>8</v>
      </c>
      <c r="E18" s="55">
        <v>4</v>
      </c>
      <c r="F18" s="20">
        <f t="shared" si="1"/>
        <v>0.5</v>
      </c>
      <c r="G18" s="52" t="s">
        <v>58</v>
      </c>
    </row>
    <row r="19" spans="1:7" s="23" customFormat="1" ht="12.95">
      <c r="A19" s="36" t="s">
        <v>59</v>
      </c>
      <c r="B19" s="36"/>
      <c r="C19" s="36"/>
      <c r="D19" s="39"/>
      <c r="E19" s="36"/>
      <c r="F19" s="40">
        <f>AVERAGE(F15,F17,F18)</f>
        <v>1.1666666666666667</v>
      </c>
      <c r="G19" s="30"/>
    </row>
    <row r="20" spans="1:7" ht="12.95">
      <c r="A20" s="41" t="s">
        <v>60</v>
      </c>
      <c r="B20" s="41"/>
      <c r="C20" s="41"/>
      <c r="D20" s="42"/>
      <c r="E20" s="41"/>
      <c r="F20" s="43" t="e">
        <f>(F9+F14+F19)/3</f>
        <v>#VALUE!</v>
      </c>
      <c r="G20" s="44"/>
    </row>
  </sheetData>
  <mergeCells count="9">
    <mergeCell ref="G1:G2"/>
    <mergeCell ref="E1:F1"/>
    <mergeCell ref="A10:A13"/>
    <mergeCell ref="A15:A18"/>
    <mergeCell ref="A3:A8"/>
    <mergeCell ref="A1:A2"/>
    <mergeCell ref="B1:B2"/>
    <mergeCell ref="D1:D2"/>
    <mergeCell ref="C1:C2"/>
  </mergeCells>
  <pageMargins left="0.70866141732283472" right="0.70866141732283472" top="0.74803149606299213" bottom="0.74803149606299213" header="0.31496062992125984" footer="0.31496062992125984"/>
  <pageSetup paperSize="9" scale="79" orientation="landscape"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6A23-5456-4BEE-A32C-6816B98B6B18}">
  <dimension ref="A1:D46"/>
  <sheetViews>
    <sheetView workbookViewId="0">
      <pane ySplit="1" topLeftCell="A6" activePane="bottomLeft" state="frozen"/>
      <selection pane="bottomLeft" activeCell="C9" sqref="C9"/>
    </sheetView>
  </sheetViews>
  <sheetFormatPr defaultRowHeight="14.45"/>
  <cols>
    <col min="1" max="1" width="19.42578125" bestFit="1" customWidth="1"/>
    <col min="2" max="2" width="56" customWidth="1"/>
    <col min="3" max="3" width="60" customWidth="1"/>
    <col min="4" max="4" width="64.85546875" customWidth="1"/>
  </cols>
  <sheetData>
    <row r="1" spans="1:4">
      <c r="A1" s="50" t="s">
        <v>61</v>
      </c>
      <c r="B1" s="50" t="s">
        <v>62</v>
      </c>
      <c r="C1" s="50" t="s">
        <v>63</v>
      </c>
      <c r="D1" s="50" t="s">
        <v>64</v>
      </c>
    </row>
    <row r="2" spans="1:4" ht="150" customHeight="1">
      <c r="A2" s="49" t="s">
        <v>65</v>
      </c>
      <c r="B2" s="86" t="s">
        <v>66</v>
      </c>
      <c r="C2" s="86" t="s">
        <v>67</v>
      </c>
      <c r="D2" s="86" t="s">
        <v>68</v>
      </c>
    </row>
    <row r="3" spans="1:4" ht="144.75">
      <c r="A3" s="49" t="s">
        <v>69</v>
      </c>
      <c r="B3" s="86" t="s">
        <v>70</v>
      </c>
      <c r="C3" s="86" t="s">
        <v>71</v>
      </c>
      <c r="D3" s="49"/>
    </row>
    <row r="4" spans="1:4" ht="144.75">
      <c r="A4" s="49" t="s">
        <v>72</v>
      </c>
      <c r="B4" s="87" t="s">
        <v>73</v>
      </c>
      <c r="C4" s="86" t="s">
        <v>71</v>
      </c>
      <c r="D4" s="49"/>
    </row>
    <row r="5" spans="1:4" ht="83.25" customHeight="1">
      <c r="A5" s="49" t="s">
        <v>74</v>
      </c>
      <c r="B5" s="86" t="s">
        <v>75</v>
      </c>
      <c r="C5" s="88" t="s">
        <v>76</v>
      </c>
      <c r="D5" s="49"/>
    </row>
    <row r="6" spans="1:4" ht="110.25" customHeight="1">
      <c r="A6" s="49" t="s">
        <v>77</v>
      </c>
      <c r="B6" s="86" t="s">
        <v>78</v>
      </c>
      <c r="C6" s="87" t="s">
        <v>79</v>
      </c>
      <c r="D6" s="49"/>
    </row>
    <row r="7" spans="1:4" ht="15">
      <c r="A7" s="89"/>
      <c r="B7" s="89"/>
      <c r="C7" s="89"/>
      <c r="D7" s="89"/>
    </row>
    <row r="8" spans="1:4" ht="79.5" customHeight="1">
      <c r="A8" s="49" t="s">
        <v>80</v>
      </c>
      <c r="B8" s="86" t="s">
        <v>81</v>
      </c>
      <c r="C8" s="90" t="s">
        <v>82</v>
      </c>
      <c r="D8" s="49"/>
    </row>
    <row r="9" spans="1:4" ht="151.5" customHeight="1">
      <c r="A9" s="49" t="s">
        <v>83</v>
      </c>
      <c r="B9" s="86" t="s">
        <v>84</v>
      </c>
      <c r="C9" s="88" t="s">
        <v>85</v>
      </c>
      <c r="D9" s="49"/>
    </row>
    <row r="10" spans="1:4" ht="185.25" customHeight="1">
      <c r="A10" s="49" t="s">
        <v>86</v>
      </c>
      <c r="B10" s="86" t="s">
        <v>87</v>
      </c>
      <c r="C10" s="86" t="s">
        <v>88</v>
      </c>
      <c r="D10" s="86" t="s">
        <v>89</v>
      </c>
    </row>
    <row r="11" spans="1:4" ht="288.75">
      <c r="A11" s="49" t="s">
        <v>90</v>
      </c>
      <c r="B11" s="86" t="s">
        <v>91</v>
      </c>
      <c r="C11" s="86" t="s">
        <v>92</v>
      </c>
      <c r="D11" s="86" t="s">
        <v>93</v>
      </c>
    </row>
    <row r="12" spans="1:4" ht="15">
      <c r="A12" s="89"/>
      <c r="B12" s="89"/>
      <c r="C12" s="89"/>
      <c r="D12" s="89"/>
    </row>
    <row r="13" spans="1:4" ht="229.5" customHeight="1">
      <c r="A13" s="49" t="s">
        <v>94</v>
      </c>
      <c r="B13" s="86" t="s">
        <v>95</v>
      </c>
      <c r="C13" s="49"/>
      <c r="D13" s="86" t="s">
        <v>96</v>
      </c>
    </row>
    <row r="14" spans="1:4" ht="245.25">
      <c r="A14" s="49" t="s">
        <v>97</v>
      </c>
      <c r="B14" s="49"/>
      <c r="C14" s="86" t="s">
        <v>98</v>
      </c>
      <c r="D14" s="86" t="s">
        <v>99</v>
      </c>
    </row>
    <row r="15" spans="1:4" ht="304.5" customHeight="1">
      <c r="A15" s="49" t="s">
        <v>100</v>
      </c>
      <c r="B15" s="49"/>
      <c r="C15" s="91" t="s">
        <v>101</v>
      </c>
      <c r="D15" s="88" t="s">
        <v>102</v>
      </c>
    </row>
    <row r="16" spans="1:4" ht="67.5" customHeight="1">
      <c r="A16" s="49" t="s">
        <v>103</v>
      </c>
      <c r="B16" s="49"/>
      <c r="C16" s="49"/>
      <c r="D16" s="92" t="s">
        <v>104</v>
      </c>
    </row>
    <row r="17" spans="1:4" ht="15">
      <c r="A17" s="89"/>
      <c r="B17" s="89"/>
      <c r="C17" s="89"/>
      <c r="D17" s="89"/>
    </row>
    <row r="18" spans="1:4" ht="244.5" customHeight="1">
      <c r="A18" s="49" t="s">
        <v>105</v>
      </c>
      <c r="B18" s="49"/>
      <c r="C18" s="49"/>
      <c r="D18" s="93" t="s">
        <v>106</v>
      </c>
    </row>
    <row r="19" spans="1:4" ht="45.75" customHeight="1">
      <c r="A19" s="49" t="s">
        <v>107</v>
      </c>
      <c r="B19" s="49"/>
      <c r="C19" s="49"/>
      <c r="D19" s="86" t="s">
        <v>108</v>
      </c>
    </row>
    <row r="20" spans="1:4" ht="230.25" customHeight="1">
      <c r="A20" s="49" t="s">
        <v>109</v>
      </c>
      <c r="B20" s="49"/>
      <c r="C20" s="49"/>
      <c r="D20" s="88" t="s">
        <v>110</v>
      </c>
    </row>
    <row r="21" spans="1:4" ht="130.5" customHeight="1">
      <c r="A21" s="49" t="s">
        <v>111</v>
      </c>
      <c r="B21" s="49"/>
      <c r="C21" s="49"/>
      <c r="D21" s="86" t="s">
        <v>112</v>
      </c>
    </row>
    <row r="22" spans="1:4" ht="348.75" customHeight="1">
      <c r="A22" s="49" t="s">
        <v>113</v>
      </c>
      <c r="B22" s="49"/>
      <c r="C22" s="86" t="s">
        <v>114</v>
      </c>
      <c r="D22" s="88" t="s">
        <v>115</v>
      </c>
    </row>
    <row r="23" spans="1:4" ht="140.25" customHeight="1">
      <c r="A23" s="94" t="s">
        <v>116</v>
      </c>
      <c r="B23" s="49"/>
      <c r="C23" s="86" t="s">
        <v>117</v>
      </c>
      <c r="D23" s="86" t="s">
        <v>118</v>
      </c>
    </row>
    <row r="24" spans="1:4" ht="63" customHeight="1">
      <c r="A24" s="94" t="s">
        <v>119</v>
      </c>
      <c r="B24" s="49"/>
      <c r="C24" s="86" t="s">
        <v>120</v>
      </c>
      <c r="D24" s="86" t="s">
        <v>121</v>
      </c>
    </row>
    <row r="25" spans="1:4" ht="62.25" customHeight="1">
      <c r="A25" s="94" t="s">
        <v>122</v>
      </c>
      <c r="B25" s="49"/>
      <c r="C25" s="86" t="s">
        <v>123</v>
      </c>
      <c r="D25" s="86" t="s">
        <v>124</v>
      </c>
    </row>
    <row r="26" spans="1:4" ht="186.75" customHeight="1">
      <c r="A26" s="94" t="s">
        <v>125</v>
      </c>
      <c r="B26" s="49"/>
      <c r="C26" s="86" t="s">
        <v>123</v>
      </c>
      <c r="D26" s="88" t="s">
        <v>126</v>
      </c>
    </row>
    <row r="27" spans="1:4" ht="169.5" customHeight="1">
      <c r="A27" s="94" t="s">
        <v>127</v>
      </c>
      <c r="B27" s="49"/>
      <c r="C27" s="86" t="s">
        <v>128</v>
      </c>
      <c r="D27" s="86" t="s">
        <v>129</v>
      </c>
    </row>
    <row r="28" spans="1:4" ht="141.75" customHeight="1">
      <c r="A28" s="94" t="s">
        <v>130</v>
      </c>
      <c r="B28" s="49"/>
      <c r="C28" s="86" t="s">
        <v>131</v>
      </c>
      <c r="D28" s="86" t="s">
        <v>132</v>
      </c>
    </row>
    <row r="29" spans="1:4" ht="76.5" customHeight="1">
      <c r="A29" s="94" t="s">
        <v>133</v>
      </c>
      <c r="B29" s="49"/>
      <c r="C29" s="86" t="s">
        <v>134</v>
      </c>
      <c r="D29" s="86" t="s">
        <v>135</v>
      </c>
    </row>
    <row r="30" spans="1:4" ht="81" customHeight="1">
      <c r="A30" s="95">
        <v>46168</v>
      </c>
      <c r="B30" s="49"/>
      <c r="C30" s="86" t="s">
        <v>136</v>
      </c>
      <c r="D30" s="86" t="s">
        <v>135</v>
      </c>
    </row>
    <row r="31" spans="1:4" ht="93.75" customHeight="1">
      <c r="A31" s="96" t="s">
        <v>137</v>
      </c>
      <c r="B31" s="49"/>
      <c r="C31" s="86" t="s">
        <v>138</v>
      </c>
      <c r="D31" s="97" t="s">
        <v>139</v>
      </c>
    </row>
    <row r="32" spans="1:4" ht="188.25">
      <c r="A32" s="96" t="s">
        <v>140</v>
      </c>
      <c r="B32" s="49"/>
      <c r="C32" s="86" t="s">
        <v>141</v>
      </c>
      <c r="D32" s="86" t="s">
        <v>142</v>
      </c>
    </row>
    <row r="33" spans="1:4" ht="380.25" customHeight="1">
      <c r="A33" s="49" t="s">
        <v>143</v>
      </c>
      <c r="B33" s="49"/>
      <c r="C33" s="49"/>
      <c r="D33" s="93" t="s">
        <v>144</v>
      </c>
    </row>
    <row r="34" spans="1:4" ht="153" customHeight="1">
      <c r="A34" s="96" t="s">
        <v>145</v>
      </c>
      <c r="B34" s="49" t="s">
        <v>146</v>
      </c>
      <c r="C34" s="49" t="s">
        <v>146</v>
      </c>
      <c r="D34" s="86" t="s">
        <v>147</v>
      </c>
    </row>
    <row r="35" spans="1:4" ht="96" customHeight="1">
      <c r="A35" s="96" t="s">
        <v>148</v>
      </c>
      <c r="B35" s="49" t="s">
        <v>146</v>
      </c>
      <c r="C35" s="49" t="s">
        <v>146</v>
      </c>
      <c r="D35" s="9" t="s">
        <v>149</v>
      </c>
    </row>
    <row r="36" spans="1:4" ht="130.5">
      <c r="A36" s="98">
        <v>46212</v>
      </c>
      <c r="C36" s="86" t="s">
        <v>150</v>
      </c>
      <c r="D36" s="9" t="s">
        <v>151</v>
      </c>
    </row>
    <row r="37" spans="1:4" ht="72.75">
      <c r="A37" s="98">
        <v>46225</v>
      </c>
      <c r="D37" s="9" t="s">
        <v>152</v>
      </c>
    </row>
    <row r="38" spans="1:4" ht="43.5">
      <c r="D38" s="9" t="s">
        <v>153</v>
      </c>
    </row>
    <row r="39" spans="1:4" ht="115.5">
      <c r="A39" s="99">
        <v>46247</v>
      </c>
      <c r="B39" s="49"/>
      <c r="C39" s="86" t="s">
        <v>154</v>
      </c>
      <c r="D39" s="86" t="s">
        <v>155</v>
      </c>
    </row>
    <row r="40" spans="1:4" ht="130.5">
      <c r="A40" s="99">
        <v>46253</v>
      </c>
      <c r="B40" s="49"/>
      <c r="C40" s="86" t="s">
        <v>156</v>
      </c>
      <c r="D40" s="86" t="s">
        <v>157</v>
      </c>
    </row>
    <row r="41" spans="1:4" ht="139.5" customHeight="1">
      <c r="A41" s="99">
        <v>46260</v>
      </c>
      <c r="B41" s="49"/>
      <c r="C41" s="86" t="s">
        <v>158</v>
      </c>
      <c r="D41" s="86" t="s">
        <v>159</v>
      </c>
    </row>
    <row r="42" spans="1:4" ht="87">
      <c r="A42" s="99">
        <v>46268</v>
      </c>
      <c r="B42" s="49"/>
      <c r="C42" s="49"/>
      <c r="D42" s="86" t="s">
        <v>160</v>
      </c>
    </row>
    <row r="43" spans="1:4" ht="102" customHeight="1">
      <c r="A43" s="99">
        <v>46275</v>
      </c>
      <c r="B43" s="49"/>
      <c r="C43" s="86" t="s">
        <v>161</v>
      </c>
      <c r="D43" s="86" t="s">
        <v>162</v>
      </c>
    </row>
    <row r="44" spans="1:4" ht="72.75">
      <c r="A44" s="99">
        <v>46282</v>
      </c>
      <c r="C44" s="9" t="s">
        <v>163</v>
      </c>
      <c r="D44" s="9" t="s">
        <v>164</v>
      </c>
    </row>
    <row r="45" spans="1:4" ht="57.75">
      <c r="C45" s="9" t="s">
        <v>165</v>
      </c>
      <c r="D45" s="9" t="s">
        <v>166</v>
      </c>
    </row>
    <row r="46" spans="1:4" ht="115.5">
      <c r="A46" s="99">
        <v>46295</v>
      </c>
      <c r="B46" s="49"/>
      <c r="C46" s="86" t="s">
        <v>167</v>
      </c>
      <c r="D46" s="86" t="s">
        <v>168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9C6A-117C-481B-A613-516C2D07C15F}">
  <dimension ref="A1:J18"/>
  <sheetViews>
    <sheetView topLeftCell="A11" workbookViewId="0">
      <selection activeCell="B14" sqref="B14"/>
    </sheetView>
  </sheetViews>
  <sheetFormatPr defaultRowHeight="14.45"/>
  <cols>
    <col min="1" max="1" width="19.42578125" customWidth="1"/>
    <col min="2" max="2" width="44.28515625" customWidth="1"/>
    <col min="3" max="3" width="23.42578125" customWidth="1"/>
    <col min="4" max="4" width="8.85546875" bestFit="1" customWidth="1"/>
    <col min="5" max="5" width="10.5703125" customWidth="1"/>
    <col min="6" max="6" width="11.42578125" customWidth="1"/>
    <col min="7" max="7" width="48.140625" style="9" customWidth="1"/>
  </cols>
  <sheetData>
    <row r="1" spans="1:10">
      <c r="A1" s="1" t="s">
        <v>17</v>
      </c>
      <c r="B1" s="1" t="s">
        <v>18</v>
      </c>
      <c r="C1" s="2" t="s">
        <v>169</v>
      </c>
      <c r="D1" s="2" t="s">
        <v>170</v>
      </c>
      <c r="E1" s="2" t="s">
        <v>20</v>
      </c>
      <c r="F1" s="2" t="s">
        <v>171</v>
      </c>
      <c r="G1" s="1" t="s">
        <v>22</v>
      </c>
    </row>
    <row r="2" spans="1:10" ht="58.5" customHeight="1">
      <c r="A2" s="146" t="s">
        <v>25</v>
      </c>
      <c r="B2" s="3" t="s">
        <v>26</v>
      </c>
      <c r="C2" s="6" t="s">
        <v>172</v>
      </c>
      <c r="D2" s="7">
        <v>0</v>
      </c>
      <c r="E2" s="7">
        <v>1200</v>
      </c>
      <c r="F2" s="4">
        <v>600</v>
      </c>
      <c r="G2" s="5" t="s">
        <v>173</v>
      </c>
    </row>
    <row r="3" spans="1:10" ht="53.25" customHeight="1">
      <c r="A3" s="146"/>
      <c r="B3" s="3" t="s">
        <v>28</v>
      </c>
      <c r="C3" s="6"/>
      <c r="D3" s="7"/>
      <c r="E3" s="7"/>
      <c r="F3" s="7"/>
      <c r="G3" s="5"/>
    </row>
    <row r="4" spans="1:10" ht="63" customHeight="1">
      <c r="A4" s="146"/>
      <c r="B4" s="3" t="s">
        <v>30</v>
      </c>
      <c r="C4" s="6" t="s">
        <v>174</v>
      </c>
      <c r="D4" s="4">
        <v>0</v>
      </c>
      <c r="E4" s="4">
        <v>600</v>
      </c>
      <c r="F4" s="4">
        <v>300</v>
      </c>
      <c r="G4" s="5"/>
    </row>
    <row r="5" spans="1:10" ht="60" customHeight="1">
      <c r="A5" s="146"/>
      <c r="B5" s="3" t="s">
        <v>32</v>
      </c>
      <c r="C5" s="3" t="s">
        <v>175</v>
      </c>
      <c r="D5" s="4">
        <v>0</v>
      </c>
      <c r="E5" s="4">
        <v>60</v>
      </c>
      <c r="F5" s="74">
        <v>32</v>
      </c>
      <c r="G5" s="5" t="s">
        <v>176</v>
      </c>
    </row>
    <row r="6" spans="1:10" ht="74.25" customHeight="1">
      <c r="A6" s="146"/>
      <c r="B6" s="3" t="s">
        <v>34</v>
      </c>
      <c r="C6" s="3" t="s">
        <v>177</v>
      </c>
      <c r="D6" s="4">
        <v>0</v>
      </c>
      <c r="E6" s="4">
        <v>16</v>
      </c>
      <c r="F6" s="4">
        <v>14</v>
      </c>
      <c r="G6" s="75" t="s">
        <v>178</v>
      </c>
      <c r="I6" s="48">
        <v>30820</v>
      </c>
      <c r="J6" s="49">
        <v>96000</v>
      </c>
    </row>
    <row r="7" spans="1:10" ht="86.25" customHeight="1">
      <c r="A7" s="146"/>
      <c r="B7" s="3" t="s">
        <v>36</v>
      </c>
      <c r="C7" s="3" t="s">
        <v>179</v>
      </c>
      <c r="D7" s="4">
        <v>0</v>
      </c>
      <c r="E7" s="4">
        <v>100</v>
      </c>
      <c r="F7" s="74">
        <v>50</v>
      </c>
      <c r="G7" s="5"/>
      <c r="I7">
        <f>I6*6</f>
        <v>184920</v>
      </c>
    </row>
    <row r="8" spans="1:10">
      <c r="A8" s="10" t="s">
        <v>38</v>
      </c>
      <c r="B8" s="11"/>
      <c r="C8" s="11"/>
      <c r="D8" s="12"/>
      <c r="E8" s="12"/>
      <c r="F8" s="13"/>
      <c r="G8" s="15"/>
    </row>
    <row r="9" spans="1:10" ht="93" customHeight="1">
      <c r="A9" s="146" t="s">
        <v>39</v>
      </c>
      <c r="B9" s="75" t="s">
        <v>40</v>
      </c>
      <c r="C9" s="75" t="s">
        <v>180</v>
      </c>
      <c r="D9" s="77">
        <v>0</v>
      </c>
      <c r="E9" s="77">
        <v>12</v>
      </c>
      <c r="F9" s="77">
        <v>6</v>
      </c>
      <c r="G9" s="75" t="s">
        <v>181</v>
      </c>
    </row>
    <row r="10" spans="1:10" ht="72.75" customHeight="1">
      <c r="A10" s="146"/>
      <c r="B10" s="5" t="s">
        <v>42</v>
      </c>
      <c r="C10" s="5" t="s">
        <v>182</v>
      </c>
      <c r="D10" s="7" t="s">
        <v>182</v>
      </c>
      <c r="E10" s="7" t="s">
        <v>182</v>
      </c>
      <c r="F10" s="7" t="s">
        <v>182</v>
      </c>
      <c r="G10" s="5"/>
    </row>
    <row r="11" spans="1:10" ht="113.25" customHeight="1">
      <c r="A11" s="146"/>
      <c r="B11" s="5" t="s">
        <v>44</v>
      </c>
      <c r="C11" s="75" t="s">
        <v>183</v>
      </c>
      <c r="D11" s="77">
        <v>0</v>
      </c>
      <c r="E11" s="77">
        <v>600</v>
      </c>
      <c r="F11" s="77">
        <v>690</v>
      </c>
      <c r="G11" s="75" t="s">
        <v>184</v>
      </c>
    </row>
    <row r="12" spans="1:10" ht="90.75" customHeight="1">
      <c r="A12" s="146"/>
      <c r="B12" s="5" t="s">
        <v>47</v>
      </c>
      <c r="C12" s="5" t="s">
        <v>185</v>
      </c>
      <c r="D12" s="77">
        <v>0</v>
      </c>
      <c r="E12" s="77">
        <v>6000</v>
      </c>
      <c r="F12" s="80">
        <v>5200</v>
      </c>
      <c r="G12" s="75" t="s">
        <v>186</v>
      </c>
    </row>
    <row r="13" spans="1:10">
      <c r="A13" s="10" t="s">
        <v>187</v>
      </c>
      <c r="B13" s="15"/>
      <c r="C13" s="15"/>
      <c r="D13" s="12"/>
      <c r="E13" s="12"/>
      <c r="F13" s="12"/>
      <c r="G13" s="15"/>
    </row>
    <row r="14" spans="1:10" ht="93.75" customHeight="1">
      <c r="A14" s="146" t="s">
        <v>50</v>
      </c>
      <c r="B14" s="5" t="s">
        <v>188</v>
      </c>
      <c r="C14" s="75" t="s">
        <v>189</v>
      </c>
      <c r="D14" s="77">
        <v>0</v>
      </c>
      <c r="E14" s="77">
        <v>12</v>
      </c>
      <c r="F14" s="78">
        <v>18</v>
      </c>
      <c r="G14" s="75" t="s">
        <v>190</v>
      </c>
    </row>
    <row r="15" spans="1:10" ht="91.5" customHeight="1">
      <c r="A15" s="146"/>
      <c r="B15" s="5" t="s">
        <v>53</v>
      </c>
      <c r="C15" s="5" t="s">
        <v>182</v>
      </c>
      <c r="D15" s="7" t="s">
        <v>182</v>
      </c>
      <c r="E15" s="7" t="s">
        <v>182</v>
      </c>
      <c r="F15" s="4" t="s">
        <v>182</v>
      </c>
      <c r="G15" s="5"/>
    </row>
    <row r="16" spans="1:10" ht="130.5" customHeight="1">
      <c r="A16" s="146"/>
      <c r="B16" s="5" t="s">
        <v>55</v>
      </c>
      <c r="C16" s="8" t="s">
        <v>191</v>
      </c>
      <c r="D16" s="4">
        <v>0</v>
      </c>
      <c r="E16" s="4">
        <v>80</v>
      </c>
      <c r="F16" s="74">
        <v>72</v>
      </c>
      <c r="G16" s="5"/>
    </row>
    <row r="17" spans="1:7" ht="99" customHeight="1">
      <c r="A17" s="146"/>
      <c r="B17" s="5" t="s">
        <v>57</v>
      </c>
      <c r="C17" s="8" t="s">
        <v>192</v>
      </c>
      <c r="D17" s="4">
        <v>0</v>
      </c>
      <c r="E17" s="4">
        <v>8</v>
      </c>
      <c r="F17" s="74">
        <v>4</v>
      </c>
      <c r="G17" s="5"/>
    </row>
    <row r="18" spans="1:7">
      <c r="A18" s="14" t="s">
        <v>59</v>
      </c>
      <c r="B18" s="14"/>
      <c r="C18" s="14"/>
      <c r="D18" s="14"/>
      <c r="E18" s="14"/>
      <c r="F18" s="14"/>
      <c r="G18" s="15"/>
    </row>
  </sheetData>
  <mergeCells count="3">
    <mergeCell ref="A2:A7"/>
    <mergeCell ref="A9:A12"/>
    <mergeCell ref="A14: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BAE4-E206-4A52-B122-395ACE759D47}">
  <dimension ref="A1:G302"/>
  <sheetViews>
    <sheetView workbookViewId="0">
      <selection activeCell="F3" sqref="F3"/>
    </sheetView>
  </sheetViews>
  <sheetFormatPr defaultRowHeight="15"/>
  <cols>
    <col min="1" max="1" width="4.85546875" customWidth="1"/>
    <col min="2" max="2" width="16.7109375" customWidth="1"/>
    <col min="3" max="3" width="12" customWidth="1"/>
    <col min="4" max="4" width="8" customWidth="1"/>
    <col min="5" max="5" width="15.140625" customWidth="1"/>
    <col min="6" max="6" width="13.5703125" customWidth="1"/>
    <col min="7" max="7" width="13" customWidth="1"/>
  </cols>
  <sheetData>
    <row r="1" spans="1:7">
      <c r="B1" t="s">
        <v>193</v>
      </c>
    </row>
    <row r="2" spans="1:7" ht="30.75">
      <c r="A2" s="100" t="s">
        <v>194</v>
      </c>
      <c r="B2" s="101" t="s">
        <v>195</v>
      </c>
      <c r="C2" s="101" t="s">
        <v>196</v>
      </c>
      <c r="D2" s="101" t="s">
        <v>197</v>
      </c>
      <c r="E2" s="101" t="s">
        <v>198</v>
      </c>
      <c r="F2" s="101" t="s">
        <v>199</v>
      </c>
      <c r="G2" s="101" t="s">
        <v>200</v>
      </c>
    </row>
    <row r="3" spans="1:7">
      <c r="A3" s="102">
        <v>1</v>
      </c>
      <c r="B3" s="103" t="s">
        <v>201</v>
      </c>
      <c r="C3" s="103" t="s">
        <v>201</v>
      </c>
      <c r="D3" s="103" t="s">
        <v>201</v>
      </c>
      <c r="E3" s="103" t="s">
        <v>201</v>
      </c>
      <c r="F3" s="103">
        <v>1</v>
      </c>
      <c r="G3" s="103" t="s">
        <v>201</v>
      </c>
    </row>
    <row r="4" spans="1:7">
      <c r="A4" s="102">
        <v>2</v>
      </c>
      <c r="B4" s="103" t="s">
        <v>201</v>
      </c>
      <c r="C4" s="103" t="s">
        <v>201</v>
      </c>
      <c r="D4" s="103" t="s">
        <v>201</v>
      </c>
      <c r="E4" s="103" t="s">
        <v>201</v>
      </c>
      <c r="F4" s="103">
        <v>1</v>
      </c>
      <c r="G4" s="103" t="s">
        <v>201</v>
      </c>
    </row>
    <row r="5" spans="1:7">
      <c r="A5" s="102">
        <v>3</v>
      </c>
      <c r="B5" s="103" t="s">
        <v>201</v>
      </c>
      <c r="C5" s="103" t="s">
        <v>201</v>
      </c>
      <c r="D5" s="103" t="s">
        <v>201</v>
      </c>
      <c r="E5" s="103" t="s">
        <v>201</v>
      </c>
      <c r="F5" s="103">
        <v>1</v>
      </c>
      <c r="G5" s="103" t="s">
        <v>201</v>
      </c>
    </row>
    <row r="6" spans="1:7">
      <c r="A6" s="102">
        <v>4</v>
      </c>
      <c r="B6" s="103" t="s">
        <v>201</v>
      </c>
      <c r="C6" s="103" t="s">
        <v>201</v>
      </c>
      <c r="D6" s="103" t="s">
        <v>201</v>
      </c>
      <c r="E6" s="103" t="s">
        <v>201</v>
      </c>
      <c r="F6" s="103">
        <v>1</v>
      </c>
      <c r="G6" s="103" t="s">
        <v>201</v>
      </c>
    </row>
    <row r="7" spans="1:7">
      <c r="A7" s="102">
        <v>5</v>
      </c>
      <c r="B7" s="103" t="s">
        <v>201</v>
      </c>
      <c r="C7" s="103" t="s">
        <v>201</v>
      </c>
      <c r="D7" s="103" t="s">
        <v>201</v>
      </c>
      <c r="E7" s="103" t="s">
        <v>201</v>
      </c>
      <c r="F7" s="103">
        <v>1</v>
      </c>
      <c r="G7" s="103" t="s">
        <v>201</v>
      </c>
    </row>
    <row r="8" spans="1:7">
      <c r="A8" s="102">
        <v>6</v>
      </c>
      <c r="B8" s="103" t="s">
        <v>201</v>
      </c>
      <c r="C8" s="103" t="s">
        <v>201</v>
      </c>
      <c r="D8" s="103" t="s">
        <v>201</v>
      </c>
      <c r="E8" s="103" t="s">
        <v>201</v>
      </c>
      <c r="F8" s="103">
        <v>1</v>
      </c>
      <c r="G8" s="103" t="s">
        <v>201</v>
      </c>
    </row>
    <row r="9" spans="1:7">
      <c r="A9" s="102">
        <v>7</v>
      </c>
      <c r="B9" s="103" t="s">
        <v>201</v>
      </c>
      <c r="C9" s="103" t="s">
        <v>201</v>
      </c>
      <c r="D9" s="103" t="s">
        <v>201</v>
      </c>
      <c r="E9" s="103" t="s">
        <v>201</v>
      </c>
      <c r="F9" s="103">
        <v>1</v>
      </c>
      <c r="G9" s="103" t="s">
        <v>201</v>
      </c>
    </row>
    <row r="10" spans="1:7">
      <c r="A10" s="102">
        <v>8</v>
      </c>
      <c r="B10" s="103" t="s">
        <v>201</v>
      </c>
      <c r="C10" s="103" t="s">
        <v>201</v>
      </c>
      <c r="D10" s="103" t="s">
        <v>201</v>
      </c>
      <c r="E10" s="103" t="s">
        <v>201</v>
      </c>
      <c r="F10" s="103">
        <v>1</v>
      </c>
      <c r="G10" s="103" t="s">
        <v>201</v>
      </c>
    </row>
    <row r="11" spans="1:7">
      <c r="A11" s="102">
        <v>9</v>
      </c>
      <c r="B11" s="103" t="s">
        <v>201</v>
      </c>
      <c r="C11" s="103" t="s">
        <v>201</v>
      </c>
      <c r="D11" s="103" t="s">
        <v>201</v>
      </c>
      <c r="E11" s="103" t="s">
        <v>201</v>
      </c>
      <c r="F11" s="103">
        <v>1</v>
      </c>
      <c r="G11" s="103" t="s">
        <v>201</v>
      </c>
    </row>
    <row r="12" spans="1:7">
      <c r="A12" s="102">
        <v>10</v>
      </c>
      <c r="B12" s="103" t="s">
        <v>201</v>
      </c>
      <c r="C12" s="103" t="s">
        <v>201</v>
      </c>
      <c r="D12" s="103" t="s">
        <v>201</v>
      </c>
      <c r="E12" s="103" t="s">
        <v>201</v>
      </c>
      <c r="F12" s="103">
        <v>1</v>
      </c>
      <c r="G12" s="103" t="s">
        <v>201</v>
      </c>
    </row>
    <row r="13" spans="1:7">
      <c r="A13" s="102">
        <v>11</v>
      </c>
      <c r="B13" s="103" t="s">
        <v>201</v>
      </c>
      <c r="C13" s="103" t="s">
        <v>201</v>
      </c>
      <c r="D13" s="103" t="s">
        <v>201</v>
      </c>
      <c r="E13" s="103" t="s">
        <v>201</v>
      </c>
      <c r="F13" s="103">
        <v>1</v>
      </c>
      <c r="G13" s="103" t="s">
        <v>201</v>
      </c>
    </row>
    <row r="14" spans="1:7">
      <c r="A14" s="102">
        <v>12</v>
      </c>
      <c r="B14" s="103" t="s">
        <v>201</v>
      </c>
      <c r="C14" s="103" t="s">
        <v>201</v>
      </c>
      <c r="D14" s="103" t="s">
        <v>201</v>
      </c>
      <c r="E14" s="103" t="s">
        <v>201</v>
      </c>
      <c r="F14" s="103">
        <v>1</v>
      </c>
      <c r="G14" s="103" t="s">
        <v>201</v>
      </c>
    </row>
    <row r="15" spans="1:7">
      <c r="A15" s="102">
        <v>13</v>
      </c>
      <c r="B15" s="103" t="s">
        <v>201</v>
      </c>
      <c r="C15" s="103" t="s">
        <v>201</v>
      </c>
      <c r="D15" s="103" t="s">
        <v>201</v>
      </c>
      <c r="E15" s="103" t="s">
        <v>201</v>
      </c>
      <c r="F15" s="103">
        <v>1</v>
      </c>
      <c r="G15" s="103" t="s">
        <v>201</v>
      </c>
    </row>
    <row r="16" spans="1:7">
      <c r="A16" s="102">
        <v>14</v>
      </c>
      <c r="B16" s="103" t="s">
        <v>201</v>
      </c>
      <c r="C16" s="103" t="s">
        <v>201</v>
      </c>
      <c r="D16" s="103" t="s">
        <v>201</v>
      </c>
      <c r="E16" s="103" t="s">
        <v>201</v>
      </c>
      <c r="F16" s="103">
        <v>1</v>
      </c>
      <c r="G16" s="103" t="s">
        <v>201</v>
      </c>
    </row>
    <row r="17" spans="1:7">
      <c r="A17" s="102">
        <v>15</v>
      </c>
      <c r="B17" s="103" t="s">
        <v>201</v>
      </c>
      <c r="C17" s="103" t="s">
        <v>201</v>
      </c>
      <c r="D17" s="103" t="s">
        <v>201</v>
      </c>
      <c r="E17" s="103" t="s">
        <v>201</v>
      </c>
      <c r="F17" s="103">
        <v>1</v>
      </c>
      <c r="G17" s="103" t="s">
        <v>201</v>
      </c>
    </row>
    <row r="18" spans="1:7">
      <c r="A18" s="102">
        <v>16</v>
      </c>
      <c r="B18" s="103" t="s">
        <v>201</v>
      </c>
      <c r="C18" s="103" t="s">
        <v>201</v>
      </c>
      <c r="D18" s="103" t="s">
        <v>201</v>
      </c>
      <c r="E18" s="103" t="s">
        <v>201</v>
      </c>
      <c r="F18" s="103">
        <v>1</v>
      </c>
      <c r="G18" s="103" t="s">
        <v>201</v>
      </c>
    </row>
    <row r="19" spans="1:7">
      <c r="A19" s="102">
        <v>17</v>
      </c>
      <c r="B19" s="103" t="s">
        <v>201</v>
      </c>
      <c r="C19" s="103" t="s">
        <v>201</v>
      </c>
      <c r="D19" s="103" t="s">
        <v>201</v>
      </c>
      <c r="E19" s="103" t="s">
        <v>201</v>
      </c>
      <c r="F19" s="103">
        <v>1</v>
      </c>
      <c r="G19" s="103" t="s">
        <v>201</v>
      </c>
    </row>
    <row r="20" spans="1:7">
      <c r="A20" s="102">
        <v>18</v>
      </c>
      <c r="B20" s="103" t="s">
        <v>201</v>
      </c>
      <c r="C20" s="103" t="s">
        <v>201</v>
      </c>
      <c r="D20" s="103" t="s">
        <v>201</v>
      </c>
      <c r="E20" s="103" t="s">
        <v>201</v>
      </c>
      <c r="F20" s="103">
        <v>1</v>
      </c>
      <c r="G20" s="103" t="s">
        <v>201</v>
      </c>
    </row>
    <row r="21" spans="1:7">
      <c r="A21" s="102">
        <v>19</v>
      </c>
      <c r="B21" s="103" t="s">
        <v>201</v>
      </c>
      <c r="C21" s="103" t="s">
        <v>201</v>
      </c>
      <c r="D21" s="103" t="s">
        <v>201</v>
      </c>
      <c r="E21" s="103" t="s">
        <v>201</v>
      </c>
      <c r="F21" s="103">
        <v>1</v>
      </c>
      <c r="G21" s="103" t="s">
        <v>201</v>
      </c>
    </row>
    <row r="22" spans="1:7">
      <c r="A22" s="102">
        <v>20</v>
      </c>
      <c r="B22" s="103" t="s">
        <v>201</v>
      </c>
      <c r="C22" s="103" t="s">
        <v>201</v>
      </c>
      <c r="D22" s="103" t="s">
        <v>201</v>
      </c>
      <c r="E22" s="103" t="s">
        <v>201</v>
      </c>
      <c r="F22" s="103">
        <v>1</v>
      </c>
      <c r="G22" s="103" t="s">
        <v>201</v>
      </c>
    </row>
    <row r="23" spans="1:7">
      <c r="A23" s="102">
        <v>21</v>
      </c>
      <c r="B23" s="103" t="s">
        <v>201</v>
      </c>
      <c r="C23" s="103" t="s">
        <v>201</v>
      </c>
      <c r="D23" s="103" t="s">
        <v>201</v>
      </c>
      <c r="E23" s="103" t="s">
        <v>201</v>
      </c>
      <c r="F23" s="103">
        <v>1</v>
      </c>
      <c r="G23" s="103" t="s">
        <v>201</v>
      </c>
    </row>
    <row r="24" spans="1:7">
      <c r="A24" s="102">
        <v>22</v>
      </c>
      <c r="B24" s="103" t="s">
        <v>201</v>
      </c>
      <c r="C24" s="103" t="s">
        <v>201</v>
      </c>
      <c r="D24" s="103" t="s">
        <v>201</v>
      </c>
      <c r="E24" s="103" t="s">
        <v>201</v>
      </c>
      <c r="F24" s="103">
        <v>1</v>
      </c>
      <c r="G24" s="103" t="s">
        <v>201</v>
      </c>
    </row>
    <row r="25" spans="1:7">
      <c r="A25" s="102">
        <v>23</v>
      </c>
      <c r="B25" s="103" t="s">
        <v>201</v>
      </c>
      <c r="C25" s="103" t="s">
        <v>201</v>
      </c>
      <c r="D25" s="103" t="s">
        <v>201</v>
      </c>
      <c r="E25" s="103" t="s">
        <v>201</v>
      </c>
      <c r="F25" s="103">
        <v>1</v>
      </c>
      <c r="G25" s="103" t="s">
        <v>201</v>
      </c>
    </row>
    <row r="26" spans="1:7">
      <c r="A26" s="102">
        <v>24</v>
      </c>
      <c r="B26" s="103" t="s">
        <v>201</v>
      </c>
      <c r="C26" s="103" t="s">
        <v>201</v>
      </c>
      <c r="D26" s="103" t="s">
        <v>201</v>
      </c>
      <c r="E26" s="103" t="s">
        <v>201</v>
      </c>
      <c r="F26" s="103">
        <v>1</v>
      </c>
      <c r="G26" s="103" t="s">
        <v>201</v>
      </c>
    </row>
    <row r="27" spans="1:7">
      <c r="A27" s="102">
        <v>25</v>
      </c>
      <c r="B27" s="103" t="s">
        <v>201</v>
      </c>
      <c r="C27" s="103" t="s">
        <v>201</v>
      </c>
      <c r="D27" s="103" t="s">
        <v>201</v>
      </c>
      <c r="E27" s="103" t="s">
        <v>201</v>
      </c>
      <c r="F27" s="103">
        <v>1</v>
      </c>
      <c r="G27" s="103" t="s">
        <v>201</v>
      </c>
    </row>
    <row r="28" spans="1:7">
      <c r="A28" s="102">
        <v>26</v>
      </c>
      <c r="B28" s="103" t="s">
        <v>201</v>
      </c>
      <c r="C28" s="103" t="s">
        <v>201</v>
      </c>
      <c r="D28" s="103" t="s">
        <v>201</v>
      </c>
      <c r="E28" s="103" t="s">
        <v>201</v>
      </c>
      <c r="F28" s="103">
        <v>1</v>
      </c>
      <c r="G28" s="103" t="s">
        <v>201</v>
      </c>
    </row>
    <row r="29" spans="1:7">
      <c r="A29" s="102">
        <v>27</v>
      </c>
      <c r="B29" s="103" t="s">
        <v>201</v>
      </c>
      <c r="C29" s="103" t="s">
        <v>201</v>
      </c>
      <c r="D29" s="103" t="s">
        <v>201</v>
      </c>
      <c r="E29" s="103" t="s">
        <v>201</v>
      </c>
      <c r="F29" s="103">
        <v>1</v>
      </c>
      <c r="G29" s="103" t="s">
        <v>201</v>
      </c>
    </row>
    <row r="30" spans="1:7">
      <c r="A30" s="102">
        <v>28</v>
      </c>
      <c r="B30" s="103" t="s">
        <v>201</v>
      </c>
      <c r="C30" s="103" t="s">
        <v>201</v>
      </c>
      <c r="D30" s="103" t="s">
        <v>201</v>
      </c>
      <c r="E30" s="103" t="s">
        <v>201</v>
      </c>
      <c r="F30" s="103">
        <v>1</v>
      </c>
      <c r="G30" s="103" t="s">
        <v>201</v>
      </c>
    </row>
    <row r="31" spans="1:7">
      <c r="A31" s="102">
        <v>29</v>
      </c>
      <c r="B31" s="103" t="s">
        <v>201</v>
      </c>
      <c r="C31" s="103" t="s">
        <v>201</v>
      </c>
      <c r="D31" s="103" t="s">
        <v>201</v>
      </c>
      <c r="E31" s="103" t="s">
        <v>201</v>
      </c>
      <c r="F31" s="103">
        <v>1</v>
      </c>
      <c r="G31" s="103" t="s">
        <v>201</v>
      </c>
    </row>
    <row r="32" spans="1:7">
      <c r="A32" s="102">
        <v>30</v>
      </c>
      <c r="B32" s="103" t="s">
        <v>201</v>
      </c>
      <c r="C32" s="103" t="s">
        <v>201</v>
      </c>
      <c r="D32" s="103" t="s">
        <v>201</v>
      </c>
      <c r="E32" s="103" t="s">
        <v>201</v>
      </c>
      <c r="F32" s="103">
        <v>1</v>
      </c>
      <c r="G32" s="103" t="s">
        <v>201</v>
      </c>
    </row>
    <row r="33" spans="1:7">
      <c r="A33" s="102">
        <v>31</v>
      </c>
      <c r="B33" s="103" t="s">
        <v>201</v>
      </c>
      <c r="C33" s="103" t="s">
        <v>201</v>
      </c>
      <c r="D33" s="103" t="s">
        <v>201</v>
      </c>
      <c r="E33" s="103" t="s">
        <v>201</v>
      </c>
      <c r="F33" s="103">
        <v>1</v>
      </c>
      <c r="G33" s="103" t="s">
        <v>201</v>
      </c>
    </row>
    <row r="34" spans="1:7">
      <c r="A34" s="102">
        <v>32</v>
      </c>
      <c r="B34" s="103" t="s">
        <v>201</v>
      </c>
      <c r="C34" s="103" t="s">
        <v>201</v>
      </c>
      <c r="D34" s="103" t="s">
        <v>201</v>
      </c>
      <c r="E34" s="103" t="s">
        <v>201</v>
      </c>
      <c r="F34" s="103">
        <v>1</v>
      </c>
      <c r="G34" s="103" t="s">
        <v>201</v>
      </c>
    </row>
    <row r="35" spans="1:7">
      <c r="A35" s="102">
        <v>33</v>
      </c>
      <c r="B35" s="103" t="s">
        <v>201</v>
      </c>
      <c r="C35" s="103" t="s">
        <v>201</v>
      </c>
      <c r="D35" s="103" t="s">
        <v>201</v>
      </c>
      <c r="E35" s="103" t="s">
        <v>201</v>
      </c>
      <c r="F35" s="103">
        <v>1</v>
      </c>
      <c r="G35" s="103" t="s">
        <v>201</v>
      </c>
    </row>
    <row r="36" spans="1:7">
      <c r="A36" s="102">
        <v>34</v>
      </c>
      <c r="B36" s="103" t="s">
        <v>201</v>
      </c>
      <c r="C36" s="103" t="s">
        <v>201</v>
      </c>
      <c r="D36" s="103" t="s">
        <v>201</v>
      </c>
      <c r="E36" s="103" t="s">
        <v>201</v>
      </c>
      <c r="F36" s="103">
        <v>1</v>
      </c>
      <c r="G36" s="103" t="s">
        <v>201</v>
      </c>
    </row>
    <row r="37" spans="1:7">
      <c r="A37" s="102">
        <v>35</v>
      </c>
      <c r="B37" s="103" t="s">
        <v>201</v>
      </c>
      <c r="C37" s="103" t="s">
        <v>201</v>
      </c>
      <c r="D37" s="103" t="s">
        <v>201</v>
      </c>
      <c r="E37" s="103" t="s">
        <v>201</v>
      </c>
      <c r="F37" s="103">
        <v>1</v>
      </c>
      <c r="G37" s="103" t="s">
        <v>201</v>
      </c>
    </row>
    <row r="38" spans="1:7">
      <c r="A38" s="102">
        <v>36</v>
      </c>
      <c r="B38" s="103" t="s">
        <v>201</v>
      </c>
      <c r="C38" s="103" t="s">
        <v>201</v>
      </c>
      <c r="D38" s="103" t="s">
        <v>201</v>
      </c>
      <c r="E38" s="103" t="s">
        <v>201</v>
      </c>
      <c r="F38" s="103">
        <v>1</v>
      </c>
      <c r="G38" s="103" t="s">
        <v>201</v>
      </c>
    </row>
    <row r="39" spans="1:7">
      <c r="A39" s="102">
        <v>37</v>
      </c>
      <c r="B39" s="103" t="s">
        <v>201</v>
      </c>
      <c r="C39" s="103" t="s">
        <v>201</v>
      </c>
      <c r="D39" s="103" t="s">
        <v>201</v>
      </c>
      <c r="E39" s="103" t="s">
        <v>201</v>
      </c>
      <c r="F39" s="103">
        <v>1</v>
      </c>
      <c r="G39" s="103" t="s">
        <v>201</v>
      </c>
    </row>
    <row r="40" spans="1:7">
      <c r="A40" s="102">
        <v>38</v>
      </c>
      <c r="B40" s="103" t="s">
        <v>201</v>
      </c>
      <c r="C40" s="103" t="s">
        <v>201</v>
      </c>
      <c r="D40" s="103" t="s">
        <v>201</v>
      </c>
      <c r="E40" s="103" t="s">
        <v>201</v>
      </c>
      <c r="F40" s="103">
        <v>1</v>
      </c>
      <c r="G40" s="103" t="s">
        <v>201</v>
      </c>
    </row>
    <row r="41" spans="1:7">
      <c r="A41" s="102">
        <v>39</v>
      </c>
      <c r="B41" s="103" t="s">
        <v>201</v>
      </c>
      <c r="C41" s="103" t="s">
        <v>201</v>
      </c>
      <c r="D41" s="103" t="s">
        <v>201</v>
      </c>
      <c r="E41" s="103" t="s">
        <v>201</v>
      </c>
      <c r="F41" s="103">
        <v>1</v>
      </c>
      <c r="G41" s="103" t="s">
        <v>201</v>
      </c>
    </row>
    <row r="42" spans="1:7">
      <c r="A42" s="102">
        <v>40</v>
      </c>
      <c r="B42" s="103" t="s">
        <v>201</v>
      </c>
      <c r="C42" s="103" t="s">
        <v>201</v>
      </c>
      <c r="D42" s="103" t="s">
        <v>201</v>
      </c>
      <c r="E42" s="103" t="s">
        <v>201</v>
      </c>
      <c r="F42" s="103">
        <v>1</v>
      </c>
      <c r="G42" s="103" t="s">
        <v>201</v>
      </c>
    </row>
    <row r="43" spans="1:7">
      <c r="A43" s="102">
        <v>41</v>
      </c>
      <c r="B43" s="103" t="s">
        <v>201</v>
      </c>
      <c r="C43" s="103" t="s">
        <v>201</v>
      </c>
      <c r="D43" s="103" t="s">
        <v>201</v>
      </c>
      <c r="E43" s="103" t="s">
        <v>201</v>
      </c>
      <c r="F43" s="103">
        <v>1</v>
      </c>
      <c r="G43" s="103" t="s">
        <v>201</v>
      </c>
    </row>
    <row r="44" spans="1:7">
      <c r="A44" s="102">
        <v>42</v>
      </c>
      <c r="B44" s="103" t="s">
        <v>201</v>
      </c>
      <c r="C44" s="103" t="s">
        <v>201</v>
      </c>
      <c r="D44" s="103" t="s">
        <v>201</v>
      </c>
      <c r="E44" s="103" t="s">
        <v>201</v>
      </c>
      <c r="F44" s="103">
        <v>1</v>
      </c>
      <c r="G44" s="103" t="s">
        <v>201</v>
      </c>
    </row>
    <row r="45" spans="1:7">
      <c r="A45" s="102">
        <v>43</v>
      </c>
      <c r="B45" s="103" t="s">
        <v>201</v>
      </c>
      <c r="C45" s="103" t="s">
        <v>201</v>
      </c>
      <c r="D45" s="103" t="s">
        <v>201</v>
      </c>
      <c r="E45" s="103" t="s">
        <v>201</v>
      </c>
      <c r="F45" s="103">
        <v>1</v>
      </c>
      <c r="G45" s="103" t="s">
        <v>201</v>
      </c>
    </row>
    <row r="46" spans="1:7">
      <c r="A46" s="102">
        <v>44</v>
      </c>
      <c r="B46" s="103" t="s">
        <v>201</v>
      </c>
      <c r="C46" s="103" t="s">
        <v>201</v>
      </c>
      <c r="D46" s="103" t="s">
        <v>201</v>
      </c>
      <c r="E46" s="103" t="s">
        <v>201</v>
      </c>
      <c r="F46" s="103">
        <v>1</v>
      </c>
      <c r="G46" s="103" t="s">
        <v>201</v>
      </c>
    </row>
    <row r="47" spans="1:7">
      <c r="A47" s="102">
        <v>45</v>
      </c>
      <c r="B47" s="103" t="s">
        <v>201</v>
      </c>
      <c r="C47" s="103" t="s">
        <v>201</v>
      </c>
      <c r="D47" s="103" t="s">
        <v>201</v>
      </c>
      <c r="E47" s="103" t="s">
        <v>201</v>
      </c>
      <c r="F47" s="103">
        <v>1</v>
      </c>
      <c r="G47" s="103" t="s">
        <v>201</v>
      </c>
    </row>
    <row r="48" spans="1:7">
      <c r="A48" s="102">
        <v>46</v>
      </c>
      <c r="B48" s="103" t="s">
        <v>201</v>
      </c>
      <c r="C48" s="103" t="s">
        <v>201</v>
      </c>
      <c r="D48" s="103" t="s">
        <v>201</v>
      </c>
      <c r="E48" s="103" t="s">
        <v>201</v>
      </c>
      <c r="F48" s="103">
        <v>1</v>
      </c>
      <c r="G48" s="103" t="s">
        <v>201</v>
      </c>
    </row>
    <row r="49" spans="1:7">
      <c r="A49" s="102">
        <v>47</v>
      </c>
      <c r="B49" s="103" t="s">
        <v>201</v>
      </c>
      <c r="C49" s="103" t="s">
        <v>201</v>
      </c>
      <c r="D49" s="103" t="s">
        <v>201</v>
      </c>
      <c r="E49" s="103" t="s">
        <v>201</v>
      </c>
      <c r="F49" s="103">
        <v>1</v>
      </c>
      <c r="G49" s="103" t="s">
        <v>201</v>
      </c>
    </row>
    <row r="50" spans="1:7">
      <c r="A50" s="102">
        <v>48</v>
      </c>
      <c r="B50" s="103" t="s">
        <v>201</v>
      </c>
      <c r="C50" s="103" t="s">
        <v>201</v>
      </c>
      <c r="D50" s="103" t="s">
        <v>201</v>
      </c>
      <c r="E50" s="103" t="s">
        <v>201</v>
      </c>
      <c r="F50" s="103">
        <v>1</v>
      </c>
      <c r="G50" s="103" t="s">
        <v>201</v>
      </c>
    </row>
    <row r="51" spans="1:7">
      <c r="A51" s="102">
        <v>49</v>
      </c>
      <c r="B51" s="103" t="s">
        <v>201</v>
      </c>
      <c r="C51" s="103" t="s">
        <v>201</v>
      </c>
      <c r="D51" s="103" t="s">
        <v>201</v>
      </c>
      <c r="E51" s="103" t="s">
        <v>201</v>
      </c>
      <c r="F51" s="103">
        <v>1</v>
      </c>
      <c r="G51" s="103" t="s">
        <v>201</v>
      </c>
    </row>
    <row r="52" spans="1:7">
      <c r="A52" s="102">
        <v>50</v>
      </c>
      <c r="B52" s="103" t="s">
        <v>201</v>
      </c>
      <c r="C52" s="103" t="s">
        <v>201</v>
      </c>
      <c r="D52" s="103" t="s">
        <v>201</v>
      </c>
      <c r="E52" s="103" t="s">
        <v>201</v>
      </c>
      <c r="F52" s="103">
        <v>1</v>
      </c>
      <c r="G52" s="103" t="s">
        <v>201</v>
      </c>
    </row>
    <row r="53" spans="1:7">
      <c r="A53" s="102">
        <v>51</v>
      </c>
      <c r="B53" s="103" t="s">
        <v>201</v>
      </c>
      <c r="C53" s="103" t="s">
        <v>201</v>
      </c>
      <c r="D53" s="103" t="s">
        <v>201</v>
      </c>
      <c r="E53" s="103" t="s">
        <v>201</v>
      </c>
      <c r="F53" s="103">
        <v>1</v>
      </c>
      <c r="G53" s="103" t="s">
        <v>201</v>
      </c>
    </row>
    <row r="54" spans="1:7">
      <c r="A54" s="102">
        <v>52</v>
      </c>
      <c r="B54" s="103" t="s">
        <v>201</v>
      </c>
      <c r="C54" s="103" t="s">
        <v>201</v>
      </c>
      <c r="D54" s="103" t="s">
        <v>201</v>
      </c>
      <c r="E54" s="103" t="s">
        <v>201</v>
      </c>
      <c r="F54" s="103">
        <v>1</v>
      </c>
      <c r="G54" s="103" t="s">
        <v>201</v>
      </c>
    </row>
    <row r="55" spans="1:7">
      <c r="A55" s="102">
        <v>53</v>
      </c>
      <c r="B55" s="103" t="s">
        <v>201</v>
      </c>
      <c r="C55" s="103" t="s">
        <v>201</v>
      </c>
      <c r="D55" s="103" t="s">
        <v>201</v>
      </c>
      <c r="E55" s="103" t="s">
        <v>201</v>
      </c>
      <c r="F55" s="103">
        <v>1</v>
      </c>
      <c r="G55" s="103" t="s">
        <v>201</v>
      </c>
    </row>
    <row r="56" spans="1:7">
      <c r="A56" s="102">
        <v>54</v>
      </c>
      <c r="B56" s="103" t="s">
        <v>201</v>
      </c>
      <c r="C56" s="103" t="s">
        <v>201</v>
      </c>
      <c r="D56" s="103" t="s">
        <v>201</v>
      </c>
      <c r="E56" s="103" t="s">
        <v>201</v>
      </c>
      <c r="F56" s="103">
        <v>1</v>
      </c>
      <c r="G56" s="103" t="s">
        <v>201</v>
      </c>
    </row>
    <row r="57" spans="1:7">
      <c r="A57" s="102">
        <v>55</v>
      </c>
      <c r="B57" s="103" t="s">
        <v>201</v>
      </c>
      <c r="C57" s="103" t="s">
        <v>201</v>
      </c>
      <c r="D57" s="103" t="s">
        <v>201</v>
      </c>
      <c r="E57" s="103" t="s">
        <v>201</v>
      </c>
      <c r="F57" s="103">
        <v>1</v>
      </c>
      <c r="G57" s="103" t="s">
        <v>201</v>
      </c>
    </row>
    <row r="58" spans="1:7">
      <c r="A58" s="102">
        <v>56</v>
      </c>
      <c r="B58" s="103" t="s">
        <v>201</v>
      </c>
      <c r="C58" s="103" t="s">
        <v>201</v>
      </c>
      <c r="D58" s="103" t="s">
        <v>201</v>
      </c>
      <c r="E58" s="103" t="s">
        <v>201</v>
      </c>
      <c r="F58" s="103">
        <v>1</v>
      </c>
      <c r="G58" s="103" t="s">
        <v>201</v>
      </c>
    </row>
    <row r="59" spans="1:7">
      <c r="A59" s="102">
        <v>57</v>
      </c>
      <c r="B59" s="103" t="s">
        <v>201</v>
      </c>
      <c r="C59" s="103" t="s">
        <v>201</v>
      </c>
      <c r="D59" s="103" t="s">
        <v>201</v>
      </c>
      <c r="E59" s="103" t="s">
        <v>201</v>
      </c>
      <c r="F59" s="103">
        <v>1</v>
      </c>
      <c r="G59" s="103" t="s">
        <v>201</v>
      </c>
    </row>
    <row r="60" spans="1:7">
      <c r="A60" s="102">
        <v>58</v>
      </c>
      <c r="B60" s="103" t="s">
        <v>201</v>
      </c>
      <c r="C60" s="103" t="s">
        <v>201</v>
      </c>
      <c r="D60" s="103" t="s">
        <v>201</v>
      </c>
      <c r="E60" s="103" t="s">
        <v>201</v>
      </c>
      <c r="F60" s="103">
        <v>1</v>
      </c>
      <c r="G60" s="103" t="s">
        <v>201</v>
      </c>
    </row>
    <row r="61" spans="1:7">
      <c r="A61" s="102">
        <v>59</v>
      </c>
      <c r="B61" s="103" t="s">
        <v>201</v>
      </c>
      <c r="C61" s="103" t="s">
        <v>201</v>
      </c>
      <c r="D61" s="103" t="s">
        <v>201</v>
      </c>
      <c r="E61" s="103" t="s">
        <v>201</v>
      </c>
      <c r="F61" s="103">
        <v>1</v>
      </c>
      <c r="G61" s="103" t="s">
        <v>201</v>
      </c>
    </row>
    <row r="62" spans="1:7">
      <c r="A62" s="102">
        <v>60</v>
      </c>
      <c r="B62" s="103" t="s">
        <v>201</v>
      </c>
      <c r="C62" s="103" t="s">
        <v>201</v>
      </c>
      <c r="D62" s="103" t="s">
        <v>201</v>
      </c>
      <c r="E62" s="103" t="s">
        <v>201</v>
      </c>
      <c r="F62" s="103">
        <v>1</v>
      </c>
      <c r="G62" s="103" t="s">
        <v>201</v>
      </c>
    </row>
    <row r="63" spans="1:7">
      <c r="A63" s="102">
        <v>61</v>
      </c>
      <c r="B63" s="103" t="s">
        <v>201</v>
      </c>
      <c r="C63" s="103" t="s">
        <v>201</v>
      </c>
      <c r="D63" s="103" t="s">
        <v>201</v>
      </c>
      <c r="E63" s="103" t="s">
        <v>201</v>
      </c>
      <c r="F63" s="103">
        <v>1</v>
      </c>
      <c r="G63" s="103" t="s">
        <v>201</v>
      </c>
    </row>
    <row r="64" spans="1:7">
      <c r="A64" s="102">
        <v>62</v>
      </c>
      <c r="B64" s="103" t="s">
        <v>201</v>
      </c>
      <c r="C64" s="103" t="s">
        <v>201</v>
      </c>
      <c r="D64" s="103" t="s">
        <v>201</v>
      </c>
      <c r="E64" s="103" t="s">
        <v>201</v>
      </c>
      <c r="F64" s="103">
        <v>1</v>
      </c>
      <c r="G64" s="103" t="s">
        <v>201</v>
      </c>
    </row>
    <row r="65" spans="1:7">
      <c r="A65" s="102">
        <v>63</v>
      </c>
      <c r="B65" s="103" t="s">
        <v>201</v>
      </c>
      <c r="C65" s="103" t="s">
        <v>201</v>
      </c>
      <c r="D65" s="103" t="s">
        <v>201</v>
      </c>
      <c r="E65" s="103" t="s">
        <v>201</v>
      </c>
      <c r="F65" s="103">
        <v>1</v>
      </c>
      <c r="G65" s="103" t="s">
        <v>201</v>
      </c>
    </row>
    <row r="66" spans="1:7">
      <c r="A66" s="102">
        <v>64</v>
      </c>
      <c r="B66" s="103" t="s">
        <v>201</v>
      </c>
      <c r="C66" s="103" t="s">
        <v>201</v>
      </c>
      <c r="D66" s="103" t="s">
        <v>201</v>
      </c>
      <c r="E66" s="103" t="s">
        <v>201</v>
      </c>
      <c r="F66" s="103">
        <v>1</v>
      </c>
      <c r="G66" s="103" t="s">
        <v>201</v>
      </c>
    </row>
    <row r="67" spans="1:7">
      <c r="A67" s="102">
        <v>65</v>
      </c>
      <c r="B67" s="103" t="s">
        <v>201</v>
      </c>
      <c r="C67" s="103" t="s">
        <v>201</v>
      </c>
      <c r="D67" s="103" t="s">
        <v>201</v>
      </c>
      <c r="E67" s="103" t="s">
        <v>201</v>
      </c>
      <c r="F67" s="103">
        <v>1</v>
      </c>
      <c r="G67" s="103" t="s">
        <v>201</v>
      </c>
    </row>
    <row r="68" spans="1:7">
      <c r="A68" s="102">
        <v>66</v>
      </c>
      <c r="B68" s="103" t="s">
        <v>201</v>
      </c>
      <c r="C68" s="103" t="s">
        <v>201</v>
      </c>
      <c r="D68" s="103" t="s">
        <v>201</v>
      </c>
      <c r="E68" s="103" t="s">
        <v>201</v>
      </c>
      <c r="F68" s="103">
        <v>1</v>
      </c>
      <c r="G68" s="103" t="s">
        <v>201</v>
      </c>
    </row>
    <row r="69" spans="1:7">
      <c r="A69" s="102">
        <v>67</v>
      </c>
      <c r="B69" s="103" t="s">
        <v>201</v>
      </c>
      <c r="C69" s="103" t="s">
        <v>201</v>
      </c>
      <c r="D69" s="103" t="s">
        <v>201</v>
      </c>
      <c r="E69" s="103" t="s">
        <v>201</v>
      </c>
      <c r="F69" s="103">
        <v>1</v>
      </c>
      <c r="G69" s="103" t="s">
        <v>201</v>
      </c>
    </row>
    <row r="70" spans="1:7">
      <c r="A70" s="102">
        <v>68</v>
      </c>
      <c r="B70" s="103" t="s">
        <v>201</v>
      </c>
      <c r="C70" s="103" t="s">
        <v>201</v>
      </c>
      <c r="D70" s="103" t="s">
        <v>201</v>
      </c>
      <c r="E70" s="103" t="s">
        <v>201</v>
      </c>
      <c r="F70" s="103">
        <v>1</v>
      </c>
      <c r="G70" s="103" t="s">
        <v>201</v>
      </c>
    </row>
    <row r="71" spans="1:7">
      <c r="A71" s="102">
        <v>69</v>
      </c>
      <c r="B71" s="103" t="s">
        <v>201</v>
      </c>
      <c r="C71" s="103" t="s">
        <v>201</v>
      </c>
      <c r="D71" s="103" t="s">
        <v>201</v>
      </c>
      <c r="E71" s="103" t="s">
        <v>201</v>
      </c>
      <c r="F71" s="103">
        <v>1</v>
      </c>
      <c r="G71" s="103" t="s">
        <v>201</v>
      </c>
    </row>
    <row r="72" spans="1:7">
      <c r="A72" s="102">
        <v>70</v>
      </c>
      <c r="B72" s="103" t="s">
        <v>201</v>
      </c>
      <c r="C72" s="103" t="s">
        <v>201</v>
      </c>
      <c r="D72" s="103" t="s">
        <v>201</v>
      </c>
      <c r="E72" s="103" t="s">
        <v>201</v>
      </c>
      <c r="F72" s="103">
        <v>1</v>
      </c>
      <c r="G72" s="103" t="s">
        <v>201</v>
      </c>
    </row>
    <row r="73" spans="1:7">
      <c r="A73" s="102">
        <v>71</v>
      </c>
      <c r="B73" s="103" t="s">
        <v>201</v>
      </c>
      <c r="C73" s="103" t="s">
        <v>201</v>
      </c>
      <c r="D73" s="103" t="s">
        <v>201</v>
      </c>
      <c r="E73" s="103" t="s">
        <v>201</v>
      </c>
      <c r="F73" s="103">
        <v>1</v>
      </c>
      <c r="G73" s="103" t="s">
        <v>201</v>
      </c>
    </row>
    <row r="74" spans="1:7">
      <c r="A74" s="102">
        <v>72</v>
      </c>
      <c r="B74" s="103" t="s">
        <v>201</v>
      </c>
      <c r="C74" s="103" t="s">
        <v>201</v>
      </c>
      <c r="D74" s="103" t="s">
        <v>201</v>
      </c>
      <c r="E74" s="103" t="s">
        <v>201</v>
      </c>
      <c r="F74" s="103">
        <v>1</v>
      </c>
      <c r="G74" s="103" t="s">
        <v>201</v>
      </c>
    </row>
    <row r="75" spans="1:7">
      <c r="A75" s="102">
        <v>73</v>
      </c>
      <c r="B75" s="103" t="s">
        <v>201</v>
      </c>
      <c r="C75" s="103" t="s">
        <v>201</v>
      </c>
      <c r="D75" s="103" t="s">
        <v>201</v>
      </c>
      <c r="E75" s="103" t="s">
        <v>201</v>
      </c>
      <c r="F75" s="103">
        <v>1</v>
      </c>
      <c r="G75" s="103" t="s">
        <v>201</v>
      </c>
    </row>
    <row r="76" spans="1:7">
      <c r="A76" s="102">
        <v>74</v>
      </c>
      <c r="B76" s="103" t="s">
        <v>201</v>
      </c>
      <c r="C76" s="103" t="s">
        <v>201</v>
      </c>
      <c r="D76" s="103" t="s">
        <v>201</v>
      </c>
      <c r="E76" s="103" t="s">
        <v>201</v>
      </c>
      <c r="F76" s="103">
        <v>1</v>
      </c>
      <c r="G76" s="103" t="s">
        <v>201</v>
      </c>
    </row>
    <row r="77" spans="1:7">
      <c r="A77" s="102">
        <v>75</v>
      </c>
      <c r="B77" s="103" t="s">
        <v>201</v>
      </c>
      <c r="C77" s="103" t="s">
        <v>201</v>
      </c>
      <c r="D77" s="103" t="s">
        <v>201</v>
      </c>
      <c r="E77" s="103" t="s">
        <v>201</v>
      </c>
      <c r="F77" s="103">
        <v>1</v>
      </c>
      <c r="G77" s="103" t="s">
        <v>201</v>
      </c>
    </row>
    <row r="78" spans="1:7">
      <c r="A78" s="102">
        <v>76</v>
      </c>
      <c r="B78" s="103" t="s">
        <v>201</v>
      </c>
      <c r="C78" s="103" t="s">
        <v>201</v>
      </c>
      <c r="D78" s="103" t="s">
        <v>201</v>
      </c>
      <c r="E78" s="103" t="s">
        <v>201</v>
      </c>
      <c r="F78" s="103">
        <v>1</v>
      </c>
      <c r="G78" s="103" t="s">
        <v>201</v>
      </c>
    </row>
    <row r="79" spans="1:7">
      <c r="A79" s="102">
        <v>77</v>
      </c>
      <c r="B79" s="103" t="s">
        <v>201</v>
      </c>
      <c r="C79" s="103" t="s">
        <v>201</v>
      </c>
      <c r="D79" s="103" t="s">
        <v>201</v>
      </c>
      <c r="E79" s="103" t="s">
        <v>201</v>
      </c>
      <c r="F79" s="103">
        <v>1</v>
      </c>
      <c r="G79" s="103" t="s">
        <v>201</v>
      </c>
    </row>
    <row r="80" spans="1:7">
      <c r="A80" s="102">
        <v>78</v>
      </c>
      <c r="B80" s="103" t="s">
        <v>201</v>
      </c>
      <c r="C80" s="103" t="s">
        <v>201</v>
      </c>
      <c r="D80" s="103" t="s">
        <v>201</v>
      </c>
      <c r="E80" s="103" t="s">
        <v>201</v>
      </c>
      <c r="F80" s="103">
        <v>1</v>
      </c>
      <c r="G80" s="103" t="s">
        <v>201</v>
      </c>
    </row>
    <row r="81" spans="1:7">
      <c r="A81" s="102">
        <v>79</v>
      </c>
      <c r="B81" s="103" t="s">
        <v>201</v>
      </c>
      <c r="C81" s="103" t="s">
        <v>201</v>
      </c>
      <c r="D81" s="103" t="s">
        <v>201</v>
      </c>
      <c r="E81" s="103" t="s">
        <v>201</v>
      </c>
      <c r="F81" s="103">
        <v>1</v>
      </c>
      <c r="G81" s="103" t="s">
        <v>201</v>
      </c>
    </row>
    <row r="82" spans="1:7">
      <c r="A82" s="102">
        <v>80</v>
      </c>
      <c r="B82" s="103" t="s">
        <v>201</v>
      </c>
      <c r="C82" s="103" t="s">
        <v>201</v>
      </c>
      <c r="D82" s="103" t="s">
        <v>201</v>
      </c>
      <c r="E82" s="103" t="s">
        <v>201</v>
      </c>
      <c r="F82" s="103">
        <v>1</v>
      </c>
      <c r="G82" s="103" t="s">
        <v>201</v>
      </c>
    </row>
    <row r="83" spans="1:7">
      <c r="A83" s="102">
        <v>81</v>
      </c>
      <c r="B83" s="103" t="s">
        <v>201</v>
      </c>
      <c r="C83" s="103" t="s">
        <v>201</v>
      </c>
      <c r="D83" s="103" t="s">
        <v>201</v>
      </c>
      <c r="E83" s="103" t="s">
        <v>201</v>
      </c>
      <c r="F83" s="103">
        <v>1</v>
      </c>
      <c r="G83" s="103" t="s">
        <v>201</v>
      </c>
    </row>
    <row r="84" spans="1:7">
      <c r="A84" s="102">
        <v>82</v>
      </c>
      <c r="B84" s="103" t="s">
        <v>201</v>
      </c>
      <c r="C84" s="103" t="s">
        <v>201</v>
      </c>
      <c r="D84" s="103" t="s">
        <v>201</v>
      </c>
      <c r="E84" s="103" t="s">
        <v>201</v>
      </c>
      <c r="F84" s="103">
        <v>1</v>
      </c>
      <c r="G84" s="103" t="s">
        <v>201</v>
      </c>
    </row>
    <row r="85" spans="1:7">
      <c r="A85" s="102">
        <v>83</v>
      </c>
      <c r="B85" s="103" t="s">
        <v>201</v>
      </c>
      <c r="C85" s="103" t="s">
        <v>201</v>
      </c>
      <c r="D85" s="103" t="s">
        <v>201</v>
      </c>
      <c r="E85" s="103" t="s">
        <v>201</v>
      </c>
      <c r="F85" s="103">
        <v>1</v>
      </c>
      <c r="G85" s="103" t="s">
        <v>201</v>
      </c>
    </row>
    <row r="86" spans="1:7">
      <c r="A86" s="102">
        <v>84</v>
      </c>
      <c r="B86" s="103" t="s">
        <v>201</v>
      </c>
      <c r="C86" s="103" t="s">
        <v>201</v>
      </c>
      <c r="D86" s="103" t="s">
        <v>201</v>
      </c>
      <c r="E86" s="103" t="s">
        <v>201</v>
      </c>
      <c r="F86" s="103">
        <v>1</v>
      </c>
      <c r="G86" s="103" t="s">
        <v>201</v>
      </c>
    </row>
    <row r="87" spans="1:7">
      <c r="A87" s="102">
        <v>85</v>
      </c>
      <c r="B87" s="103" t="s">
        <v>201</v>
      </c>
      <c r="C87" s="103" t="s">
        <v>201</v>
      </c>
      <c r="D87" s="103" t="s">
        <v>201</v>
      </c>
      <c r="E87" s="103" t="s">
        <v>201</v>
      </c>
      <c r="F87" s="103">
        <v>1</v>
      </c>
      <c r="G87" s="103" t="s">
        <v>201</v>
      </c>
    </row>
    <row r="88" spans="1:7">
      <c r="A88" s="102">
        <v>86</v>
      </c>
      <c r="B88" s="103" t="s">
        <v>201</v>
      </c>
      <c r="C88" s="103" t="s">
        <v>201</v>
      </c>
      <c r="D88" s="103" t="s">
        <v>201</v>
      </c>
      <c r="E88" s="103" t="s">
        <v>201</v>
      </c>
      <c r="F88" s="103">
        <v>1</v>
      </c>
      <c r="G88" s="103" t="s">
        <v>201</v>
      </c>
    </row>
    <row r="89" spans="1:7">
      <c r="A89" s="102">
        <v>87</v>
      </c>
      <c r="B89" s="103" t="s">
        <v>201</v>
      </c>
      <c r="C89" s="103" t="s">
        <v>201</v>
      </c>
      <c r="D89" s="103" t="s">
        <v>201</v>
      </c>
      <c r="E89" s="103" t="s">
        <v>201</v>
      </c>
      <c r="F89" s="103">
        <v>1</v>
      </c>
      <c r="G89" s="103" t="s">
        <v>201</v>
      </c>
    </row>
    <row r="90" spans="1:7">
      <c r="A90" s="102">
        <v>88</v>
      </c>
      <c r="B90" s="103" t="s">
        <v>201</v>
      </c>
      <c r="C90" s="103" t="s">
        <v>201</v>
      </c>
      <c r="D90" s="103" t="s">
        <v>201</v>
      </c>
      <c r="E90" s="103" t="s">
        <v>201</v>
      </c>
      <c r="F90" s="103">
        <v>1</v>
      </c>
      <c r="G90" s="103" t="s">
        <v>201</v>
      </c>
    </row>
    <row r="91" spans="1:7">
      <c r="A91" s="102">
        <v>89</v>
      </c>
      <c r="B91" s="103" t="s">
        <v>201</v>
      </c>
      <c r="C91" s="103" t="s">
        <v>201</v>
      </c>
      <c r="D91" s="103" t="s">
        <v>201</v>
      </c>
      <c r="E91" s="103" t="s">
        <v>201</v>
      </c>
      <c r="F91" s="103">
        <v>1</v>
      </c>
      <c r="G91" s="103" t="s">
        <v>201</v>
      </c>
    </row>
    <row r="92" spans="1:7">
      <c r="A92" s="102">
        <v>90</v>
      </c>
      <c r="B92" s="103" t="s">
        <v>201</v>
      </c>
      <c r="C92" s="103" t="s">
        <v>201</v>
      </c>
      <c r="D92" s="103" t="s">
        <v>201</v>
      </c>
      <c r="E92" s="103" t="s">
        <v>201</v>
      </c>
      <c r="F92" s="103">
        <v>1</v>
      </c>
      <c r="G92" s="103" t="s">
        <v>201</v>
      </c>
    </row>
    <row r="93" spans="1:7">
      <c r="A93" s="102">
        <v>91</v>
      </c>
      <c r="B93" s="103" t="s">
        <v>201</v>
      </c>
      <c r="C93" s="103" t="s">
        <v>201</v>
      </c>
      <c r="D93" s="103" t="s">
        <v>201</v>
      </c>
      <c r="E93" s="103" t="s">
        <v>201</v>
      </c>
      <c r="F93" s="103">
        <v>1</v>
      </c>
      <c r="G93" s="103" t="s">
        <v>201</v>
      </c>
    </row>
    <row r="94" spans="1:7">
      <c r="A94" s="102">
        <v>92</v>
      </c>
      <c r="B94" s="103" t="s">
        <v>201</v>
      </c>
      <c r="C94" s="103" t="s">
        <v>201</v>
      </c>
      <c r="D94" s="103" t="s">
        <v>201</v>
      </c>
      <c r="E94" s="103" t="s">
        <v>201</v>
      </c>
      <c r="F94" s="103">
        <v>1</v>
      </c>
      <c r="G94" s="103" t="s">
        <v>201</v>
      </c>
    </row>
    <row r="95" spans="1:7">
      <c r="A95" s="102">
        <v>93</v>
      </c>
      <c r="B95" s="103" t="s">
        <v>201</v>
      </c>
      <c r="C95" s="103" t="s">
        <v>201</v>
      </c>
      <c r="D95" s="103" t="s">
        <v>201</v>
      </c>
      <c r="E95" s="103" t="s">
        <v>201</v>
      </c>
      <c r="F95" s="103">
        <v>1</v>
      </c>
      <c r="G95" s="103" t="s">
        <v>201</v>
      </c>
    </row>
    <row r="96" spans="1:7">
      <c r="A96" s="102">
        <v>94</v>
      </c>
      <c r="B96" s="103" t="s">
        <v>201</v>
      </c>
      <c r="C96" s="103" t="s">
        <v>201</v>
      </c>
      <c r="D96" s="103" t="s">
        <v>201</v>
      </c>
      <c r="E96" s="103" t="s">
        <v>201</v>
      </c>
      <c r="F96" s="103">
        <v>1</v>
      </c>
      <c r="G96" s="103" t="s">
        <v>201</v>
      </c>
    </row>
    <row r="97" spans="1:7">
      <c r="A97" s="102">
        <v>95</v>
      </c>
      <c r="B97" s="103" t="s">
        <v>201</v>
      </c>
      <c r="C97" s="103" t="s">
        <v>201</v>
      </c>
      <c r="D97" s="103" t="s">
        <v>201</v>
      </c>
      <c r="E97" s="103" t="s">
        <v>201</v>
      </c>
      <c r="F97" s="103">
        <v>1</v>
      </c>
      <c r="G97" s="103" t="s">
        <v>201</v>
      </c>
    </row>
    <row r="98" spans="1:7">
      <c r="A98" s="102">
        <v>96</v>
      </c>
      <c r="B98" s="103" t="s">
        <v>201</v>
      </c>
      <c r="C98" s="103" t="s">
        <v>201</v>
      </c>
      <c r="D98" s="103" t="s">
        <v>201</v>
      </c>
      <c r="E98" s="103" t="s">
        <v>201</v>
      </c>
      <c r="F98" s="103">
        <v>1</v>
      </c>
      <c r="G98" s="103" t="s">
        <v>201</v>
      </c>
    </row>
    <row r="99" spans="1:7">
      <c r="A99" s="102">
        <v>97</v>
      </c>
      <c r="B99" s="103" t="s">
        <v>201</v>
      </c>
      <c r="C99" s="103" t="s">
        <v>201</v>
      </c>
      <c r="D99" s="103" t="s">
        <v>201</v>
      </c>
      <c r="E99" s="103" t="s">
        <v>201</v>
      </c>
      <c r="F99" s="103">
        <v>1</v>
      </c>
      <c r="G99" s="103" t="s">
        <v>201</v>
      </c>
    </row>
    <row r="100" spans="1:7">
      <c r="A100" s="102">
        <v>98</v>
      </c>
      <c r="B100" s="103" t="s">
        <v>201</v>
      </c>
      <c r="C100" s="103" t="s">
        <v>201</v>
      </c>
      <c r="D100" s="103" t="s">
        <v>201</v>
      </c>
      <c r="E100" s="103" t="s">
        <v>201</v>
      </c>
      <c r="F100" s="103">
        <v>1</v>
      </c>
      <c r="G100" s="103" t="s">
        <v>201</v>
      </c>
    </row>
    <row r="101" spans="1:7">
      <c r="A101" s="102">
        <v>99</v>
      </c>
      <c r="B101" s="103" t="s">
        <v>201</v>
      </c>
      <c r="C101" s="103" t="s">
        <v>201</v>
      </c>
      <c r="D101" s="103" t="s">
        <v>201</v>
      </c>
      <c r="E101" s="103" t="s">
        <v>201</v>
      </c>
      <c r="F101" s="103">
        <v>1</v>
      </c>
      <c r="G101" s="103" t="s">
        <v>201</v>
      </c>
    </row>
    <row r="102" spans="1:7">
      <c r="A102" s="102">
        <v>100</v>
      </c>
      <c r="B102" s="103" t="s">
        <v>201</v>
      </c>
      <c r="C102" s="103" t="s">
        <v>201</v>
      </c>
      <c r="D102" s="103" t="s">
        <v>201</v>
      </c>
      <c r="E102" s="103" t="s">
        <v>201</v>
      </c>
      <c r="F102" s="103">
        <v>1</v>
      </c>
      <c r="G102" s="103" t="s">
        <v>201</v>
      </c>
    </row>
    <row r="103" spans="1:7">
      <c r="A103" s="102">
        <v>101</v>
      </c>
      <c r="B103" s="103" t="s">
        <v>201</v>
      </c>
      <c r="C103" s="103" t="s">
        <v>201</v>
      </c>
      <c r="D103" s="103" t="s">
        <v>201</v>
      </c>
      <c r="E103" s="103" t="s">
        <v>201</v>
      </c>
      <c r="F103" s="103">
        <v>1</v>
      </c>
      <c r="G103" s="103" t="s">
        <v>201</v>
      </c>
    </row>
    <row r="104" spans="1:7">
      <c r="A104" s="102">
        <v>102</v>
      </c>
      <c r="B104" s="103" t="s">
        <v>201</v>
      </c>
      <c r="C104" s="103" t="s">
        <v>201</v>
      </c>
      <c r="D104" s="103" t="s">
        <v>201</v>
      </c>
      <c r="E104" s="103" t="s">
        <v>201</v>
      </c>
      <c r="F104" s="103">
        <v>1</v>
      </c>
      <c r="G104" s="103" t="s">
        <v>201</v>
      </c>
    </row>
    <row r="105" spans="1:7">
      <c r="A105" s="102">
        <v>103</v>
      </c>
      <c r="B105" s="103" t="s">
        <v>201</v>
      </c>
      <c r="C105" s="103" t="s">
        <v>201</v>
      </c>
      <c r="D105" s="103" t="s">
        <v>201</v>
      </c>
      <c r="E105" s="103" t="s">
        <v>201</v>
      </c>
      <c r="F105" s="103">
        <v>1</v>
      </c>
      <c r="G105" s="103" t="s">
        <v>201</v>
      </c>
    </row>
    <row r="106" spans="1:7">
      <c r="A106" s="102">
        <v>104</v>
      </c>
      <c r="B106" s="103" t="s">
        <v>201</v>
      </c>
      <c r="C106" s="103" t="s">
        <v>201</v>
      </c>
      <c r="D106" s="103" t="s">
        <v>201</v>
      </c>
      <c r="E106" s="103" t="s">
        <v>201</v>
      </c>
      <c r="F106" s="103">
        <v>1</v>
      </c>
      <c r="G106" s="103" t="s">
        <v>201</v>
      </c>
    </row>
    <row r="107" spans="1:7">
      <c r="A107" s="102">
        <v>105</v>
      </c>
      <c r="B107" s="103" t="s">
        <v>201</v>
      </c>
      <c r="C107" s="103" t="s">
        <v>201</v>
      </c>
      <c r="D107" s="103" t="s">
        <v>201</v>
      </c>
      <c r="E107" s="103" t="s">
        <v>201</v>
      </c>
      <c r="F107" s="103">
        <v>1</v>
      </c>
      <c r="G107" s="103" t="s">
        <v>201</v>
      </c>
    </row>
    <row r="108" spans="1:7">
      <c r="A108" s="102">
        <v>106</v>
      </c>
      <c r="B108" s="103" t="s">
        <v>201</v>
      </c>
      <c r="C108" s="103" t="s">
        <v>201</v>
      </c>
      <c r="D108" s="103" t="s">
        <v>201</v>
      </c>
      <c r="E108" s="103" t="s">
        <v>201</v>
      </c>
      <c r="F108" s="103">
        <v>1</v>
      </c>
      <c r="G108" s="103" t="s">
        <v>201</v>
      </c>
    </row>
    <row r="109" spans="1:7">
      <c r="A109" s="102">
        <v>107</v>
      </c>
      <c r="B109" s="103" t="s">
        <v>201</v>
      </c>
      <c r="C109" s="103" t="s">
        <v>201</v>
      </c>
      <c r="D109" s="103" t="s">
        <v>201</v>
      </c>
      <c r="E109" s="103" t="s">
        <v>201</v>
      </c>
      <c r="F109" s="103">
        <v>1</v>
      </c>
      <c r="G109" s="103" t="s">
        <v>201</v>
      </c>
    </row>
    <row r="110" spans="1:7">
      <c r="A110" s="102">
        <v>108</v>
      </c>
      <c r="B110" s="103" t="s">
        <v>201</v>
      </c>
      <c r="C110" s="103" t="s">
        <v>201</v>
      </c>
      <c r="D110" s="103" t="s">
        <v>201</v>
      </c>
      <c r="E110" s="103" t="s">
        <v>201</v>
      </c>
      <c r="F110" s="103">
        <v>1</v>
      </c>
      <c r="G110" s="103" t="s">
        <v>201</v>
      </c>
    </row>
    <row r="111" spans="1:7">
      <c r="A111" s="102">
        <v>109</v>
      </c>
      <c r="B111" s="103" t="s">
        <v>201</v>
      </c>
      <c r="C111" s="103" t="s">
        <v>201</v>
      </c>
      <c r="D111" s="103" t="s">
        <v>201</v>
      </c>
      <c r="E111" s="103" t="s">
        <v>201</v>
      </c>
      <c r="F111" s="103">
        <v>1</v>
      </c>
      <c r="G111" s="103" t="s">
        <v>201</v>
      </c>
    </row>
    <row r="112" spans="1:7">
      <c r="A112" s="102">
        <v>110</v>
      </c>
      <c r="B112" s="103" t="s">
        <v>201</v>
      </c>
      <c r="C112" s="103" t="s">
        <v>201</v>
      </c>
      <c r="D112" s="103" t="s">
        <v>201</v>
      </c>
      <c r="E112" s="103" t="s">
        <v>201</v>
      </c>
      <c r="F112" s="103">
        <v>1</v>
      </c>
      <c r="G112" s="103" t="s">
        <v>201</v>
      </c>
    </row>
    <row r="113" spans="1:7">
      <c r="A113" s="102">
        <v>111</v>
      </c>
      <c r="B113" s="103" t="s">
        <v>201</v>
      </c>
      <c r="C113" s="103" t="s">
        <v>201</v>
      </c>
      <c r="D113" s="103" t="s">
        <v>201</v>
      </c>
      <c r="E113" s="103" t="s">
        <v>201</v>
      </c>
      <c r="F113" s="103">
        <v>1</v>
      </c>
      <c r="G113" s="103" t="s">
        <v>201</v>
      </c>
    </row>
    <row r="114" spans="1:7">
      <c r="A114" s="102">
        <v>112</v>
      </c>
      <c r="B114" s="103" t="s">
        <v>201</v>
      </c>
      <c r="C114" s="103" t="s">
        <v>201</v>
      </c>
      <c r="D114" s="103" t="s">
        <v>201</v>
      </c>
      <c r="E114" s="103" t="s">
        <v>201</v>
      </c>
      <c r="F114" s="103">
        <v>1</v>
      </c>
      <c r="G114" s="103" t="s">
        <v>201</v>
      </c>
    </row>
    <row r="115" spans="1:7">
      <c r="A115" s="102">
        <v>113</v>
      </c>
      <c r="B115" s="103" t="s">
        <v>201</v>
      </c>
      <c r="C115" s="103" t="s">
        <v>201</v>
      </c>
      <c r="D115" s="103" t="s">
        <v>201</v>
      </c>
      <c r="E115" s="103" t="s">
        <v>201</v>
      </c>
      <c r="F115" s="103">
        <v>1</v>
      </c>
      <c r="G115" s="103" t="s">
        <v>201</v>
      </c>
    </row>
    <row r="116" spans="1:7">
      <c r="A116" s="102">
        <v>114</v>
      </c>
      <c r="B116" s="103" t="s">
        <v>201</v>
      </c>
      <c r="C116" s="103" t="s">
        <v>201</v>
      </c>
      <c r="D116" s="103" t="s">
        <v>201</v>
      </c>
      <c r="E116" s="103" t="s">
        <v>201</v>
      </c>
      <c r="F116" s="103">
        <v>1</v>
      </c>
      <c r="G116" s="103" t="s">
        <v>201</v>
      </c>
    </row>
    <row r="117" spans="1:7">
      <c r="A117" s="102">
        <v>115</v>
      </c>
      <c r="B117" s="103" t="s">
        <v>201</v>
      </c>
      <c r="C117" s="103" t="s">
        <v>201</v>
      </c>
      <c r="D117" s="103" t="s">
        <v>201</v>
      </c>
      <c r="E117" s="103" t="s">
        <v>201</v>
      </c>
      <c r="F117" s="103">
        <v>1</v>
      </c>
      <c r="G117" s="103" t="s">
        <v>201</v>
      </c>
    </row>
    <row r="118" spans="1:7">
      <c r="A118" s="102">
        <v>116</v>
      </c>
      <c r="B118" s="103" t="s">
        <v>201</v>
      </c>
      <c r="C118" s="103" t="s">
        <v>201</v>
      </c>
      <c r="D118" s="103" t="s">
        <v>201</v>
      </c>
      <c r="E118" s="103" t="s">
        <v>201</v>
      </c>
      <c r="F118" s="103">
        <v>1</v>
      </c>
      <c r="G118" s="103" t="s">
        <v>201</v>
      </c>
    </row>
    <row r="119" spans="1:7">
      <c r="A119" s="102">
        <v>117</v>
      </c>
      <c r="B119" s="103" t="s">
        <v>201</v>
      </c>
      <c r="C119" s="103" t="s">
        <v>201</v>
      </c>
      <c r="D119" s="103" t="s">
        <v>201</v>
      </c>
      <c r="E119" s="103" t="s">
        <v>201</v>
      </c>
      <c r="F119" s="103">
        <v>1</v>
      </c>
      <c r="G119" s="103" t="s">
        <v>201</v>
      </c>
    </row>
    <row r="120" spans="1:7">
      <c r="A120" s="102">
        <v>118</v>
      </c>
      <c r="B120" s="103" t="s">
        <v>201</v>
      </c>
      <c r="C120" s="103" t="s">
        <v>201</v>
      </c>
      <c r="D120" s="103" t="s">
        <v>201</v>
      </c>
      <c r="E120" s="103" t="s">
        <v>201</v>
      </c>
      <c r="F120" s="103">
        <v>1</v>
      </c>
      <c r="G120" s="103" t="s">
        <v>201</v>
      </c>
    </row>
    <row r="121" spans="1:7">
      <c r="A121" s="102">
        <v>119</v>
      </c>
      <c r="B121" s="103" t="s">
        <v>201</v>
      </c>
      <c r="C121" s="103" t="s">
        <v>201</v>
      </c>
      <c r="D121" s="103" t="s">
        <v>201</v>
      </c>
      <c r="E121" s="103" t="s">
        <v>201</v>
      </c>
      <c r="F121" s="103">
        <v>1</v>
      </c>
      <c r="G121" s="103" t="s">
        <v>201</v>
      </c>
    </row>
    <row r="122" spans="1:7">
      <c r="A122" s="102">
        <v>120</v>
      </c>
      <c r="B122" s="103" t="s">
        <v>201</v>
      </c>
      <c r="C122" s="103" t="s">
        <v>201</v>
      </c>
      <c r="D122" s="103" t="s">
        <v>201</v>
      </c>
      <c r="E122" s="103" t="s">
        <v>201</v>
      </c>
      <c r="F122" s="103">
        <v>1</v>
      </c>
      <c r="G122" s="103" t="s">
        <v>201</v>
      </c>
    </row>
    <row r="123" spans="1:7">
      <c r="A123" s="102">
        <v>121</v>
      </c>
      <c r="B123" s="103" t="s">
        <v>201</v>
      </c>
      <c r="C123" s="103" t="s">
        <v>201</v>
      </c>
      <c r="D123" s="103" t="s">
        <v>201</v>
      </c>
      <c r="E123" s="103" t="s">
        <v>201</v>
      </c>
      <c r="F123" s="103">
        <v>1</v>
      </c>
      <c r="G123" s="103" t="s">
        <v>201</v>
      </c>
    </row>
    <row r="124" spans="1:7">
      <c r="A124" s="102">
        <v>122</v>
      </c>
      <c r="B124" s="103" t="s">
        <v>201</v>
      </c>
      <c r="C124" s="103" t="s">
        <v>201</v>
      </c>
      <c r="D124" s="103" t="s">
        <v>201</v>
      </c>
      <c r="E124" s="103" t="s">
        <v>201</v>
      </c>
      <c r="F124" s="103">
        <v>1</v>
      </c>
      <c r="G124" s="103" t="s">
        <v>201</v>
      </c>
    </row>
    <row r="125" spans="1:7">
      <c r="A125" s="102">
        <v>123</v>
      </c>
      <c r="B125" s="103" t="s">
        <v>201</v>
      </c>
      <c r="C125" s="103" t="s">
        <v>201</v>
      </c>
      <c r="D125" s="103" t="s">
        <v>201</v>
      </c>
      <c r="E125" s="103" t="s">
        <v>201</v>
      </c>
      <c r="F125" s="103">
        <v>1</v>
      </c>
      <c r="G125" s="103" t="s">
        <v>201</v>
      </c>
    </row>
    <row r="126" spans="1:7">
      <c r="A126" s="102">
        <v>124</v>
      </c>
      <c r="B126" s="103" t="s">
        <v>201</v>
      </c>
      <c r="C126" s="103" t="s">
        <v>201</v>
      </c>
      <c r="D126" s="103" t="s">
        <v>201</v>
      </c>
      <c r="E126" s="103" t="s">
        <v>201</v>
      </c>
      <c r="F126" s="103">
        <v>1</v>
      </c>
      <c r="G126" s="103" t="s">
        <v>201</v>
      </c>
    </row>
    <row r="127" spans="1:7">
      <c r="A127" s="102">
        <v>125</v>
      </c>
      <c r="B127" s="103" t="s">
        <v>201</v>
      </c>
      <c r="C127" s="103" t="s">
        <v>201</v>
      </c>
      <c r="D127" s="103" t="s">
        <v>201</v>
      </c>
      <c r="E127" s="103" t="s">
        <v>201</v>
      </c>
      <c r="F127" s="103">
        <v>1</v>
      </c>
      <c r="G127" s="103" t="s">
        <v>201</v>
      </c>
    </row>
    <row r="128" spans="1:7">
      <c r="A128" s="102">
        <v>126</v>
      </c>
      <c r="B128" s="103" t="s">
        <v>201</v>
      </c>
      <c r="C128" s="103" t="s">
        <v>201</v>
      </c>
      <c r="D128" s="103" t="s">
        <v>201</v>
      </c>
      <c r="E128" s="103" t="s">
        <v>201</v>
      </c>
      <c r="F128" s="103">
        <v>1</v>
      </c>
      <c r="G128" s="103" t="s">
        <v>201</v>
      </c>
    </row>
    <row r="129" spans="1:7">
      <c r="A129" s="102">
        <v>127</v>
      </c>
      <c r="B129" s="103" t="s">
        <v>201</v>
      </c>
      <c r="C129" s="103" t="s">
        <v>201</v>
      </c>
      <c r="D129" s="103" t="s">
        <v>201</v>
      </c>
      <c r="E129" s="103" t="s">
        <v>201</v>
      </c>
      <c r="F129" s="103">
        <v>1</v>
      </c>
      <c r="G129" s="103" t="s">
        <v>201</v>
      </c>
    </row>
    <row r="130" spans="1:7">
      <c r="A130" s="102">
        <v>128</v>
      </c>
      <c r="B130" s="103" t="s">
        <v>201</v>
      </c>
      <c r="C130" s="103" t="s">
        <v>201</v>
      </c>
      <c r="D130" s="103" t="s">
        <v>201</v>
      </c>
      <c r="E130" s="103" t="s">
        <v>201</v>
      </c>
      <c r="F130" s="103">
        <v>1</v>
      </c>
      <c r="G130" s="103" t="s">
        <v>201</v>
      </c>
    </row>
    <row r="131" spans="1:7">
      <c r="A131" s="102">
        <v>129</v>
      </c>
      <c r="B131" s="103" t="s">
        <v>201</v>
      </c>
      <c r="C131" s="103" t="s">
        <v>201</v>
      </c>
      <c r="D131" s="103" t="s">
        <v>201</v>
      </c>
      <c r="E131" s="103" t="s">
        <v>201</v>
      </c>
      <c r="F131" s="103">
        <v>1</v>
      </c>
      <c r="G131" s="103" t="s">
        <v>201</v>
      </c>
    </row>
    <row r="132" spans="1:7">
      <c r="A132" s="102">
        <v>130</v>
      </c>
      <c r="B132" s="103" t="s">
        <v>201</v>
      </c>
      <c r="C132" s="103" t="s">
        <v>201</v>
      </c>
      <c r="D132" s="103" t="s">
        <v>201</v>
      </c>
      <c r="E132" s="103" t="s">
        <v>201</v>
      </c>
      <c r="F132" s="103">
        <v>1</v>
      </c>
      <c r="G132" s="103" t="s">
        <v>201</v>
      </c>
    </row>
    <row r="133" spans="1:7">
      <c r="A133" s="102">
        <v>131</v>
      </c>
      <c r="B133" s="103" t="s">
        <v>201</v>
      </c>
      <c r="C133" s="103" t="s">
        <v>201</v>
      </c>
      <c r="D133" s="103" t="s">
        <v>201</v>
      </c>
      <c r="E133" s="103" t="s">
        <v>201</v>
      </c>
      <c r="F133" s="103">
        <v>1</v>
      </c>
      <c r="G133" s="103" t="s">
        <v>201</v>
      </c>
    </row>
    <row r="134" spans="1:7">
      <c r="A134" s="102">
        <v>132</v>
      </c>
      <c r="B134" s="103" t="s">
        <v>201</v>
      </c>
      <c r="C134" s="103" t="s">
        <v>201</v>
      </c>
      <c r="D134" s="103" t="s">
        <v>201</v>
      </c>
      <c r="E134" s="103" t="s">
        <v>201</v>
      </c>
      <c r="F134" s="103">
        <v>1</v>
      </c>
      <c r="G134" s="103" t="s">
        <v>201</v>
      </c>
    </row>
    <row r="135" spans="1:7">
      <c r="A135" s="102">
        <v>133</v>
      </c>
      <c r="B135" s="103" t="s">
        <v>201</v>
      </c>
      <c r="C135" s="103" t="s">
        <v>201</v>
      </c>
      <c r="D135" s="103" t="s">
        <v>201</v>
      </c>
      <c r="E135" s="103" t="s">
        <v>201</v>
      </c>
      <c r="F135" s="103">
        <v>1</v>
      </c>
      <c r="G135" s="103" t="s">
        <v>201</v>
      </c>
    </row>
    <row r="136" spans="1:7">
      <c r="A136" s="102">
        <v>134</v>
      </c>
      <c r="B136" s="103" t="s">
        <v>201</v>
      </c>
      <c r="C136" s="103" t="s">
        <v>201</v>
      </c>
      <c r="D136" s="103" t="s">
        <v>201</v>
      </c>
      <c r="E136" s="103" t="s">
        <v>201</v>
      </c>
      <c r="F136" s="103">
        <v>1</v>
      </c>
      <c r="G136" s="103" t="s">
        <v>201</v>
      </c>
    </row>
    <row r="137" spans="1:7">
      <c r="A137" s="102">
        <v>135</v>
      </c>
      <c r="B137" s="103" t="s">
        <v>201</v>
      </c>
      <c r="C137" s="103" t="s">
        <v>201</v>
      </c>
      <c r="D137" s="103" t="s">
        <v>201</v>
      </c>
      <c r="E137" s="103" t="s">
        <v>201</v>
      </c>
      <c r="F137" s="103">
        <v>1</v>
      </c>
      <c r="G137" s="103" t="s">
        <v>201</v>
      </c>
    </row>
    <row r="138" spans="1:7">
      <c r="A138" s="102">
        <v>136</v>
      </c>
      <c r="B138" s="103" t="s">
        <v>201</v>
      </c>
      <c r="C138" s="103" t="s">
        <v>201</v>
      </c>
      <c r="D138" s="103" t="s">
        <v>201</v>
      </c>
      <c r="E138" s="103" t="s">
        <v>201</v>
      </c>
      <c r="F138" s="103">
        <v>1</v>
      </c>
      <c r="G138" s="103" t="s">
        <v>201</v>
      </c>
    </row>
    <row r="139" spans="1:7">
      <c r="A139" s="102">
        <v>137</v>
      </c>
      <c r="B139" s="103" t="s">
        <v>201</v>
      </c>
      <c r="C139" s="103" t="s">
        <v>201</v>
      </c>
      <c r="D139" s="103" t="s">
        <v>201</v>
      </c>
      <c r="E139" s="103" t="s">
        <v>201</v>
      </c>
      <c r="F139" s="103">
        <v>1</v>
      </c>
      <c r="G139" s="103" t="s">
        <v>201</v>
      </c>
    </row>
    <row r="140" spans="1:7">
      <c r="A140" s="102">
        <v>138</v>
      </c>
      <c r="B140" s="103" t="s">
        <v>201</v>
      </c>
      <c r="C140" s="103" t="s">
        <v>201</v>
      </c>
      <c r="D140" s="103" t="s">
        <v>201</v>
      </c>
      <c r="E140" s="103" t="s">
        <v>201</v>
      </c>
      <c r="F140" s="103">
        <v>1</v>
      </c>
      <c r="G140" s="103" t="s">
        <v>201</v>
      </c>
    </row>
    <row r="141" spans="1:7">
      <c r="A141" s="102">
        <v>139</v>
      </c>
      <c r="B141" s="103" t="s">
        <v>201</v>
      </c>
      <c r="C141" s="103" t="s">
        <v>201</v>
      </c>
      <c r="D141" s="103" t="s">
        <v>201</v>
      </c>
      <c r="E141" s="103" t="s">
        <v>201</v>
      </c>
      <c r="F141" s="103">
        <v>1</v>
      </c>
      <c r="G141" s="103" t="s">
        <v>201</v>
      </c>
    </row>
    <row r="142" spans="1:7">
      <c r="A142" s="102">
        <v>140</v>
      </c>
      <c r="B142" s="103" t="s">
        <v>201</v>
      </c>
      <c r="C142" s="103" t="s">
        <v>201</v>
      </c>
      <c r="D142" s="103" t="s">
        <v>201</v>
      </c>
      <c r="E142" s="103" t="s">
        <v>201</v>
      </c>
      <c r="F142" s="103">
        <v>1</v>
      </c>
      <c r="G142" s="103" t="s">
        <v>201</v>
      </c>
    </row>
    <row r="143" spans="1:7">
      <c r="A143" s="102">
        <v>141</v>
      </c>
      <c r="B143" s="103" t="s">
        <v>201</v>
      </c>
      <c r="C143" s="103" t="s">
        <v>201</v>
      </c>
      <c r="D143" s="103" t="s">
        <v>201</v>
      </c>
      <c r="E143" s="103" t="s">
        <v>201</v>
      </c>
      <c r="F143" s="103">
        <v>1</v>
      </c>
      <c r="G143" s="103" t="s">
        <v>201</v>
      </c>
    </row>
    <row r="144" spans="1:7">
      <c r="A144" s="102">
        <v>142</v>
      </c>
      <c r="B144" s="103" t="s">
        <v>201</v>
      </c>
      <c r="C144" s="103" t="s">
        <v>201</v>
      </c>
      <c r="D144" s="103" t="s">
        <v>201</v>
      </c>
      <c r="E144" s="103" t="s">
        <v>201</v>
      </c>
      <c r="F144" s="103">
        <v>1</v>
      </c>
      <c r="G144" s="103" t="s">
        <v>201</v>
      </c>
    </row>
    <row r="145" spans="1:7">
      <c r="A145" s="102">
        <v>143</v>
      </c>
      <c r="B145" s="103" t="s">
        <v>201</v>
      </c>
      <c r="C145" s="103" t="s">
        <v>201</v>
      </c>
      <c r="D145" s="103" t="s">
        <v>201</v>
      </c>
      <c r="E145" s="103" t="s">
        <v>201</v>
      </c>
      <c r="F145" s="103">
        <v>1</v>
      </c>
      <c r="G145" s="103" t="s">
        <v>201</v>
      </c>
    </row>
    <row r="146" spans="1:7">
      <c r="A146" s="102">
        <v>144</v>
      </c>
      <c r="B146" s="103" t="s">
        <v>201</v>
      </c>
      <c r="C146" s="103" t="s">
        <v>201</v>
      </c>
      <c r="D146" s="103" t="s">
        <v>201</v>
      </c>
      <c r="E146" s="103" t="s">
        <v>201</v>
      </c>
      <c r="F146" s="103">
        <v>1</v>
      </c>
      <c r="G146" s="103" t="s">
        <v>201</v>
      </c>
    </row>
    <row r="147" spans="1:7">
      <c r="A147" s="102">
        <v>145</v>
      </c>
      <c r="B147" s="103" t="s">
        <v>201</v>
      </c>
      <c r="C147" s="103" t="s">
        <v>201</v>
      </c>
      <c r="D147" s="103" t="s">
        <v>201</v>
      </c>
      <c r="E147" s="103" t="s">
        <v>201</v>
      </c>
      <c r="F147" s="103">
        <v>1</v>
      </c>
      <c r="G147" s="103" t="s">
        <v>201</v>
      </c>
    </row>
    <row r="148" spans="1:7">
      <c r="A148" s="102">
        <v>146</v>
      </c>
      <c r="B148" s="103" t="s">
        <v>201</v>
      </c>
      <c r="C148" s="103" t="s">
        <v>201</v>
      </c>
      <c r="D148" s="103" t="s">
        <v>201</v>
      </c>
      <c r="E148" s="103" t="s">
        <v>201</v>
      </c>
      <c r="F148" s="103">
        <v>1</v>
      </c>
      <c r="G148" s="103" t="s">
        <v>201</v>
      </c>
    </row>
    <row r="149" spans="1:7">
      <c r="A149" s="102">
        <v>147</v>
      </c>
      <c r="B149" s="103" t="s">
        <v>201</v>
      </c>
      <c r="C149" s="103" t="s">
        <v>201</v>
      </c>
      <c r="D149" s="103" t="s">
        <v>201</v>
      </c>
      <c r="E149" s="103" t="s">
        <v>201</v>
      </c>
      <c r="F149" s="103">
        <v>1</v>
      </c>
      <c r="G149" s="103" t="s">
        <v>201</v>
      </c>
    </row>
    <row r="150" spans="1:7">
      <c r="A150" s="102">
        <v>148</v>
      </c>
      <c r="B150" s="103" t="s">
        <v>201</v>
      </c>
      <c r="C150" s="103" t="s">
        <v>201</v>
      </c>
      <c r="D150" s="103" t="s">
        <v>201</v>
      </c>
      <c r="E150" s="103" t="s">
        <v>201</v>
      </c>
      <c r="F150" s="103">
        <v>1</v>
      </c>
      <c r="G150" s="103" t="s">
        <v>201</v>
      </c>
    </row>
    <row r="151" spans="1:7">
      <c r="A151" s="102">
        <v>149</v>
      </c>
      <c r="B151" s="103" t="s">
        <v>201</v>
      </c>
      <c r="C151" s="103" t="s">
        <v>201</v>
      </c>
      <c r="D151" s="103" t="s">
        <v>201</v>
      </c>
      <c r="E151" s="103" t="s">
        <v>201</v>
      </c>
      <c r="F151" s="103">
        <v>1</v>
      </c>
      <c r="G151" s="103" t="s">
        <v>201</v>
      </c>
    </row>
    <row r="152" spans="1:7">
      <c r="A152" s="102">
        <v>150</v>
      </c>
      <c r="B152" s="103" t="s">
        <v>201</v>
      </c>
      <c r="C152" s="103" t="s">
        <v>201</v>
      </c>
      <c r="D152" s="103" t="s">
        <v>201</v>
      </c>
      <c r="E152" s="103" t="s">
        <v>201</v>
      </c>
      <c r="F152" s="103">
        <v>1</v>
      </c>
      <c r="G152" s="103" t="s">
        <v>201</v>
      </c>
    </row>
    <row r="153" spans="1:7">
      <c r="A153" s="102">
        <v>151</v>
      </c>
      <c r="B153" s="103" t="s">
        <v>201</v>
      </c>
      <c r="C153" s="103" t="s">
        <v>201</v>
      </c>
      <c r="D153" s="103" t="s">
        <v>201</v>
      </c>
      <c r="E153" s="103" t="s">
        <v>201</v>
      </c>
      <c r="F153" s="103">
        <v>1</v>
      </c>
      <c r="G153" s="103" t="s">
        <v>201</v>
      </c>
    </row>
    <row r="154" spans="1:7">
      <c r="A154" s="102">
        <v>152</v>
      </c>
      <c r="B154" s="103" t="s">
        <v>201</v>
      </c>
      <c r="C154" s="103" t="s">
        <v>201</v>
      </c>
      <c r="D154" s="103" t="s">
        <v>201</v>
      </c>
      <c r="E154" s="103" t="s">
        <v>201</v>
      </c>
      <c r="F154" s="103">
        <v>1</v>
      </c>
      <c r="G154" s="103" t="s">
        <v>201</v>
      </c>
    </row>
    <row r="155" spans="1:7">
      <c r="A155" s="102">
        <v>153</v>
      </c>
      <c r="B155" s="103" t="s">
        <v>201</v>
      </c>
      <c r="C155" s="103" t="s">
        <v>201</v>
      </c>
      <c r="D155" s="103" t="s">
        <v>201</v>
      </c>
      <c r="E155" s="103" t="s">
        <v>201</v>
      </c>
      <c r="F155" s="103">
        <v>1</v>
      </c>
      <c r="G155" s="103" t="s">
        <v>201</v>
      </c>
    </row>
    <row r="156" spans="1:7">
      <c r="A156" s="102">
        <v>154</v>
      </c>
      <c r="B156" s="103" t="s">
        <v>201</v>
      </c>
      <c r="C156" s="103" t="s">
        <v>201</v>
      </c>
      <c r="D156" s="103" t="s">
        <v>201</v>
      </c>
      <c r="E156" s="103" t="s">
        <v>201</v>
      </c>
      <c r="F156" s="103">
        <v>1</v>
      </c>
      <c r="G156" s="103" t="s">
        <v>201</v>
      </c>
    </row>
    <row r="157" spans="1:7">
      <c r="A157" s="102">
        <v>155</v>
      </c>
      <c r="B157" s="103" t="s">
        <v>201</v>
      </c>
      <c r="C157" s="103" t="s">
        <v>201</v>
      </c>
      <c r="D157" s="103" t="s">
        <v>201</v>
      </c>
      <c r="E157" s="103" t="s">
        <v>201</v>
      </c>
      <c r="F157" s="103">
        <v>1</v>
      </c>
      <c r="G157" s="103" t="s">
        <v>201</v>
      </c>
    </row>
    <row r="158" spans="1:7">
      <c r="A158" s="102">
        <v>156</v>
      </c>
      <c r="B158" s="103" t="s">
        <v>201</v>
      </c>
      <c r="C158" s="103" t="s">
        <v>201</v>
      </c>
      <c r="D158" s="103" t="s">
        <v>201</v>
      </c>
      <c r="E158" s="103" t="s">
        <v>201</v>
      </c>
      <c r="F158" s="103">
        <v>1</v>
      </c>
      <c r="G158" s="103" t="s">
        <v>201</v>
      </c>
    </row>
    <row r="159" spans="1:7">
      <c r="A159" s="102">
        <v>157</v>
      </c>
      <c r="B159" s="103" t="s">
        <v>201</v>
      </c>
      <c r="C159" s="103" t="s">
        <v>201</v>
      </c>
      <c r="D159" s="103" t="s">
        <v>201</v>
      </c>
      <c r="E159" s="103" t="s">
        <v>201</v>
      </c>
      <c r="F159" s="103">
        <v>1</v>
      </c>
      <c r="G159" s="103" t="s">
        <v>201</v>
      </c>
    </row>
    <row r="160" spans="1:7">
      <c r="A160" s="102">
        <v>158</v>
      </c>
      <c r="B160" s="103" t="s">
        <v>201</v>
      </c>
      <c r="C160" s="103" t="s">
        <v>201</v>
      </c>
      <c r="D160" s="103" t="s">
        <v>201</v>
      </c>
      <c r="E160" s="103" t="s">
        <v>201</v>
      </c>
      <c r="F160" s="103">
        <v>1</v>
      </c>
      <c r="G160" s="103" t="s">
        <v>201</v>
      </c>
    </row>
    <row r="161" spans="1:7">
      <c r="A161" s="102">
        <v>159</v>
      </c>
      <c r="B161" s="103" t="s">
        <v>201</v>
      </c>
      <c r="C161" s="103" t="s">
        <v>201</v>
      </c>
      <c r="D161" s="103" t="s">
        <v>201</v>
      </c>
      <c r="E161" s="103" t="s">
        <v>201</v>
      </c>
      <c r="F161" s="103">
        <v>1</v>
      </c>
      <c r="G161" s="103" t="s">
        <v>201</v>
      </c>
    </row>
    <row r="162" spans="1:7">
      <c r="A162" s="102">
        <v>160</v>
      </c>
      <c r="B162" s="103" t="s">
        <v>201</v>
      </c>
      <c r="C162" s="103" t="s">
        <v>201</v>
      </c>
      <c r="D162" s="103" t="s">
        <v>201</v>
      </c>
      <c r="E162" s="103" t="s">
        <v>201</v>
      </c>
      <c r="F162" s="103">
        <v>1</v>
      </c>
      <c r="G162" s="103" t="s">
        <v>201</v>
      </c>
    </row>
    <row r="163" spans="1:7">
      <c r="A163" s="102">
        <v>161</v>
      </c>
      <c r="B163" s="103" t="s">
        <v>201</v>
      </c>
      <c r="C163" s="103" t="s">
        <v>201</v>
      </c>
      <c r="D163" s="103" t="s">
        <v>201</v>
      </c>
      <c r="E163" s="103" t="s">
        <v>201</v>
      </c>
      <c r="F163" s="103">
        <v>1</v>
      </c>
      <c r="G163" s="103" t="s">
        <v>201</v>
      </c>
    </row>
    <row r="164" spans="1:7">
      <c r="A164" s="102">
        <v>162</v>
      </c>
      <c r="B164" s="103" t="s">
        <v>201</v>
      </c>
      <c r="C164" s="103" t="s">
        <v>201</v>
      </c>
      <c r="D164" s="103" t="s">
        <v>201</v>
      </c>
      <c r="E164" s="103" t="s">
        <v>201</v>
      </c>
      <c r="F164" s="103">
        <v>1</v>
      </c>
      <c r="G164" s="103" t="s">
        <v>201</v>
      </c>
    </row>
    <row r="165" spans="1:7">
      <c r="A165" s="102">
        <v>163</v>
      </c>
      <c r="B165" s="103" t="s">
        <v>201</v>
      </c>
      <c r="C165" s="103" t="s">
        <v>201</v>
      </c>
      <c r="D165" s="103" t="s">
        <v>201</v>
      </c>
      <c r="E165" s="103" t="s">
        <v>201</v>
      </c>
      <c r="F165" s="103">
        <v>1</v>
      </c>
      <c r="G165" s="103" t="s">
        <v>201</v>
      </c>
    </row>
    <row r="166" spans="1:7">
      <c r="A166" s="102">
        <v>164</v>
      </c>
      <c r="B166" s="103" t="s">
        <v>201</v>
      </c>
      <c r="C166" s="103" t="s">
        <v>201</v>
      </c>
      <c r="D166" s="103" t="s">
        <v>201</v>
      </c>
      <c r="E166" s="103" t="s">
        <v>201</v>
      </c>
      <c r="F166" s="103">
        <v>1</v>
      </c>
      <c r="G166" s="103" t="s">
        <v>201</v>
      </c>
    </row>
    <row r="167" spans="1:7">
      <c r="A167" s="102">
        <v>165</v>
      </c>
      <c r="B167" s="103" t="s">
        <v>201</v>
      </c>
      <c r="C167" s="103" t="s">
        <v>201</v>
      </c>
      <c r="D167" s="103" t="s">
        <v>201</v>
      </c>
      <c r="E167" s="103" t="s">
        <v>201</v>
      </c>
      <c r="F167" s="103">
        <v>1</v>
      </c>
      <c r="G167" s="103" t="s">
        <v>201</v>
      </c>
    </row>
    <row r="168" spans="1:7">
      <c r="A168" s="102">
        <v>166</v>
      </c>
      <c r="B168" s="103" t="s">
        <v>201</v>
      </c>
      <c r="C168" s="103" t="s">
        <v>201</v>
      </c>
      <c r="D168" s="103" t="s">
        <v>201</v>
      </c>
      <c r="E168" s="103" t="s">
        <v>201</v>
      </c>
      <c r="F168" s="103">
        <v>1</v>
      </c>
      <c r="G168" s="103" t="s">
        <v>201</v>
      </c>
    </row>
    <row r="169" spans="1:7">
      <c r="A169" s="102">
        <v>167</v>
      </c>
      <c r="B169" s="103" t="s">
        <v>201</v>
      </c>
      <c r="C169" s="103" t="s">
        <v>201</v>
      </c>
      <c r="D169" s="103" t="s">
        <v>201</v>
      </c>
      <c r="E169" s="103" t="s">
        <v>201</v>
      </c>
      <c r="F169" s="103">
        <v>1</v>
      </c>
      <c r="G169" s="103" t="s">
        <v>201</v>
      </c>
    </row>
    <row r="170" spans="1:7">
      <c r="A170" s="102">
        <v>168</v>
      </c>
      <c r="B170" s="103" t="s">
        <v>201</v>
      </c>
      <c r="C170" s="103" t="s">
        <v>201</v>
      </c>
      <c r="D170" s="103" t="s">
        <v>201</v>
      </c>
      <c r="E170" s="103" t="s">
        <v>201</v>
      </c>
      <c r="F170" s="103">
        <v>1</v>
      </c>
      <c r="G170" s="103" t="s">
        <v>201</v>
      </c>
    </row>
    <row r="171" spans="1:7">
      <c r="A171" s="102">
        <v>169</v>
      </c>
      <c r="B171" s="103" t="s">
        <v>201</v>
      </c>
      <c r="C171" s="103" t="s">
        <v>201</v>
      </c>
      <c r="D171" s="103" t="s">
        <v>201</v>
      </c>
      <c r="E171" s="103" t="s">
        <v>201</v>
      </c>
      <c r="F171" s="103">
        <v>1</v>
      </c>
      <c r="G171" s="103" t="s">
        <v>201</v>
      </c>
    </row>
    <row r="172" spans="1:7">
      <c r="A172" s="102">
        <v>170</v>
      </c>
      <c r="B172" s="103" t="s">
        <v>201</v>
      </c>
      <c r="C172" s="103" t="s">
        <v>201</v>
      </c>
      <c r="D172" s="103" t="s">
        <v>201</v>
      </c>
      <c r="E172" s="103" t="s">
        <v>201</v>
      </c>
      <c r="F172" s="103">
        <v>1</v>
      </c>
      <c r="G172" s="103" t="s">
        <v>201</v>
      </c>
    </row>
    <row r="173" spans="1:7">
      <c r="A173" s="102">
        <v>171</v>
      </c>
      <c r="B173" s="103" t="s">
        <v>201</v>
      </c>
      <c r="C173" s="103" t="s">
        <v>201</v>
      </c>
      <c r="D173" s="103" t="s">
        <v>201</v>
      </c>
      <c r="E173" s="103" t="s">
        <v>201</v>
      </c>
      <c r="F173" s="103">
        <v>1</v>
      </c>
      <c r="G173" s="103" t="s">
        <v>201</v>
      </c>
    </row>
    <row r="174" spans="1:7">
      <c r="A174" s="102">
        <v>172</v>
      </c>
      <c r="B174" s="103" t="s">
        <v>201</v>
      </c>
      <c r="C174" s="103" t="s">
        <v>201</v>
      </c>
      <c r="D174" s="103" t="s">
        <v>201</v>
      </c>
      <c r="E174" s="103" t="s">
        <v>201</v>
      </c>
      <c r="F174" s="103">
        <v>1</v>
      </c>
      <c r="G174" s="103" t="s">
        <v>201</v>
      </c>
    </row>
    <row r="175" spans="1:7">
      <c r="A175" s="102">
        <v>173</v>
      </c>
      <c r="B175" s="103" t="s">
        <v>201</v>
      </c>
      <c r="C175" s="103" t="s">
        <v>201</v>
      </c>
      <c r="D175" s="103" t="s">
        <v>201</v>
      </c>
      <c r="E175" s="103" t="s">
        <v>201</v>
      </c>
      <c r="F175" s="103">
        <v>1</v>
      </c>
      <c r="G175" s="103" t="s">
        <v>201</v>
      </c>
    </row>
    <row r="176" spans="1:7">
      <c r="A176" s="102">
        <v>174</v>
      </c>
      <c r="B176" s="103" t="s">
        <v>201</v>
      </c>
      <c r="C176" s="103" t="s">
        <v>201</v>
      </c>
      <c r="D176" s="103" t="s">
        <v>201</v>
      </c>
      <c r="E176" s="103" t="s">
        <v>201</v>
      </c>
      <c r="F176" s="103">
        <v>1</v>
      </c>
      <c r="G176" s="103" t="s">
        <v>201</v>
      </c>
    </row>
    <row r="177" spans="1:7">
      <c r="A177" s="102">
        <v>175</v>
      </c>
      <c r="B177" s="103" t="s">
        <v>201</v>
      </c>
      <c r="C177" s="103" t="s">
        <v>201</v>
      </c>
      <c r="D177" s="103" t="s">
        <v>201</v>
      </c>
      <c r="E177" s="103" t="s">
        <v>201</v>
      </c>
      <c r="F177" s="103">
        <v>1</v>
      </c>
      <c r="G177" s="103" t="s">
        <v>201</v>
      </c>
    </row>
    <row r="178" spans="1:7">
      <c r="A178" s="102">
        <v>176</v>
      </c>
      <c r="B178" s="103" t="s">
        <v>201</v>
      </c>
      <c r="C178" s="103" t="s">
        <v>201</v>
      </c>
      <c r="D178" s="103" t="s">
        <v>201</v>
      </c>
      <c r="E178" s="103" t="s">
        <v>201</v>
      </c>
      <c r="F178" s="103">
        <v>1</v>
      </c>
      <c r="G178" s="103" t="s">
        <v>201</v>
      </c>
    </row>
    <row r="179" spans="1:7">
      <c r="A179" s="102">
        <v>177</v>
      </c>
      <c r="B179" s="103" t="s">
        <v>201</v>
      </c>
      <c r="C179" s="103" t="s">
        <v>201</v>
      </c>
      <c r="D179" s="103" t="s">
        <v>201</v>
      </c>
      <c r="E179" s="103" t="s">
        <v>201</v>
      </c>
      <c r="F179" s="103">
        <v>1</v>
      </c>
      <c r="G179" s="103" t="s">
        <v>201</v>
      </c>
    </row>
    <row r="180" spans="1:7">
      <c r="A180" s="102">
        <v>178</v>
      </c>
      <c r="B180" s="103" t="s">
        <v>201</v>
      </c>
      <c r="C180" s="103" t="s">
        <v>201</v>
      </c>
      <c r="D180" s="103" t="s">
        <v>201</v>
      </c>
      <c r="E180" s="103" t="s">
        <v>201</v>
      </c>
      <c r="F180" s="103">
        <v>1</v>
      </c>
      <c r="G180" s="103" t="s">
        <v>201</v>
      </c>
    </row>
    <row r="181" spans="1:7">
      <c r="A181" s="102">
        <v>179</v>
      </c>
      <c r="B181" s="103" t="s">
        <v>201</v>
      </c>
      <c r="C181" s="103" t="s">
        <v>201</v>
      </c>
      <c r="D181" s="103" t="s">
        <v>201</v>
      </c>
      <c r="E181" s="103" t="s">
        <v>201</v>
      </c>
      <c r="F181" s="103">
        <v>1</v>
      </c>
      <c r="G181" s="103" t="s">
        <v>201</v>
      </c>
    </row>
    <row r="182" spans="1:7">
      <c r="A182" s="102">
        <v>180</v>
      </c>
      <c r="B182" s="103" t="s">
        <v>201</v>
      </c>
      <c r="C182" s="103" t="s">
        <v>201</v>
      </c>
      <c r="D182" s="103" t="s">
        <v>201</v>
      </c>
      <c r="E182" s="103" t="s">
        <v>201</v>
      </c>
      <c r="F182" s="103">
        <v>1</v>
      </c>
      <c r="G182" s="103" t="s">
        <v>201</v>
      </c>
    </row>
    <row r="183" spans="1:7">
      <c r="A183" s="102">
        <v>181</v>
      </c>
      <c r="B183" s="103" t="s">
        <v>201</v>
      </c>
      <c r="C183" s="103" t="s">
        <v>201</v>
      </c>
      <c r="D183" s="103" t="s">
        <v>201</v>
      </c>
      <c r="E183" s="103" t="s">
        <v>201</v>
      </c>
      <c r="F183" s="103">
        <v>1</v>
      </c>
      <c r="G183" s="103" t="s">
        <v>201</v>
      </c>
    </row>
    <row r="184" spans="1:7">
      <c r="A184" s="102">
        <v>182</v>
      </c>
      <c r="B184" s="103" t="s">
        <v>201</v>
      </c>
      <c r="C184" s="103" t="s">
        <v>201</v>
      </c>
      <c r="D184" s="103" t="s">
        <v>201</v>
      </c>
      <c r="E184" s="103" t="s">
        <v>201</v>
      </c>
      <c r="F184" s="103">
        <v>1</v>
      </c>
      <c r="G184" s="103" t="s">
        <v>201</v>
      </c>
    </row>
    <row r="185" spans="1:7">
      <c r="A185" s="102">
        <v>183</v>
      </c>
      <c r="B185" s="103" t="s">
        <v>201</v>
      </c>
      <c r="C185" s="103" t="s">
        <v>201</v>
      </c>
      <c r="D185" s="103" t="s">
        <v>201</v>
      </c>
      <c r="E185" s="103" t="s">
        <v>201</v>
      </c>
      <c r="F185" s="103">
        <v>1</v>
      </c>
      <c r="G185" s="103" t="s">
        <v>201</v>
      </c>
    </row>
    <row r="186" spans="1:7">
      <c r="A186" s="102">
        <v>184</v>
      </c>
      <c r="B186" s="103" t="s">
        <v>201</v>
      </c>
      <c r="C186" s="103" t="s">
        <v>201</v>
      </c>
      <c r="D186" s="103" t="s">
        <v>201</v>
      </c>
      <c r="E186" s="103" t="s">
        <v>201</v>
      </c>
      <c r="F186" s="103">
        <v>1</v>
      </c>
      <c r="G186" s="103" t="s">
        <v>201</v>
      </c>
    </row>
    <row r="187" spans="1:7">
      <c r="A187" s="102">
        <v>185</v>
      </c>
      <c r="B187" s="103" t="s">
        <v>201</v>
      </c>
      <c r="C187" s="103" t="s">
        <v>201</v>
      </c>
      <c r="D187" s="103" t="s">
        <v>201</v>
      </c>
      <c r="E187" s="103" t="s">
        <v>201</v>
      </c>
      <c r="F187" s="103">
        <v>1</v>
      </c>
      <c r="G187" s="103" t="s">
        <v>201</v>
      </c>
    </row>
    <row r="188" spans="1:7">
      <c r="A188" s="102">
        <v>186</v>
      </c>
      <c r="B188" s="103" t="s">
        <v>201</v>
      </c>
      <c r="C188" s="103" t="s">
        <v>201</v>
      </c>
      <c r="D188" s="103" t="s">
        <v>201</v>
      </c>
      <c r="E188" s="103" t="s">
        <v>201</v>
      </c>
      <c r="F188" s="103">
        <v>1</v>
      </c>
      <c r="G188" s="103" t="s">
        <v>201</v>
      </c>
    </row>
    <row r="189" spans="1:7">
      <c r="A189" s="102">
        <v>187</v>
      </c>
      <c r="B189" s="103" t="s">
        <v>201</v>
      </c>
      <c r="C189" s="103" t="s">
        <v>201</v>
      </c>
      <c r="D189" s="103" t="s">
        <v>201</v>
      </c>
      <c r="E189" s="103" t="s">
        <v>201</v>
      </c>
      <c r="F189" s="103">
        <v>1</v>
      </c>
      <c r="G189" s="103" t="s">
        <v>201</v>
      </c>
    </row>
    <row r="190" spans="1:7">
      <c r="A190" s="102">
        <v>188</v>
      </c>
      <c r="B190" s="103" t="s">
        <v>201</v>
      </c>
      <c r="C190" s="103" t="s">
        <v>201</v>
      </c>
      <c r="D190" s="103" t="s">
        <v>201</v>
      </c>
      <c r="E190" s="103" t="s">
        <v>201</v>
      </c>
      <c r="F190" s="103">
        <v>1</v>
      </c>
      <c r="G190" s="103" t="s">
        <v>201</v>
      </c>
    </row>
    <row r="191" spans="1:7">
      <c r="A191" s="102">
        <v>189</v>
      </c>
      <c r="B191" s="103" t="s">
        <v>201</v>
      </c>
      <c r="C191" s="103" t="s">
        <v>201</v>
      </c>
      <c r="D191" s="103" t="s">
        <v>201</v>
      </c>
      <c r="E191" s="103" t="s">
        <v>201</v>
      </c>
      <c r="F191" s="103">
        <v>1</v>
      </c>
      <c r="G191" s="103" t="s">
        <v>201</v>
      </c>
    </row>
    <row r="192" spans="1:7">
      <c r="A192" s="102">
        <v>190</v>
      </c>
      <c r="B192" s="103" t="s">
        <v>201</v>
      </c>
      <c r="C192" s="103" t="s">
        <v>201</v>
      </c>
      <c r="D192" s="103" t="s">
        <v>201</v>
      </c>
      <c r="E192" s="103" t="s">
        <v>201</v>
      </c>
      <c r="F192" s="103">
        <v>1</v>
      </c>
      <c r="G192" s="103" t="s">
        <v>201</v>
      </c>
    </row>
    <row r="193" spans="1:7">
      <c r="A193" s="102">
        <v>191</v>
      </c>
      <c r="B193" s="103" t="s">
        <v>201</v>
      </c>
      <c r="C193" s="103" t="s">
        <v>201</v>
      </c>
      <c r="D193" s="103" t="s">
        <v>201</v>
      </c>
      <c r="E193" s="103" t="s">
        <v>201</v>
      </c>
      <c r="F193" s="103">
        <v>1</v>
      </c>
      <c r="G193" s="103" t="s">
        <v>201</v>
      </c>
    </row>
    <row r="194" spans="1:7">
      <c r="A194" s="102">
        <v>192</v>
      </c>
      <c r="B194" s="103" t="s">
        <v>201</v>
      </c>
      <c r="C194" s="103" t="s">
        <v>201</v>
      </c>
      <c r="D194" s="103" t="s">
        <v>201</v>
      </c>
      <c r="E194" s="103" t="s">
        <v>201</v>
      </c>
      <c r="F194" s="103">
        <v>1</v>
      </c>
      <c r="G194" s="103" t="s">
        <v>201</v>
      </c>
    </row>
    <row r="195" spans="1:7">
      <c r="A195" s="102">
        <v>193</v>
      </c>
      <c r="B195" s="103" t="s">
        <v>201</v>
      </c>
      <c r="C195" s="103" t="s">
        <v>201</v>
      </c>
      <c r="D195" s="103" t="s">
        <v>201</v>
      </c>
      <c r="E195" s="103" t="s">
        <v>201</v>
      </c>
      <c r="F195" s="103">
        <v>1</v>
      </c>
      <c r="G195" s="103" t="s">
        <v>201</v>
      </c>
    </row>
    <row r="196" spans="1:7">
      <c r="A196" s="102">
        <v>194</v>
      </c>
      <c r="B196" s="103" t="s">
        <v>201</v>
      </c>
      <c r="C196" s="103" t="s">
        <v>201</v>
      </c>
      <c r="D196" s="103" t="s">
        <v>201</v>
      </c>
      <c r="E196" s="103" t="s">
        <v>201</v>
      </c>
      <c r="F196" s="103">
        <v>1</v>
      </c>
      <c r="G196" s="103" t="s">
        <v>201</v>
      </c>
    </row>
    <row r="197" spans="1:7">
      <c r="A197" s="102">
        <v>195</v>
      </c>
      <c r="B197" s="103" t="s">
        <v>201</v>
      </c>
      <c r="C197" s="103" t="s">
        <v>201</v>
      </c>
      <c r="D197" s="103" t="s">
        <v>201</v>
      </c>
      <c r="E197" s="103" t="s">
        <v>201</v>
      </c>
      <c r="F197" s="103">
        <v>1</v>
      </c>
      <c r="G197" s="103" t="s">
        <v>201</v>
      </c>
    </row>
    <row r="198" spans="1:7">
      <c r="A198" s="102">
        <v>196</v>
      </c>
      <c r="B198" s="103" t="s">
        <v>201</v>
      </c>
      <c r="C198" s="103" t="s">
        <v>201</v>
      </c>
      <c r="D198" s="103" t="s">
        <v>201</v>
      </c>
      <c r="E198" s="103" t="s">
        <v>201</v>
      </c>
      <c r="F198" s="103">
        <v>1</v>
      </c>
      <c r="G198" s="103" t="s">
        <v>201</v>
      </c>
    </row>
    <row r="199" spans="1:7">
      <c r="A199" s="102">
        <v>197</v>
      </c>
      <c r="B199" s="103" t="s">
        <v>201</v>
      </c>
      <c r="C199" s="103" t="s">
        <v>201</v>
      </c>
      <c r="D199" s="103" t="s">
        <v>201</v>
      </c>
      <c r="E199" s="103" t="s">
        <v>201</v>
      </c>
      <c r="F199" s="103">
        <v>1</v>
      </c>
      <c r="G199" s="103" t="s">
        <v>201</v>
      </c>
    </row>
    <row r="200" spans="1:7">
      <c r="A200" s="102">
        <v>198</v>
      </c>
      <c r="B200" s="103" t="s">
        <v>201</v>
      </c>
      <c r="C200" s="103" t="s">
        <v>201</v>
      </c>
      <c r="D200" s="103" t="s">
        <v>201</v>
      </c>
      <c r="E200" s="103" t="s">
        <v>201</v>
      </c>
      <c r="F200" s="103">
        <v>1</v>
      </c>
      <c r="G200" s="103" t="s">
        <v>201</v>
      </c>
    </row>
    <row r="201" spans="1:7">
      <c r="A201" s="102">
        <v>199</v>
      </c>
      <c r="B201" s="103" t="s">
        <v>201</v>
      </c>
      <c r="C201" s="103" t="s">
        <v>201</v>
      </c>
      <c r="D201" s="103" t="s">
        <v>201</v>
      </c>
      <c r="E201" s="103" t="s">
        <v>201</v>
      </c>
      <c r="F201" s="103">
        <v>1</v>
      </c>
      <c r="G201" s="103" t="s">
        <v>201</v>
      </c>
    </row>
    <row r="202" spans="1:7">
      <c r="A202" s="102">
        <v>200</v>
      </c>
      <c r="B202" s="103" t="s">
        <v>201</v>
      </c>
      <c r="C202" s="103" t="s">
        <v>201</v>
      </c>
      <c r="D202" s="103" t="s">
        <v>201</v>
      </c>
      <c r="E202" s="103" t="s">
        <v>201</v>
      </c>
      <c r="F202" s="103">
        <v>1</v>
      </c>
      <c r="G202" s="103" t="s">
        <v>201</v>
      </c>
    </row>
    <row r="203" spans="1:7">
      <c r="A203" s="102">
        <v>201</v>
      </c>
      <c r="B203" s="103" t="s">
        <v>201</v>
      </c>
      <c r="C203" s="103" t="s">
        <v>201</v>
      </c>
      <c r="D203" s="103" t="s">
        <v>201</v>
      </c>
      <c r="E203" s="103" t="s">
        <v>201</v>
      </c>
      <c r="F203" s="103">
        <v>1</v>
      </c>
      <c r="G203" s="103" t="s">
        <v>201</v>
      </c>
    </row>
    <row r="204" spans="1:7">
      <c r="A204" s="102">
        <v>202</v>
      </c>
      <c r="B204" s="103" t="s">
        <v>201</v>
      </c>
      <c r="C204" s="103" t="s">
        <v>201</v>
      </c>
      <c r="D204" s="103" t="s">
        <v>201</v>
      </c>
      <c r="E204" s="103" t="s">
        <v>201</v>
      </c>
      <c r="F204" s="103">
        <v>1</v>
      </c>
      <c r="G204" s="103" t="s">
        <v>201</v>
      </c>
    </row>
    <row r="205" spans="1:7">
      <c r="A205" s="102">
        <v>203</v>
      </c>
      <c r="B205" s="103" t="s">
        <v>201</v>
      </c>
      <c r="C205" s="103" t="s">
        <v>201</v>
      </c>
      <c r="D205" s="103" t="s">
        <v>201</v>
      </c>
      <c r="E205" s="103" t="s">
        <v>201</v>
      </c>
      <c r="F205" s="103">
        <v>1</v>
      </c>
      <c r="G205" s="103" t="s">
        <v>201</v>
      </c>
    </row>
    <row r="206" spans="1:7">
      <c r="A206" s="102">
        <v>204</v>
      </c>
      <c r="B206" s="103" t="s">
        <v>201</v>
      </c>
      <c r="C206" s="103" t="s">
        <v>201</v>
      </c>
      <c r="D206" s="103" t="s">
        <v>201</v>
      </c>
      <c r="E206" s="103" t="s">
        <v>201</v>
      </c>
      <c r="F206" s="103">
        <v>1</v>
      </c>
      <c r="G206" s="103" t="s">
        <v>201</v>
      </c>
    </row>
    <row r="207" spans="1:7">
      <c r="A207" s="102">
        <v>205</v>
      </c>
      <c r="B207" s="103" t="s">
        <v>201</v>
      </c>
      <c r="C207" s="103" t="s">
        <v>201</v>
      </c>
      <c r="D207" s="103" t="s">
        <v>201</v>
      </c>
      <c r="E207" s="103" t="s">
        <v>201</v>
      </c>
      <c r="F207" s="103">
        <v>1</v>
      </c>
      <c r="G207" s="103" t="s">
        <v>201</v>
      </c>
    </row>
    <row r="208" spans="1:7">
      <c r="A208" s="102">
        <v>206</v>
      </c>
      <c r="B208" s="103" t="s">
        <v>201</v>
      </c>
      <c r="C208" s="103" t="s">
        <v>201</v>
      </c>
      <c r="D208" s="103" t="s">
        <v>201</v>
      </c>
      <c r="E208" s="103" t="s">
        <v>201</v>
      </c>
      <c r="F208" s="103">
        <v>1</v>
      </c>
      <c r="G208" s="103" t="s">
        <v>201</v>
      </c>
    </row>
    <row r="209" spans="1:7">
      <c r="A209" s="102">
        <v>207</v>
      </c>
      <c r="B209" s="103" t="s">
        <v>201</v>
      </c>
      <c r="C209" s="103" t="s">
        <v>201</v>
      </c>
      <c r="D209" s="103" t="s">
        <v>201</v>
      </c>
      <c r="E209" s="103" t="s">
        <v>201</v>
      </c>
      <c r="F209" s="103">
        <v>1</v>
      </c>
      <c r="G209" s="103" t="s">
        <v>201</v>
      </c>
    </row>
    <row r="210" spans="1:7">
      <c r="A210" s="102">
        <v>208</v>
      </c>
      <c r="B210" s="103" t="s">
        <v>201</v>
      </c>
      <c r="C210" s="103" t="s">
        <v>201</v>
      </c>
      <c r="D210" s="103" t="s">
        <v>201</v>
      </c>
      <c r="E210" s="103" t="s">
        <v>201</v>
      </c>
      <c r="F210" s="103">
        <v>1</v>
      </c>
      <c r="G210" s="103" t="s">
        <v>201</v>
      </c>
    </row>
    <row r="211" spans="1:7">
      <c r="A211" s="102">
        <v>209</v>
      </c>
      <c r="B211" s="103" t="s">
        <v>201</v>
      </c>
      <c r="C211" s="103" t="s">
        <v>201</v>
      </c>
      <c r="D211" s="103" t="s">
        <v>201</v>
      </c>
      <c r="E211" s="103" t="s">
        <v>201</v>
      </c>
      <c r="F211" s="103">
        <v>1</v>
      </c>
      <c r="G211" s="103" t="s">
        <v>201</v>
      </c>
    </row>
    <row r="212" spans="1:7">
      <c r="A212" s="102">
        <v>210</v>
      </c>
      <c r="B212" s="103" t="s">
        <v>201</v>
      </c>
      <c r="C212" s="103" t="s">
        <v>201</v>
      </c>
      <c r="D212" s="103" t="s">
        <v>201</v>
      </c>
      <c r="E212" s="103" t="s">
        <v>201</v>
      </c>
      <c r="F212" s="103">
        <v>1</v>
      </c>
      <c r="G212" s="103" t="s">
        <v>201</v>
      </c>
    </row>
    <row r="213" spans="1:7">
      <c r="A213" s="102">
        <v>211</v>
      </c>
      <c r="B213" s="103" t="s">
        <v>201</v>
      </c>
      <c r="C213" s="103" t="s">
        <v>201</v>
      </c>
      <c r="D213" s="103" t="s">
        <v>201</v>
      </c>
      <c r="E213" s="103" t="s">
        <v>201</v>
      </c>
      <c r="F213" s="103">
        <v>1</v>
      </c>
      <c r="G213" s="103" t="s">
        <v>201</v>
      </c>
    </row>
    <row r="214" spans="1:7">
      <c r="A214" s="102">
        <v>212</v>
      </c>
      <c r="B214" s="103" t="s">
        <v>201</v>
      </c>
      <c r="C214" s="103" t="s">
        <v>201</v>
      </c>
      <c r="D214" s="103" t="s">
        <v>201</v>
      </c>
      <c r="E214" s="103" t="s">
        <v>201</v>
      </c>
      <c r="F214" s="103">
        <v>1</v>
      </c>
      <c r="G214" s="103" t="s">
        <v>201</v>
      </c>
    </row>
    <row r="215" spans="1:7">
      <c r="A215" s="102">
        <v>213</v>
      </c>
      <c r="B215" s="103" t="s">
        <v>201</v>
      </c>
      <c r="C215" s="103" t="s">
        <v>201</v>
      </c>
      <c r="D215" s="103" t="s">
        <v>201</v>
      </c>
      <c r="E215" s="103" t="s">
        <v>201</v>
      </c>
      <c r="F215" s="103">
        <v>1</v>
      </c>
      <c r="G215" s="103" t="s">
        <v>201</v>
      </c>
    </row>
    <row r="216" spans="1:7">
      <c r="A216" s="102">
        <v>214</v>
      </c>
      <c r="B216" s="103" t="s">
        <v>201</v>
      </c>
      <c r="C216" s="103" t="s">
        <v>201</v>
      </c>
      <c r="D216" s="103" t="s">
        <v>201</v>
      </c>
      <c r="E216" s="103" t="s">
        <v>201</v>
      </c>
      <c r="F216" s="103">
        <v>1</v>
      </c>
      <c r="G216" s="103" t="s">
        <v>201</v>
      </c>
    </row>
    <row r="217" spans="1:7">
      <c r="A217" s="102">
        <v>215</v>
      </c>
      <c r="B217" s="103" t="s">
        <v>201</v>
      </c>
      <c r="C217" s="103" t="s">
        <v>201</v>
      </c>
      <c r="D217" s="103" t="s">
        <v>201</v>
      </c>
      <c r="E217" s="103" t="s">
        <v>201</v>
      </c>
      <c r="F217" s="103">
        <v>1</v>
      </c>
      <c r="G217" s="103" t="s">
        <v>201</v>
      </c>
    </row>
    <row r="218" spans="1:7">
      <c r="A218" s="102">
        <v>216</v>
      </c>
      <c r="B218" s="103" t="s">
        <v>201</v>
      </c>
      <c r="C218" s="103" t="s">
        <v>201</v>
      </c>
      <c r="D218" s="103" t="s">
        <v>201</v>
      </c>
      <c r="E218" s="103" t="s">
        <v>201</v>
      </c>
      <c r="F218" s="103">
        <v>1</v>
      </c>
      <c r="G218" s="103" t="s">
        <v>201</v>
      </c>
    </row>
    <row r="219" spans="1:7">
      <c r="A219" s="102">
        <v>217</v>
      </c>
      <c r="B219" s="103" t="s">
        <v>201</v>
      </c>
      <c r="C219" s="103" t="s">
        <v>201</v>
      </c>
      <c r="D219" s="103" t="s">
        <v>201</v>
      </c>
      <c r="E219" s="103" t="s">
        <v>201</v>
      </c>
      <c r="F219" s="103">
        <v>1</v>
      </c>
      <c r="G219" s="103" t="s">
        <v>201</v>
      </c>
    </row>
    <row r="220" spans="1:7">
      <c r="A220" s="102">
        <v>218</v>
      </c>
      <c r="B220" s="103" t="s">
        <v>201</v>
      </c>
      <c r="C220" s="103" t="s">
        <v>201</v>
      </c>
      <c r="D220" s="103" t="s">
        <v>201</v>
      </c>
      <c r="E220" s="103" t="s">
        <v>201</v>
      </c>
      <c r="F220" s="103">
        <v>1</v>
      </c>
      <c r="G220" s="103" t="s">
        <v>201</v>
      </c>
    </row>
    <row r="221" spans="1:7">
      <c r="A221" s="102">
        <v>219</v>
      </c>
      <c r="B221" s="103" t="s">
        <v>201</v>
      </c>
      <c r="C221" s="103" t="s">
        <v>201</v>
      </c>
      <c r="D221" s="103" t="s">
        <v>201</v>
      </c>
      <c r="E221" s="103" t="s">
        <v>201</v>
      </c>
      <c r="F221" s="103">
        <v>1</v>
      </c>
      <c r="G221" s="103" t="s">
        <v>201</v>
      </c>
    </row>
    <row r="222" spans="1:7">
      <c r="A222" s="102">
        <v>220</v>
      </c>
      <c r="B222" s="103" t="s">
        <v>201</v>
      </c>
      <c r="C222" s="103" t="s">
        <v>201</v>
      </c>
      <c r="D222" s="103" t="s">
        <v>201</v>
      </c>
      <c r="E222" s="103" t="s">
        <v>201</v>
      </c>
      <c r="F222" s="103">
        <v>1</v>
      </c>
      <c r="G222" s="103" t="s">
        <v>201</v>
      </c>
    </row>
    <row r="223" spans="1:7">
      <c r="A223" s="102">
        <v>221</v>
      </c>
      <c r="B223" s="103" t="s">
        <v>201</v>
      </c>
      <c r="C223" s="103" t="s">
        <v>201</v>
      </c>
      <c r="D223" s="103" t="s">
        <v>201</v>
      </c>
      <c r="E223" s="103" t="s">
        <v>201</v>
      </c>
      <c r="F223" s="103">
        <v>1</v>
      </c>
      <c r="G223" s="103" t="s">
        <v>201</v>
      </c>
    </row>
    <row r="224" spans="1:7">
      <c r="A224" s="102">
        <v>222</v>
      </c>
      <c r="B224" s="103" t="s">
        <v>201</v>
      </c>
      <c r="C224" s="103" t="s">
        <v>201</v>
      </c>
      <c r="D224" s="103" t="s">
        <v>201</v>
      </c>
      <c r="E224" s="103" t="s">
        <v>201</v>
      </c>
      <c r="F224" s="103">
        <v>1</v>
      </c>
      <c r="G224" s="103" t="s">
        <v>201</v>
      </c>
    </row>
    <row r="225" spans="1:7">
      <c r="A225" s="102">
        <v>223</v>
      </c>
      <c r="B225" s="103" t="s">
        <v>201</v>
      </c>
      <c r="C225" s="103" t="s">
        <v>201</v>
      </c>
      <c r="D225" s="103" t="s">
        <v>201</v>
      </c>
      <c r="E225" s="103" t="s">
        <v>201</v>
      </c>
      <c r="F225" s="103">
        <v>1</v>
      </c>
      <c r="G225" s="103" t="s">
        <v>201</v>
      </c>
    </row>
    <row r="226" spans="1:7">
      <c r="A226" s="102">
        <v>224</v>
      </c>
      <c r="B226" s="103" t="s">
        <v>201</v>
      </c>
      <c r="C226" s="103" t="s">
        <v>201</v>
      </c>
      <c r="D226" s="103" t="s">
        <v>201</v>
      </c>
      <c r="E226" s="103" t="s">
        <v>201</v>
      </c>
      <c r="F226" s="103">
        <v>1</v>
      </c>
      <c r="G226" s="103" t="s">
        <v>201</v>
      </c>
    </row>
    <row r="227" spans="1:7">
      <c r="A227" s="102">
        <v>225</v>
      </c>
      <c r="B227" s="103" t="s">
        <v>201</v>
      </c>
      <c r="C227" s="103" t="s">
        <v>201</v>
      </c>
      <c r="D227" s="103" t="s">
        <v>201</v>
      </c>
      <c r="E227" s="103" t="s">
        <v>201</v>
      </c>
      <c r="F227" s="103">
        <v>1</v>
      </c>
      <c r="G227" s="103" t="s">
        <v>201</v>
      </c>
    </row>
    <row r="228" spans="1:7">
      <c r="A228" s="102">
        <v>226</v>
      </c>
      <c r="B228" s="103" t="s">
        <v>201</v>
      </c>
      <c r="C228" s="103" t="s">
        <v>201</v>
      </c>
      <c r="D228" s="103" t="s">
        <v>201</v>
      </c>
      <c r="E228" s="103" t="s">
        <v>201</v>
      </c>
      <c r="F228" s="103">
        <v>1</v>
      </c>
      <c r="G228" s="103" t="s">
        <v>201</v>
      </c>
    </row>
    <row r="229" spans="1:7">
      <c r="A229" s="102">
        <v>227</v>
      </c>
      <c r="B229" s="103" t="s">
        <v>201</v>
      </c>
      <c r="C229" s="103" t="s">
        <v>201</v>
      </c>
      <c r="D229" s="103" t="s">
        <v>201</v>
      </c>
      <c r="E229" s="103" t="s">
        <v>201</v>
      </c>
      <c r="F229" s="103">
        <v>1</v>
      </c>
      <c r="G229" s="103" t="s">
        <v>201</v>
      </c>
    </row>
    <row r="230" spans="1:7">
      <c r="A230" s="102">
        <v>228</v>
      </c>
      <c r="B230" s="103" t="s">
        <v>201</v>
      </c>
      <c r="C230" s="103" t="s">
        <v>201</v>
      </c>
      <c r="D230" s="103" t="s">
        <v>201</v>
      </c>
      <c r="E230" s="103" t="s">
        <v>201</v>
      </c>
      <c r="F230" s="103">
        <v>1</v>
      </c>
      <c r="G230" s="103" t="s">
        <v>201</v>
      </c>
    </row>
    <row r="231" spans="1:7">
      <c r="A231" s="102">
        <v>229</v>
      </c>
      <c r="B231" s="103" t="s">
        <v>201</v>
      </c>
      <c r="C231" s="103" t="s">
        <v>201</v>
      </c>
      <c r="D231" s="103" t="s">
        <v>201</v>
      </c>
      <c r="E231" s="103" t="s">
        <v>201</v>
      </c>
      <c r="F231" s="103">
        <v>1</v>
      </c>
      <c r="G231" s="103" t="s">
        <v>201</v>
      </c>
    </row>
    <row r="232" spans="1:7">
      <c r="A232" s="102">
        <v>230</v>
      </c>
      <c r="B232" s="103" t="s">
        <v>201</v>
      </c>
      <c r="C232" s="103" t="s">
        <v>201</v>
      </c>
      <c r="D232" s="103" t="s">
        <v>201</v>
      </c>
      <c r="E232" s="103" t="s">
        <v>201</v>
      </c>
      <c r="F232" s="103">
        <v>1</v>
      </c>
      <c r="G232" s="103" t="s">
        <v>201</v>
      </c>
    </row>
    <row r="233" spans="1:7">
      <c r="A233" s="102">
        <v>231</v>
      </c>
      <c r="B233" s="103" t="s">
        <v>201</v>
      </c>
      <c r="C233" s="103" t="s">
        <v>201</v>
      </c>
      <c r="D233" s="103" t="s">
        <v>201</v>
      </c>
      <c r="E233" s="103" t="s">
        <v>201</v>
      </c>
      <c r="F233" s="103">
        <v>1</v>
      </c>
      <c r="G233" s="103" t="s">
        <v>201</v>
      </c>
    </row>
    <row r="234" spans="1:7">
      <c r="A234" s="102">
        <v>232</v>
      </c>
      <c r="B234" s="103" t="s">
        <v>201</v>
      </c>
      <c r="C234" s="103" t="s">
        <v>201</v>
      </c>
      <c r="D234" s="103" t="s">
        <v>201</v>
      </c>
      <c r="E234" s="103" t="s">
        <v>201</v>
      </c>
      <c r="F234" s="103">
        <v>1</v>
      </c>
      <c r="G234" s="103" t="s">
        <v>201</v>
      </c>
    </row>
    <row r="235" spans="1:7">
      <c r="A235" s="102">
        <v>233</v>
      </c>
      <c r="B235" s="103" t="s">
        <v>201</v>
      </c>
      <c r="C235" s="103" t="s">
        <v>201</v>
      </c>
      <c r="D235" s="103" t="s">
        <v>201</v>
      </c>
      <c r="E235" s="103" t="s">
        <v>201</v>
      </c>
      <c r="F235" s="103">
        <v>1</v>
      </c>
      <c r="G235" s="103" t="s">
        <v>201</v>
      </c>
    </row>
    <row r="236" spans="1:7">
      <c r="A236" s="102">
        <v>234</v>
      </c>
      <c r="B236" s="103" t="s">
        <v>201</v>
      </c>
      <c r="C236" s="103" t="s">
        <v>201</v>
      </c>
      <c r="D236" s="103" t="s">
        <v>201</v>
      </c>
      <c r="E236" s="103" t="s">
        <v>201</v>
      </c>
      <c r="F236" s="103">
        <v>1</v>
      </c>
      <c r="G236" s="103" t="s">
        <v>201</v>
      </c>
    </row>
    <row r="237" spans="1:7">
      <c r="A237" s="102">
        <v>235</v>
      </c>
      <c r="B237" s="103" t="s">
        <v>201</v>
      </c>
      <c r="C237" s="103" t="s">
        <v>201</v>
      </c>
      <c r="D237" s="103" t="s">
        <v>201</v>
      </c>
      <c r="E237" s="103" t="s">
        <v>201</v>
      </c>
      <c r="F237" s="103">
        <v>1</v>
      </c>
      <c r="G237" s="103" t="s">
        <v>201</v>
      </c>
    </row>
    <row r="238" spans="1:7">
      <c r="A238" s="102">
        <v>236</v>
      </c>
      <c r="B238" s="103" t="s">
        <v>201</v>
      </c>
      <c r="C238" s="103" t="s">
        <v>201</v>
      </c>
      <c r="D238" s="103" t="s">
        <v>201</v>
      </c>
      <c r="E238" s="103" t="s">
        <v>201</v>
      </c>
      <c r="F238" s="103">
        <v>1</v>
      </c>
      <c r="G238" s="103" t="s">
        <v>201</v>
      </c>
    </row>
    <row r="239" spans="1:7">
      <c r="A239" s="102">
        <v>237</v>
      </c>
      <c r="B239" s="103" t="s">
        <v>201</v>
      </c>
      <c r="C239" s="103" t="s">
        <v>201</v>
      </c>
      <c r="D239" s="103" t="s">
        <v>201</v>
      </c>
      <c r="E239" s="103" t="s">
        <v>201</v>
      </c>
      <c r="F239" s="103">
        <v>1</v>
      </c>
      <c r="G239" s="103" t="s">
        <v>201</v>
      </c>
    </row>
    <row r="240" spans="1:7">
      <c r="A240" s="102">
        <v>238</v>
      </c>
      <c r="B240" s="103" t="s">
        <v>201</v>
      </c>
      <c r="C240" s="103" t="s">
        <v>201</v>
      </c>
      <c r="D240" s="103" t="s">
        <v>201</v>
      </c>
      <c r="E240" s="103" t="s">
        <v>201</v>
      </c>
      <c r="F240" s="103">
        <v>1</v>
      </c>
      <c r="G240" s="103" t="s">
        <v>201</v>
      </c>
    </row>
    <row r="241" spans="1:7">
      <c r="A241" s="102">
        <v>239</v>
      </c>
      <c r="B241" s="103" t="s">
        <v>201</v>
      </c>
      <c r="C241" s="103" t="s">
        <v>201</v>
      </c>
      <c r="D241" s="103" t="s">
        <v>201</v>
      </c>
      <c r="E241" s="103" t="s">
        <v>201</v>
      </c>
      <c r="F241" s="103">
        <v>1</v>
      </c>
      <c r="G241" s="103" t="s">
        <v>201</v>
      </c>
    </row>
    <row r="242" spans="1:7">
      <c r="A242" s="102">
        <v>240</v>
      </c>
      <c r="B242" s="103" t="s">
        <v>201</v>
      </c>
      <c r="C242" s="103" t="s">
        <v>201</v>
      </c>
      <c r="D242" s="103" t="s">
        <v>201</v>
      </c>
      <c r="E242" s="103" t="s">
        <v>201</v>
      </c>
      <c r="F242" s="103">
        <v>1</v>
      </c>
      <c r="G242" s="103" t="s">
        <v>201</v>
      </c>
    </row>
    <row r="243" spans="1:7">
      <c r="A243" s="102">
        <v>241</v>
      </c>
      <c r="B243" s="103" t="s">
        <v>201</v>
      </c>
      <c r="C243" s="103" t="s">
        <v>201</v>
      </c>
      <c r="D243" s="103" t="s">
        <v>201</v>
      </c>
      <c r="E243" s="103" t="s">
        <v>201</v>
      </c>
      <c r="F243" s="103">
        <v>1</v>
      </c>
      <c r="G243" s="103" t="s">
        <v>201</v>
      </c>
    </row>
    <row r="244" spans="1:7">
      <c r="A244" s="102">
        <v>242</v>
      </c>
      <c r="B244" s="103" t="s">
        <v>201</v>
      </c>
      <c r="C244" s="103" t="s">
        <v>201</v>
      </c>
      <c r="D244" s="103" t="s">
        <v>201</v>
      </c>
      <c r="E244" s="103" t="s">
        <v>201</v>
      </c>
      <c r="F244" s="103">
        <v>1</v>
      </c>
      <c r="G244" s="103" t="s">
        <v>201</v>
      </c>
    </row>
    <row r="245" spans="1:7">
      <c r="A245" s="102">
        <v>243</v>
      </c>
      <c r="B245" s="103" t="s">
        <v>201</v>
      </c>
      <c r="C245" s="103" t="s">
        <v>201</v>
      </c>
      <c r="D245" s="103" t="s">
        <v>201</v>
      </c>
      <c r="E245" s="103" t="s">
        <v>201</v>
      </c>
      <c r="F245" s="103">
        <v>1</v>
      </c>
      <c r="G245" s="103" t="s">
        <v>201</v>
      </c>
    </row>
    <row r="246" spans="1:7">
      <c r="A246" s="102">
        <v>244</v>
      </c>
      <c r="B246" s="103" t="s">
        <v>201</v>
      </c>
      <c r="C246" s="103" t="s">
        <v>201</v>
      </c>
      <c r="D246" s="103" t="s">
        <v>201</v>
      </c>
      <c r="E246" s="103" t="s">
        <v>201</v>
      </c>
      <c r="F246" s="103">
        <v>1</v>
      </c>
      <c r="G246" s="103" t="s">
        <v>201</v>
      </c>
    </row>
    <row r="247" spans="1:7">
      <c r="A247" s="102">
        <v>245</v>
      </c>
      <c r="B247" s="103" t="s">
        <v>201</v>
      </c>
      <c r="C247" s="103" t="s">
        <v>201</v>
      </c>
      <c r="D247" s="103" t="s">
        <v>201</v>
      </c>
      <c r="E247" s="103" t="s">
        <v>201</v>
      </c>
      <c r="F247" s="103">
        <v>1</v>
      </c>
      <c r="G247" s="103" t="s">
        <v>201</v>
      </c>
    </row>
    <row r="248" spans="1:7">
      <c r="A248" s="102">
        <v>246</v>
      </c>
      <c r="B248" s="103" t="s">
        <v>201</v>
      </c>
      <c r="C248" s="103" t="s">
        <v>201</v>
      </c>
      <c r="D248" s="103" t="s">
        <v>201</v>
      </c>
      <c r="E248" s="103" t="s">
        <v>201</v>
      </c>
      <c r="F248" s="103">
        <v>1</v>
      </c>
      <c r="G248" s="103" t="s">
        <v>201</v>
      </c>
    </row>
    <row r="249" spans="1:7">
      <c r="A249" s="102">
        <v>247</v>
      </c>
      <c r="B249" s="103" t="s">
        <v>201</v>
      </c>
      <c r="C249" s="103" t="s">
        <v>201</v>
      </c>
      <c r="D249" s="103" t="s">
        <v>201</v>
      </c>
      <c r="E249" s="103" t="s">
        <v>201</v>
      </c>
      <c r="F249" s="103">
        <v>1</v>
      </c>
      <c r="G249" s="103" t="s">
        <v>201</v>
      </c>
    </row>
    <row r="250" spans="1:7">
      <c r="A250" s="102">
        <v>248</v>
      </c>
      <c r="B250" s="103" t="s">
        <v>201</v>
      </c>
      <c r="C250" s="103" t="s">
        <v>201</v>
      </c>
      <c r="D250" s="103" t="s">
        <v>201</v>
      </c>
      <c r="E250" s="103" t="s">
        <v>201</v>
      </c>
      <c r="F250" s="103">
        <v>1</v>
      </c>
      <c r="G250" s="103" t="s">
        <v>201</v>
      </c>
    </row>
    <row r="251" spans="1:7">
      <c r="A251" s="102">
        <v>249</v>
      </c>
      <c r="B251" s="103" t="s">
        <v>201</v>
      </c>
      <c r="C251" s="103" t="s">
        <v>201</v>
      </c>
      <c r="D251" s="103" t="s">
        <v>201</v>
      </c>
      <c r="E251" s="103" t="s">
        <v>201</v>
      </c>
      <c r="F251" s="103">
        <v>1</v>
      </c>
      <c r="G251" s="103" t="s">
        <v>201</v>
      </c>
    </row>
    <row r="252" spans="1:7">
      <c r="A252" s="102">
        <v>250</v>
      </c>
      <c r="B252" s="103" t="s">
        <v>201</v>
      </c>
      <c r="C252" s="103" t="s">
        <v>201</v>
      </c>
      <c r="D252" s="103" t="s">
        <v>201</v>
      </c>
      <c r="E252" s="103" t="s">
        <v>201</v>
      </c>
      <c r="F252" s="103">
        <v>1</v>
      </c>
      <c r="G252" s="103" t="s">
        <v>201</v>
      </c>
    </row>
    <row r="253" spans="1:7">
      <c r="A253" s="102">
        <v>251</v>
      </c>
      <c r="B253" s="103" t="s">
        <v>201</v>
      </c>
      <c r="C253" s="103" t="s">
        <v>201</v>
      </c>
      <c r="D253" s="103" t="s">
        <v>201</v>
      </c>
      <c r="E253" s="103" t="s">
        <v>201</v>
      </c>
      <c r="F253" s="103">
        <v>1</v>
      </c>
      <c r="G253" s="103" t="s">
        <v>201</v>
      </c>
    </row>
    <row r="254" spans="1:7">
      <c r="A254" s="102">
        <v>252</v>
      </c>
      <c r="B254" s="103" t="s">
        <v>201</v>
      </c>
      <c r="C254" s="103" t="s">
        <v>201</v>
      </c>
      <c r="D254" s="103" t="s">
        <v>201</v>
      </c>
      <c r="E254" s="103" t="s">
        <v>201</v>
      </c>
      <c r="F254" s="103">
        <v>1</v>
      </c>
      <c r="G254" s="103" t="s">
        <v>201</v>
      </c>
    </row>
    <row r="255" spans="1:7">
      <c r="A255" s="102">
        <v>253</v>
      </c>
      <c r="B255" s="103" t="s">
        <v>201</v>
      </c>
      <c r="C255" s="103" t="s">
        <v>201</v>
      </c>
      <c r="D255" s="103" t="s">
        <v>201</v>
      </c>
      <c r="E255" s="103" t="s">
        <v>201</v>
      </c>
      <c r="F255" s="103">
        <v>1</v>
      </c>
      <c r="G255" s="103" t="s">
        <v>201</v>
      </c>
    </row>
    <row r="256" spans="1:7">
      <c r="A256" s="102">
        <v>254</v>
      </c>
      <c r="B256" s="103" t="s">
        <v>201</v>
      </c>
      <c r="C256" s="103" t="s">
        <v>201</v>
      </c>
      <c r="D256" s="103" t="s">
        <v>201</v>
      </c>
      <c r="E256" s="103" t="s">
        <v>201</v>
      </c>
      <c r="F256" s="103">
        <v>1</v>
      </c>
      <c r="G256" s="103" t="s">
        <v>201</v>
      </c>
    </row>
    <row r="257" spans="1:7">
      <c r="A257" s="102">
        <v>255</v>
      </c>
      <c r="B257" s="103" t="s">
        <v>201</v>
      </c>
      <c r="C257" s="103" t="s">
        <v>201</v>
      </c>
      <c r="D257" s="103" t="s">
        <v>201</v>
      </c>
      <c r="E257" s="103" t="s">
        <v>201</v>
      </c>
      <c r="F257" s="103">
        <v>1</v>
      </c>
      <c r="G257" s="103" t="s">
        <v>201</v>
      </c>
    </row>
    <row r="258" spans="1:7">
      <c r="A258" s="102">
        <v>256</v>
      </c>
      <c r="B258" s="103" t="s">
        <v>201</v>
      </c>
      <c r="C258" s="103" t="s">
        <v>201</v>
      </c>
      <c r="D258" s="103" t="s">
        <v>201</v>
      </c>
      <c r="E258" s="103" t="s">
        <v>201</v>
      </c>
      <c r="F258" s="103">
        <v>1</v>
      </c>
      <c r="G258" s="103" t="s">
        <v>201</v>
      </c>
    </row>
    <row r="259" spans="1:7">
      <c r="A259" s="102">
        <v>257</v>
      </c>
      <c r="B259" s="103" t="s">
        <v>201</v>
      </c>
      <c r="C259" s="103" t="s">
        <v>201</v>
      </c>
      <c r="D259" s="103" t="s">
        <v>201</v>
      </c>
      <c r="E259" s="103" t="s">
        <v>201</v>
      </c>
      <c r="F259" s="103">
        <v>1</v>
      </c>
      <c r="G259" s="103" t="s">
        <v>201</v>
      </c>
    </row>
    <row r="260" spans="1:7">
      <c r="A260" s="102">
        <v>258</v>
      </c>
      <c r="B260" s="103" t="s">
        <v>201</v>
      </c>
      <c r="C260" s="103" t="s">
        <v>201</v>
      </c>
      <c r="D260" s="103" t="s">
        <v>201</v>
      </c>
      <c r="E260" s="103" t="s">
        <v>201</v>
      </c>
      <c r="F260" s="103">
        <v>1</v>
      </c>
      <c r="G260" s="103" t="s">
        <v>201</v>
      </c>
    </row>
    <row r="261" spans="1:7">
      <c r="A261" s="102">
        <v>259</v>
      </c>
      <c r="B261" s="103" t="s">
        <v>201</v>
      </c>
      <c r="C261" s="103" t="s">
        <v>201</v>
      </c>
      <c r="D261" s="103" t="s">
        <v>201</v>
      </c>
      <c r="E261" s="103" t="s">
        <v>201</v>
      </c>
      <c r="F261" s="103">
        <v>1</v>
      </c>
      <c r="G261" s="103" t="s">
        <v>201</v>
      </c>
    </row>
    <row r="262" spans="1:7">
      <c r="A262" s="102">
        <v>260</v>
      </c>
      <c r="B262" s="103" t="s">
        <v>201</v>
      </c>
      <c r="C262" s="103" t="s">
        <v>201</v>
      </c>
      <c r="D262" s="103" t="s">
        <v>201</v>
      </c>
      <c r="E262" s="103" t="s">
        <v>201</v>
      </c>
      <c r="F262" s="103">
        <v>1</v>
      </c>
      <c r="G262" s="103" t="s">
        <v>201</v>
      </c>
    </row>
    <row r="263" spans="1:7">
      <c r="A263" s="102">
        <v>261</v>
      </c>
      <c r="B263" s="103" t="s">
        <v>201</v>
      </c>
      <c r="C263" s="103" t="s">
        <v>201</v>
      </c>
      <c r="D263" s="103" t="s">
        <v>201</v>
      </c>
      <c r="E263" s="103" t="s">
        <v>201</v>
      </c>
      <c r="F263" s="103">
        <v>1</v>
      </c>
      <c r="G263" s="103" t="s">
        <v>201</v>
      </c>
    </row>
    <row r="264" spans="1:7">
      <c r="A264" s="102">
        <v>262</v>
      </c>
      <c r="B264" s="103" t="s">
        <v>201</v>
      </c>
      <c r="C264" s="103" t="s">
        <v>201</v>
      </c>
      <c r="D264" s="103" t="s">
        <v>201</v>
      </c>
      <c r="E264" s="103" t="s">
        <v>201</v>
      </c>
      <c r="F264" s="103">
        <v>1</v>
      </c>
      <c r="G264" s="103" t="s">
        <v>201</v>
      </c>
    </row>
    <row r="265" spans="1:7">
      <c r="A265" s="102">
        <v>263</v>
      </c>
      <c r="B265" s="103" t="s">
        <v>201</v>
      </c>
      <c r="C265" s="103" t="s">
        <v>201</v>
      </c>
      <c r="D265" s="103" t="s">
        <v>201</v>
      </c>
      <c r="E265" s="103" t="s">
        <v>201</v>
      </c>
      <c r="F265" s="103">
        <v>1</v>
      </c>
      <c r="G265" s="103" t="s">
        <v>201</v>
      </c>
    </row>
    <row r="266" spans="1:7">
      <c r="A266" s="102">
        <v>264</v>
      </c>
      <c r="B266" s="103" t="s">
        <v>201</v>
      </c>
      <c r="C266" s="103" t="s">
        <v>201</v>
      </c>
      <c r="D266" s="103" t="s">
        <v>201</v>
      </c>
      <c r="E266" s="103" t="s">
        <v>201</v>
      </c>
      <c r="F266" s="103">
        <v>1</v>
      </c>
      <c r="G266" s="103" t="s">
        <v>201</v>
      </c>
    </row>
    <row r="267" spans="1:7">
      <c r="A267" s="102">
        <v>265</v>
      </c>
      <c r="B267" s="103" t="s">
        <v>201</v>
      </c>
      <c r="C267" s="103" t="s">
        <v>201</v>
      </c>
      <c r="D267" s="103" t="s">
        <v>201</v>
      </c>
      <c r="E267" s="103" t="s">
        <v>201</v>
      </c>
      <c r="F267" s="103">
        <v>1</v>
      </c>
      <c r="G267" s="103" t="s">
        <v>201</v>
      </c>
    </row>
    <row r="268" spans="1:7">
      <c r="A268" s="102">
        <v>266</v>
      </c>
      <c r="B268" s="103" t="s">
        <v>201</v>
      </c>
      <c r="C268" s="103" t="s">
        <v>201</v>
      </c>
      <c r="D268" s="103" t="s">
        <v>201</v>
      </c>
      <c r="E268" s="103" t="s">
        <v>201</v>
      </c>
      <c r="F268" s="103">
        <v>1</v>
      </c>
      <c r="G268" s="103" t="s">
        <v>201</v>
      </c>
    </row>
    <row r="269" spans="1:7">
      <c r="A269" s="102">
        <v>267</v>
      </c>
      <c r="B269" s="103" t="s">
        <v>201</v>
      </c>
      <c r="C269" s="103" t="s">
        <v>201</v>
      </c>
      <c r="D269" s="103" t="s">
        <v>201</v>
      </c>
      <c r="E269" s="103" t="s">
        <v>201</v>
      </c>
      <c r="F269" s="103">
        <v>1</v>
      </c>
      <c r="G269" s="103" t="s">
        <v>201</v>
      </c>
    </row>
    <row r="270" spans="1:7">
      <c r="A270" s="102">
        <v>268</v>
      </c>
      <c r="B270" s="103" t="s">
        <v>201</v>
      </c>
      <c r="C270" s="103" t="s">
        <v>201</v>
      </c>
      <c r="D270" s="103" t="s">
        <v>201</v>
      </c>
      <c r="E270" s="103" t="s">
        <v>201</v>
      </c>
      <c r="F270" s="103">
        <v>1</v>
      </c>
      <c r="G270" s="103" t="s">
        <v>201</v>
      </c>
    </row>
    <row r="271" spans="1:7">
      <c r="A271" s="102">
        <v>269</v>
      </c>
      <c r="B271" s="103" t="s">
        <v>201</v>
      </c>
      <c r="C271" s="103" t="s">
        <v>201</v>
      </c>
      <c r="D271" s="103" t="s">
        <v>201</v>
      </c>
      <c r="E271" s="103" t="s">
        <v>201</v>
      </c>
      <c r="F271" s="103">
        <v>1</v>
      </c>
      <c r="G271" s="103" t="s">
        <v>201</v>
      </c>
    </row>
    <row r="272" spans="1:7">
      <c r="A272" s="102">
        <v>270</v>
      </c>
      <c r="B272" s="103" t="s">
        <v>201</v>
      </c>
      <c r="C272" s="103" t="s">
        <v>201</v>
      </c>
      <c r="D272" s="103" t="s">
        <v>201</v>
      </c>
      <c r="E272" s="103" t="s">
        <v>201</v>
      </c>
      <c r="F272" s="103">
        <v>1</v>
      </c>
      <c r="G272" s="103" t="s">
        <v>201</v>
      </c>
    </row>
    <row r="273" spans="1:7">
      <c r="A273" s="102">
        <v>271</v>
      </c>
      <c r="B273" s="103" t="s">
        <v>201</v>
      </c>
      <c r="C273" s="103" t="s">
        <v>201</v>
      </c>
      <c r="D273" s="103" t="s">
        <v>201</v>
      </c>
      <c r="E273" s="103" t="s">
        <v>201</v>
      </c>
      <c r="F273" s="103">
        <v>1</v>
      </c>
      <c r="G273" s="103" t="s">
        <v>201</v>
      </c>
    </row>
    <row r="274" spans="1:7">
      <c r="A274" s="102">
        <v>272</v>
      </c>
      <c r="B274" s="103" t="s">
        <v>201</v>
      </c>
      <c r="C274" s="103" t="s">
        <v>201</v>
      </c>
      <c r="D274" s="103" t="s">
        <v>201</v>
      </c>
      <c r="E274" s="103" t="s">
        <v>201</v>
      </c>
      <c r="F274" s="103">
        <v>1</v>
      </c>
      <c r="G274" s="103" t="s">
        <v>201</v>
      </c>
    </row>
    <row r="275" spans="1:7">
      <c r="A275" s="102">
        <v>273</v>
      </c>
      <c r="B275" s="103" t="s">
        <v>201</v>
      </c>
      <c r="C275" s="103" t="s">
        <v>201</v>
      </c>
      <c r="D275" s="103" t="s">
        <v>201</v>
      </c>
      <c r="E275" s="103" t="s">
        <v>201</v>
      </c>
      <c r="F275" s="103">
        <v>1</v>
      </c>
      <c r="G275" s="103" t="s">
        <v>201</v>
      </c>
    </row>
    <row r="276" spans="1:7">
      <c r="A276" s="102">
        <v>274</v>
      </c>
      <c r="B276" s="103" t="s">
        <v>201</v>
      </c>
      <c r="C276" s="103" t="s">
        <v>201</v>
      </c>
      <c r="D276" s="103" t="s">
        <v>201</v>
      </c>
      <c r="E276" s="103" t="s">
        <v>201</v>
      </c>
      <c r="F276" s="103">
        <v>1</v>
      </c>
      <c r="G276" s="103" t="s">
        <v>201</v>
      </c>
    </row>
    <row r="277" spans="1:7">
      <c r="A277" s="102">
        <v>275</v>
      </c>
      <c r="B277" s="103" t="s">
        <v>201</v>
      </c>
      <c r="C277" s="103" t="s">
        <v>201</v>
      </c>
      <c r="D277" s="103" t="s">
        <v>201</v>
      </c>
      <c r="E277" s="103" t="s">
        <v>201</v>
      </c>
      <c r="F277" s="103">
        <v>1</v>
      </c>
      <c r="G277" s="103" t="s">
        <v>201</v>
      </c>
    </row>
    <row r="278" spans="1:7">
      <c r="A278" s="102">
        <v>276</v>
      </c>
      <c r="B278" s="103" t="s">
        <v>201</v>
      </c>
      <c r="C278" s="103" t="s">
        <v>201</v>
      </c>
      <c r="D278" s="103" t="s">
        <v>201</v>
      </c>
      <c r="E278" s="103" t="s">
        <v>201</v>
      </c>
      <c r="F278" s="103">
        <v>1</v>
      </c>
      <c r="G278" s="103" t="s">
        <v>201</v>
      </c>
    </row>
    <row r="279" spans="1:7">
      <c r="A279" s="102">
        <v>277</v>
      </c>
      <c r="B279" s="103" t="s">
        <v>201</v>
      </c>
      <c r="C279" s="103" t="s">
        <v>201</v>
      </c>
      <c r="D279" s="103" t="s">
        <v>201</v>
      </c>
      <c r="E279" s="103" t="s">
        <v>201</v>
      </c>
      <c r="F279" s="103">
        <v>1</v>
      </c>
      <c r="G279" s="103" t="s">
        <v>201</v>
      </c>
    </row>
    <row r="280" spans="1:7">
      <c r="A280" s="102">
        <v>278</v>
      </c>
      <c r="B280" s="103" t="s">
        <v>201</v>
      </c>
      <c r="C280" s="103" t="s">
        <v>201</v>
      </c>
      <c r="D280" s="103" t="s">
        <v>201</v>
      </c>
      <c r="E280" s="103" t="s">
        <v>201</v>
      </c>
      <c r="F280" s="103">
        <v>1</v>
      </c>
      <c r="G280" s="103" t="s">
        <v>201</v>
      </c>
    </row>
    <row r="281" spans="1:7">
      <c r="A281" s="102">
        <v>279</v>
      </c>
      <c r="B281" s="103" t="s">
        <v>201</v>
      </c>
      <c r="C281" s="103" t="s">
        <v>201</v>
      </c>
      <c r="D281" s="103" t="s">
        <v>201</v>
      </c>
      <c r="E281" s="103" t="s">
        <v>201</v>
      </c>
      <c r="F281" s="103">
        <v>1</v>
      </c>
      <c r="G281" s="103" t="s">
        <v>201</v>
      </c>
    </row>
    <row r="282" spans="1:7">
      <c r="A282" s="102">
        <v>280</v>
      </c>
      <c r="B282" s="103" t="s">
        <v>201</v>
      </c>
      <c r="C282" s="103" t="s">
        <v>201</v>
      </c>
      <c r="D282" s="103" t="s">
        <v>201</v>
      </c>
      <c r="E282" s="103" t="s">
        <v>201</v>
      </c>
      <c r="F282" s="103">
        <v>1</v>
      </c>
      <c r="G282" s="103" t="s">
        <v>201</v>
      </c>
    </row>
    <row r="283" spans="1:7">
      <c r="A283" s="102">
        <v>281</v>
      </c>
      <c r="B283" s="103" t="s">
        <v>201</v>
      </c>
      <c r="C283" s="103" t="s">
        <v>201</v>
      </c>
      <c r="D283" s="103" t="s">
        <v>201</v>
      </c>
      <c r="E283" s="103" t="s">
        <v>201</v>
      </c>
      <c r="F283" s="103">
        <v>1</v>
      </c>
      <c r="G283" s="103" t="s">
        <v>201</v>
      </c>
    </row>
    <row r="284" spans="1:7">
      <c r="A284" s="102">
        <v>282</v>
      </c>
      <c r="B284" s="103" t="s">
        <v>201</v>
      </c>
      <c r="C284" s="103" t="s">
        <v>201</v>
      </c>
      <c r="D284" s="103" t="s">
        <v>201</v>
      </c>
      <c r="E284" s="103" t="s">
        <v>201</v>
      </c>
      <c r="F284" s="103">
        <v>1</v>
      </c>
      <c r="G284" s="103" t="s">
        <v>201</v>
      </c>
    </row>
    <row r="285" spans="1:7">
      <c r="A285" s="102">
        <v>283</v>
      </c>
      <c r="B285" s="103" t="s">
        <v>201</v>
      </c>
      <c r="C285" s="103" t="s">
        <v>201</v>
      </c>
      <c r="D285" s="103" t="s">
        <v>201</v>
      </c>
      <c r="E285" s="103" t="s">
        <v>201</v>
      </c>
      <c r="F285" s="103">
        <v>1</v>
      </c>
      <c r="G285" s="103" t="s">
        <v>201</v>
      </c>
    </row>
    <row r="286" spans="1:7">
      <c r="A286" s="102">
        <v>284</v>
      </c>
      <c r="B286" s="103" t="s">
        <v>201</v>
      </c>
      <c r="C286" s="103" t="s">
        <v>201</v>
      </c>
      <c r="D286" s="103" t="s">
        <v>201</v>
      </c>
      <c r="E286" s="103" t="s">
        <v>201</v>
      </c>
      <c r="F286" s="103">
        <v>1</v>
      </c>
      <c r="G286" s="103" t="s">
        <v>201</v>
      </c>
    </row>
    <row r="287" spans="1:7">
      <c r="A287" s="102">
        <v>285</v>
      </c>
      <c r="B287" s="103" t="s">
        <v>201</v>
      </c>
      <c r="C287" s="103" t="s">
        <v>201</v>
      </c>
      <c r="D287" s="103" t="s">
        <v>201</v>
      </c>
      <c r="E287" s="103" t="s">
        <v>201</v>
      </c>
      <c r="F287" s="103">
        <v>1</v>
      </c>
      <c r="G287" s="103" t="s">
        <v>201</v>
      </c>
    </row>
    <row r="288" spans="1:7">
      <c r="A288" s="102">
        <v>286</v>
      </c>
      <c r="B288" s="103" t="s">
        <v>201</v>
      </c>
      <c r="C288" s="103" t="s">
        <v>201</v>
      </c>
      <c r="D288" s="103" t="s">
        <v>201</v>
      </c>
      <c r="E288" s="103" t="s">
        <v>201</v>
      </c>
      <c r="F288" s="103">
        <v>1</v>
      </c>
      <c r="G288" s="103" t="s">
        <v>201</v>
      </c>
    </row>
    <row r="289" spans="1:7">
      <c r="A289" s="102">
        <v>287</v>
      </c>
      <c r="B289" s="103" t="s">
        <v>201</v>
      </c>
      <c r="C289" s="103" t="s">
        <v>201</v>
      </c>
      <c r="D289" s="103" t="s">
        <v>201</v>
      </c>
      <c r="E289" s="103" t="s">
        <v>201</v>
      </c>
      <c r="F289" s="103">
        <v>1</v>
      </c>
      <c r="G289" s="103" t="s">
        <v>201</v>
      </c>
    </row>
    <row r="290" spans="1:7">
      <c r="A290" s="102">
        <v>288</v>
      </c>
      <c r="B290" s="103" t="s">
        <v>201</v>
      </c>
      <c r="C290" s="103" t="s">
        <v>201</v>
      </c>
      <c r="D290" s="103" t="s">
        <v>201</v>
      </c>
      <c r="E290" s="103" t="s">
        <v>201</v>
      </c>
      <c r="F290" s="103">
        <v>1</v>
      </c>
      <c r="G290" s="103" t="s">
        <v>201</v>
      </c>
    </row>
    <row r="291" spans="1:7">
      <c r="A291" s="102">
        <v>289</v>
      </c>
      <c r="B291" s="103" t="s">
        <v>201</v>
      </c>
      <c r="C291" s="103" t="s">
        <v>201</v>
      </c>
      <c r="D291" s="103" t="s">
        <v>201</v>
      </c>
      <c r="E291" s="103" t="s">
        <v>201</v>
      </c>
      <c r="F291" s="103">
        <v>1</v>
      </c>
      <c r="G291" s="103" t="s">
        <v>201</v>
      </c>
    </row>
    <row r="292" spans="1:7">
      <c r="A292" s="102">
        <v>290</v>
      </c>
      <c r="B292" s="103" t="s">
        <v>201</v>
      </c>
      <c r="C292" s="103" t="s">
        <v>201</v>
      </c>
      <c r="D292" s="103" t="s">
        <v>201</v>
      </c>
      <c r="E292" s="103" t="s">
        <v>201</v>
      </c>
      <c r="F292" s="103">
        <v>1</v>
      </c>
      <c r="G292" s="103" t="s">
        <v>201</v>
      </c>
    </row>
    <row r="293" spans="1:7">
      <c r="A293" s="102">
        <v>291</v>
      </c>
      <c r="B293" s="103" t="s">
        <v>201</v>
      </c>
      <c r="C293" s="103" t="s">
        <v>201</v>
      </c>
      <c r="D293" s="103" t="s">
        <v>201</v>
      </c>
      <c r="E293" s="103" t="s">
        <v>201</v>
      </c>
      <c r="F293" s="103">
        <v>1</v>
      </c>
      <c r="G293" s="103" t="s">
        <v>201</v>
      </c>
    </row>
    <row r="294" spans="1:7">
      <c r="A294" s="102">
        <v>292</v>
      </c>
      <c r="B294" s="103" t="s">
        <v>201</v>
      </c>
      <c r="C294" s="103" t="s">
        <v>201</v>
      </c>
      <c r="D294" s="103" t="s">
        <v>201</v>
      </c>
      <c r="E294" s="103" t="s">
        <v>201</v>
      </c>
      <c r="F294" s="103">
        <v>1</v>
      </c>
      <c r="G294" s="103" t="s">
        <v>201</v>
      </c>
    </row>
    <row r="295" spans="1:7">
      <c r="A295" s="102">
        <v>293</v>
      </c>
      <c r="B295" s="103" t="s">
        <v>201</v>
      </c>
      <c r="C295" s="103" t="s">
        <v>201</v>
      </c>
      <c r="D295" s="103" t="s">
        <v>201</v>
      </c>
      <c r="E295" s="103" t="s">
        <v>201</v>
      </c>
      <c r="F295" s="103">
        <v>1</v>
      </c>
      <c r="G295" s="103" t="s">
        <v>201</v>
      </c>
    </row>
    <row r="296" spans="1:7">
      <c r="A296" s="102">
        <v>294</v>
      </c>
      <c r="B296" s="103" t="s">
        <v>201</v>
      </c>
      <c r="C296" s="103" t="s">
        <v>201</v>
      </c>
      <c r="D296" s="103" t="s">
        <v>201</v>
      </c>
      <c r="E296" s="103" t="s">
        <v>201</v>
      </c>
      <c r="F296" s="103">
        <v>1</v>
      </c>
      <c r="G296" s="103" t="s">
        <v>201</v>
      </c>
    </row>
    <row r="297" spans="1:7">
      <c r="A297" s="102">
        <v>295</v>
      </c>
      <c r="B297" s="103" t="s">
        <v>201</v>
      </c>
      <c r="C297" s="103" t="s">
        <v>201</v>
      </c>
      <c r="D297" s="103" t="s">
        <v>201</v>
      </c>
      <c r="E297" s="103" t="s">
        <v>201</v>
      </c>
      <c r="F297" s="103">
        <v>1</v>
      </c>
      <c r="G297" s="103" t="s">
        <v>201</v>
      </c>
    </row>
    <row r="298" spans="1:7">
      <c r="A298" s="102">
        <v>296</v>
      </c>
      <c r="B298" s="103" t="s">
        <v>201</v>
      </c>
      <c r="C298" s="103" t="s">
        <v>201</v>
      </c>
      <c r="D298" s="103" t="s">
        <v>201</v>
      </c>
      <c r="E298" s="103" t="s">
        <v>201</v>
      </c>
      <c r="F298" s="103">
        <v>1</v>
      </c>
      <c r="G298" s="103" t="s">
        <v>201</v>
      </c>
    </row>
    <row r="299" spans="1:7">
      <c r="A299" s="102">
        <v>297</v>
      </c>
      <c r="B299" s="103" t="s">
        <v>201</v>
      </c>
      <c r="C299" s="103" t="s">
        <v>201</v>
      </c>
      <c r="D299" s="103" t="s">
        <v>201</v>
      </c>
      <c r="E299" s="103" t="s">
        <v>201</v>
      </c>
      <c r="F299" s="103">
        <v>1</v>
      </c>
      <c r="G299" s="103" t="s">
        <v>201</v>
      </c>
    </row>
    <row r="300" spans="1:7">
      <c r="A300" s="102">
        <v>298</v>
      </c>
      <c r="B300" s="103" t="s">
        <v>201</v>
      </c>
      <c r="C300" s="103" t="s">
        <v>201</v>
      </c>
      <c r="D300" s="103" t="s">
        <v>201</v>
      </c>
      <c r="E300" s="103" t="s">
        <v>201</v>
      </c>
      <c r="F300" s="103">
        <v>1</v>
      </c>
      <c r="G300" s="103" t="s">
        <v>201</v>
      </c>
    </row>
    <row r="301" spans="1:7">
      <c r="A301" s="102">
        <v>299</v>
      </c>
      <c r="B301" s="103" t="s">
        <v>201</v>
      </c>
      <c r="C301" s="103" t="s">
        <v>201</v>
      </c>
      <c r="D301" s="103" t="s">
        <v>201</v>
      </c>
      <c r="E301" s="103" t="s">
        <v>201</v>
      </c>
      <c r="F301" s="103">
        <v>1</v>
      </c>
      <c r="G301" s="103" t="s">
        <v>201</v>
      </c>
    </row>
    <row r="302" spans="1:7">
      <c r="A302" s="102">
        <v>300</v>
      </c>
      <c r="B302" s="103" t="s">
        <v>201</v>
      </c>
      <c r="C302" s="103" t="s">
        <v>201</v>
      </c>
      <c r="D302" s="103" t="s">
        <v>201</v>
      </c>
      <c r="E302" s="103" t="s">
        <v>201</v>
      </c>
      <c r="F302" s="103">
        <v>1</v>
      </c>
      <c r="G302" s="103" t="s">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304E9-155D-4A4F-B3F1-85B2A33D844C}">
  <dimension ref="A1:G32"/>
  <sheetViews>
    <sheetView tabSelected="1" workbookViewId="0">
      <selection activeCell="A8" sqref="A8:XFD8"/>
    </sheetView>
  </sheetViews>
  <sheetFormatPr defaultRowHeight="15"/>
  <cols>
    <col min="1" max="1" width="5" customWidth="1"/>
    <col min="2" max="2" width="15" customWidth="1"/>
    <col min="3" max="3" width="17.140625" customWidth="1"/>
    <col min="4" max="4" width="36.42578125" customWidth="1"/>
    <col min="5" max="5" width="15.42578125" customWidth="1"/>
    <col min="6" max="6" width="26.140625" customWidth="1"/>
    <col min="7" max="7" width="16.28515625" customWidth="1"/>
  </cols>
  <sheetData>
    <row r="1" spans="1:7">
      <c r="A1" s="121" t="s">
        <v>194</v>
      </c>
      <c r="B1" s="134" t="s">
        <v>202</v>
      </c>
      <c r="C1" s="121" t="s">
        <v>203</v>
      </c>
      <c r="D1" s="121" t="s">
        <v>204</v>
      </c>
      <c r="E1" s="121" t="s">
        <v>205</v>
      </c>
      <c r="F1" s="121" t="s">
        <v>206</v>
      </c>
      <c r="G1" s="121" t="s">
        <v>207</v>
      </c>
    </row>
    <row r="2" spans="1:7">
      <c r="A2" s="122"/>
      <c r="B2" s="135"/>
      <c r="C2" s="122"/>
      <c r="D2" s="122"/>
      <c r="E2" s="122"/>
      <c r="F2" s="122"/>
      <c r="G2" s="122"/>
    </row>
    <row r="3" spans="1:7" ht="15" customHeight="1">
      <c r="A3" s="125">
        <v>1</v>
      </c>
      <c r="B3" s="128" t="s">
        <v>208</v>
      </c>
      <c r="C3" s="128" t="s">
        <v>209</v>
      </c>
      <c r="D3" s="104" t="s">
        <v>210</v>
      </c>
      <c r="E3" s="128">
        <v>1300</v>
      </c>
      <c r="F3" s="131" t="s">
        <v>211</v>
      </c>
      <c r="G3" s="128" t="s">
        <v>212</v>
      </c>
    </row>
    <row r="4" spans="1:7" ht="18" customHeight="1">
      <c r="A4" s="126"/>
      <c r="B4" s="129"/>
      <c r="C4" s="129"/>
      <c r="D4" s="105" t="s">
        <v>213</v>
      </c>
      <c r="E4" s="129"/>
      <c r="F4" s="132"/>
      <c r="G4" s="129"/>
    </row>
    <row r="5" spans="1:7" ht="15.75" customHeight="1">
      <c r="A5" s="127"/>
      <c r="B5" s="130"/>
      <c r="C5" s="130"/>
      <c r="D5" s="105" t="s">
        <v>214</v>
      </c>
      <c r="E5" s="130"/>
      <c r="F5" s="133"/>
      <c r="G5" s="130"/>
    </row>
    <row r="6" spans="1:7" ht="15" customHeight="1">
      <c r="A6" s="123">
        <v>2</v>
      </c>
      <c r="B6" s="129" t="s">
        <v>215</v>
      </c>
      <c r="C6" s="123" t="s">
        <v>216</v>
      </c>
      <c r="D6" s="106" t="s">
        <v>217</v>
      </c>
      <c r="E6" s="123">
        <v>1600</v>
      </c>
      <c r="F6" s="136" t="s">
        <v>211</v>
      </c>
      <c r="G6" s="123" t="s">
        <v>218</v>
      </c>
    </row>
    <row r="7" spans="1:7" ht="16.5" customHeight="1">
      <c r="A7" s="123"/>
      <c r="B7" s="129"/>
      <c r="C7" s="123"/>
      <c r="D7" s="107" t="s">
        <v>219</v>
      </c>
      <c r="E7" s="123"/>
      <c r="F7" s="132"/>
      <c r="G7" s="123"/>
    </row>
    <row r="8" spans="1:7" ht="18" customHeight="1">
      <c r="A8" s="124"/>
      <c r="B8" s="129"/>
      <c r="C8" s="124"/>
      <c r="D8" s="109" t="s">
        <v>220</v>
      </c>
      <c r="E8" s="124"/>
      <c r="F8" s="133"/>
      <c r="G8" s="124"/>
    </row>
    <row r="9" spans="1:7" ht="31.5" customHeight="1">
      <c r="A9" s="108"/>
      <c r="B9" s="129"/>
      <c r="C9" s="109" t="s">
        <v>216</v>
      </c>
      <c r="D9" s="109" t="s">
        <v>219</v>
      </c>
      <c r="E9" s="109">
        <v>1500</v>
      </c>
      <c r="F9" s="110" t="s">
        <v>221</v>
      </c>
      <c r="G9" s="109" t="s">
        <v>212</v>
      </c>
    </row>
    <row r="10" spans="1:7" ht="18" customHeight="1">
      <c r="A10" s="108">
        <v>3</v>
      </c>
      <c r="B10" s="129"/>
      <c r="C10" s="109" t="s">
        <v>222</v>
      </c>
      <c r="D10" s="106" t="s">
        <v>223</v>
      </c>
      <c r="E10" s="109">
        <v>5000</v>
      </c>
      <c r="F10" s="111" t="s">
        <v>224</v>
      </c>
      <c r="G10" s="109" t="s">
        <v>225</v>
      </c>
    </row>
    <row r="11" spans="1:7" ht="15" customHeight="1">
      <c r="A11" s="123">
        <v>4</v>
      </c>
      <c r="B11" s="129"/>
      <c r="C11" s="123" t="s">
        <v>222</v>
      </c>
      <c r="D11" s="106" t="s">
        <v>226</v>
      </c>
      <c r="E11" s="123">
        <v>1500</v>
      </c>
      <c r="F11" s="136" t="s">
        <v>224</v>
      </c>
      <c r="G11" s="129" t="s">
        <v>218</v>
      </c>
    </row>
    <row r="12" spans="1:7" ht="16.5" customHeight="1">
      <c r="A12" s="123"/>
      <c r="B12" s="129"/>
      <c r="C12" s="123"/>
      <c r="D12" s="109" t="s">
        <v>227</v>
      </c>
      <c r="E12" s="123"/>
      <c r="F12" s="132"/>
      <c r="G12" s="129"/>
    </row>
    <row r="13" spans="1:7">
      <c r="A13" s="124"/>
      <c r="B13" s="129"/>
      <c r="C13" s="124"/>
      <c r="D13" s="109" t="s">
        <v>201</v>
      </c>
      <c r="E13" s="124"/>
      <c r="F13" s="133"/>
      <c r="G13" s="130"/>
    </row>
    <row r="14" spans="1:7" ht="15" customHeight="1">
      <c r="A14" s="123">
        <v>5</v>
      </c>
      <c r="B14" s="129"/>
      <c r="C14" s="123" t="s">
        <v>216</v>
      </c>
      <c r="D14" s="106" t="s">
        <v>228</v>
      </c>
      <c r="E14" s="123">
        <v>1600</v>
      </c>
      <c r="F14" s="136" t="s">
        <v>224</v>
      </c>
      <c r="G14" s="129" t="s">
        <v>225</v>
      </c>
    </row>
    <row r="15" spans="1:7" ht="12.75" customHeight="1">
      <c r="A15" s="124"/>
      <c r="B15" s="129"/>
      <c r="C15" s="124"/>
      <c r="D15" s="109" t="s">
        <v>229</v>
      </c>
      <c r="E15" s="124"/>
      <c r="F15" s="133"/>
      <c r="G15" s="130"/>
    </row>
    <row r="16" spans="1:7" ht="15" customHeight="1">
      <c r="A16" s="123">
        <v>6</v>
      </c>
      <c r="B16" s="129"/>
      <c r="C16" s="123" t="s">
        <v>222</v>
      </c>
      <c r="D16" s="112" t="s">
        <v>230</v>
      </c>
      <c r="E16" s="123">
        <v>2000</v>
      </c>
      <c r="F16" s="132" t="s">
        <v>231</v>
      </c>
      <c r="G16" s="129" t="s">
        <v>212</v>
      </c>
    </row>
    <row r="17" spans="1:7" ht="25.5" customHeight="1">
      <c r="A17" s="123"/>
      <c r="B17" s="129"/>
      <c r="C17" s="123"/>
      <c r="D17" s="113" t="s">
        <v>232</v>
      </c>
      <c r="E17" s="123"/>
      <c r="F17" s="132"/>
      <c r="G17" s="129"/>
    </row>
    <row r="18" spans="1:7" ht="31.5" customHeight="1">
      <c r="A18" s="114">
        <v>7</v>
      </c>
      <c r="B18" s="114" t="s">
        <v>208</v>
      </c>
      <c r="C18" s="114" t="s">
        <v>233</v>
      </c>
      <c r="D18" s="114" t="s">
        <v>234</v>
      </c>
      <c r="E18" s="115">
        <v>2500</v>
      </c>
      <c r="F18" s="116" t="s">
        <v>235</v>
      </c>
      <c r="G18" s="120" t="s">
        <v>212</v>
      </c>
    </row>
    <row r="19" spans="1:7" ht="29.25">
      <c r="A19" s="114"/>
      <c r="B19" s="114"/>
      <c r="C19" s="114"/>
      <c r="D19" s="117" t="s">
        <v>236</v>
      </c>
      <c r="E19" s="115"/>
      <c r="F19" s="114"/>
      <c r="G19" s="114"/>
    </row>
    <row r="20" spans="1:7">
      <c r="A20" s="114"/>
      <c r="B20" s="114"/>
      <c r="C20" s="114"/>
      <c r="D20" s="114"/>
      <c r="E20" s="115"/>
      <c r="F20" s="114"/>
      <c r="G20" s="114"/>
    </row>
    <row r="21" spans="1:7">
      <c r="A21" s="114">
        <v>8</v>
      </c>
      <c r="B21" s="114" t="s">
        <v>208</v>
      </c>
      <c r="C21" s="114" t="s">
        <v>209</v>
      </c>
      <c r="D21" s="114" t="s">
        <v>237</v>
      </c>
      <c r="E21" s="114">
        <v>1500</v>
      </c>
      <c r="F21" s="118" t="s">
        <v>238</v>
      </c>
      <c r="G21" s="114" t="s">
        <v>225</v>
      </c>
    </row>
    <row r="22" spans="1:7">
      <c r="A22" s="114"/>
      <c r="B22" s="114"/>
      <c r="C22" s="114"/>
      <c r="D22" s="117" t="s">
        <v>239</v>
      </c>
      <c r="E22" s="114"/>
      <c r="F22" s="114"/>
      <c r="G22" s="114"/>
    </row>
    <row r="23" spans="1:7">
      <c r="A23" s="114"/>
      <c r="B23" s="114"/>
      <c r="C23" s="114"/>
      <c r="D23" s="114"/>
      <c r="E23" s="114"/>
      <c r="F23" s="114"/>
      <c r="G23" s="114"/>
    </row>
    <row r="24" spans="1:7">
      <c r="A24" s="114"/>
      <c r="B24" s="114" t="s">
        <v>208</v>
      </c>
      <c r="C24" s="114" t="s">
        <v>233</v>
      </c>
      <c r="D24" s="114" t="s">
        <v>240</v>
      </c>
      <c r="E24" s="114">
        <v>1500</v>
      </c>
      <c r="F24" s="118" t="s">
        <v>238</v>
      </c>
      <c r="G24" s="119" t="s">
        <v>225</v>
      </c>
    </row>
    <row r="25" spans="1:7">
      <c r="A25" s="114"/>
      <c r="B25" s="114"/>
      <c r="C25" s="114"/>
      <c r="D25" s="117" t="s">
        <v>241</v>
      </c>
      <c r="E25" s="114"/>
      <c r="F25" s="114"/>
      <c r="G25" s="119"/>
    </row>
    <row r="26" spans="1:7">
      <c r="A26" s="114"/>
      <c r="B26" s="114"/>
      <c r="C26" s="114"/>
      <c r="D26" s="114"/>
      <c r="E26" s="114"/>
      <c r="F26" s="114"/>
      <c r="G26" s="119"/>
    </row>
    <row r="27" spans="1:7">
      <c r="A27" s="114"/>
      <c r="B27" s="114" t="s">
        <v>208</v>
      </c>
      <c r="C27" s="114" t="s">
        <v>233</v>
      </c>
      <c r="D27" s="114" t="s">
        <v>242</v>
      </c>
      <c r="E27" s="114">
        <v>1500</v>
      </c>
      <c r="F27" s="118" t="s">
        <v>238</v>
      </c>
      <c r="G27" s="119" t="s">
        <v>218</v>
      </c>
    </row>
    <row r="28" spans="1:7">
      <c r="A28" s="114"/>
      <c r="B28" s="114"/>
      <c r="C28" s="114"/>
      <c r="D28" s="117" t="s">
        <v>241</v>
      </c>
      <c r="E28" s="114"/>
      <c r="F28" s="114"/>
      <c r="G28" s="119"/>
    </row>
    <row r="29" spans="1:7">
      <c r="A29" s="114"/>
      <c r="B29" s="114"/>
      <c r="C29" s="114"/>
      <c r="D29" s="114"/>
      <c r="E29" s="114"/>
      <c r="F29" s="114"/>
      <c r="G29" s="119"/>
    </row>
    <row r="30" spans="1:7">
      <c r="A30" s="114">
        <v>9</v>
      </c>
      <c r="B30" s="114" t="s">
        <v>208</v>
      </c>
      <c r="C30" s="114" t="s">
        <v>209</v>
      </c>
      <c r="D30" s="114" t="s">
        <v>243</v>
      </c>
      <c r="E30" s="115">
        <v>1500</v>
      </c>
      <c r="F30" s="118" t="s">
        <v>238</v>
      </c>
      <c r="G30" s="119" t="s">
        <v>218</v>
      </c>
    </row>
    <row r="31" spans="1:7">
      <c r="A31" s="114"/>
      <c r="B31" s="114"/>
      <c r="C31" s="114"/>
      <c r="D31" s="117" t="s">
        <v>239</v>
      </c>
      <c r="E31" s="114"/>
      <c r="F31" s="114"/>
      <c r="G31" s="114"/>
    </row>
    <row r="32" spans="1:7">
      <c r="A32" s="79"/>
      <c r="B32" s="79"/>
      <c r="C32" s="79"/>
      <c r="D32" s="79"/>
      <c r="E32" s="79"/>
      <c r="F32" s="79"/>
      <c r="G32" s="79"/>
    </row>
  </sheetData>
  <mergeCells count="34">
    <mergeCell ref="F14:F15"/>
    <mergeCell ref="G14:G15"/>
    <mergeCell ref="F16:F17"/>
    <mergeCell ref="G16:G17"/>
    <mergeCell ref="F6:F8"/>
    <mergeCell ref="F11:F13"/>
    <mergeCell ref="G11:G13"/>
    <mergeCell ref="E1:E2"/>
    <mergeCell ref="A6:A8"/>
    <mergeCell ref="B6:B17"/>
    <mergeCell ref="C6:C8"/>
    <mergeCell ref="E6:E8"/>
    <mergeCell ref="A16:A17"/>
    <mergeCell ref="C16:C17"/>
    <mergeCell ref="E16:E17"/>
    <mergeCell ref="A14:A15"/>
    <mergeCell ref="C14:C15"/>
    <mergeCell ref="E14:E15"/>
    <mergeCell ref="F1:F2"/>
    <mergeCell ref="G6:G8"/>
    <mergeCell ref="A11:A13"/>
    <mergeCell ref="C11:C13"/>
    <mergeCell ref="E11:E13"/>
    <mergeCell ref="G1:G2"/>
    <mergeCell ref="A3:A5"/>
    <mergeCell ref="B3:B5"/>
    <mergeCell ref="C3:C5"/>
    <mergeCell ref="E3:E5"/>
    <mergeCell ref="F3:F5"/>
    <mergeCell ref="G3:G5"/>
    <mergeCell ref="A1:A2"/>
    <mergeCell ref="B1:B2"/>
    <mergeCell ref="C1:C2"/>
    <mergeCell ref="D1:D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6802-80A5-414D-BD86-0384EACF943C}">
  <dimension ref="A1:K11"/>
  <sheetViews>
    <sheetView workbookViewId="0">
      <selection activeCell="J2" sqref="J2"/>
    </sheetView>
  </sheetViews>
  <sheetFormatPr defaultRowHeight="15"/>
  <cols>
    <col min="1" max="1" width="6.5703125" customWidth="1"/>
    <col min="2" max="2" width="12.85546875" customWidth="1"/>
    <col min="3" max="3" width="12.5703125" customWidth="1"/>
    <col min="4" max="4" width="15.42578125" customWidth="1"/>
    <col min="5" max="5" width="17.42578125" customWidth="1"/>
    <col min="6" max="6" width="17.5703125" customWidth="1"/>
    <col min="7" max="7" width="14.140625" customWidth="1"/>
    <col min="8" max="8" width="14" customWidth="1"/>
    <col min="9" max="9" width="12.7109375" customWidth="1"/>
    <col min="10" max="10" width="11.5703125" customWidth="1"/>
    <col min="11" max="11" width="15.85546875" customWidth="1"/>
    <col min="12" max="12" width="10.7109375" customWidth="1"/>
  </cols>
  <sheetData>
    <row r="1" spans="1:11" ht="53.25" customHeight="1">
      <c r="A1" s="81" t="s">
        <v>194</v>
      </c>
      <c r="B1" s="82" t="s">
        <v>202</v>
      </c>
      <c r="C1" s="82" t="s">
        <v>244</v>
      </c>
      <c r="D1" s="82" t="s">
        <v>245</v>
      </c>
      <c r="E1" s="82" t="s">
        <v>246</v>
      </c>
      <c r="F1" s="82" t="s">
        <v>247</v>
      </c>
      <c r="G1" s="82" t="s">
        <v>248</v>
      </c>
      <c r="H1" s="82" t="s">
        <v>249</v>
      </c>
      <c r="I1" s="82" t="s">
        <v>250</v>
      </c>
      <c r="J1" s="82" t="s">
        <v>251</v>
      </c>
      <c r="K1" s="82" t="s">
        <v>252</v>
      </c>
    </row>
    <row r="2" spans="1:11" ht="29.25">
      <c r="A2" s="79">
        <v>2</v>
      </c>
      <c r="B2" s="79" t="s">
        <v>208</v>
      </c>
      <c r="C2" s="79" t="s">
        <v>209</v>
      </c>
      <c r="D2" s="79" t="s">
        <v>253</v>
      </c>
      <c r="E2" s="79" t="s">
        <v>254</v>
      </c>
      <c r="F2" s="79" t="s">
        <v>255</v>
      </c>
      <c r="G2" s="79"/>
      <c r="H2" s="84" t="s">
        <v>256</v>
      </c>
      <c r="I2" s="79" t="s">
        <v>257</v>
      </c>
      <c r="J2" s="85" t="s">
        <v>258</v>
      </c>
      <c r="K2" s="79"/>
    </row>
    <row r="3" spans="1:11" ht="29.25">
      <c r="A3" s="79">
        <v>1</v>
      </c>
      <c r="B3" s="79" t="s">
        <v>208</v>
      </c>
      <c r="C3" s="79" t="s">
        <v>209</v>
      </c>
      <c r="D3" s="79" t="s">
        <v>259</v>
      </c>
      <c r="E3" s="79" t="s">
        <v>254</v>
      </c>
      <c r="F3" s="79" t="s">
        <v>255</v>
      </c>
      <c r="G3" s="79"/>
      <c r="H3" s="84" t="s">
        <v>260</v>
      </c>
      <c r="I3" s="79" t="s">
        <v>257</v>
      </c>
      <c r="J3" s="85" t="s">
        <v>258</v>
      </c>
      <c r="K3" s="79"/>
    </row>
    <row r="4" spans="1:11" ht="29.25">
      <c r="A4" s="79">
        <v>1</v>
      </c>
      <c r="B4" s="79" t="s">
        <v>208</v>
      </c>
      <c r="C4" s="79" t="s">
        <v>209</v>
      </c>
      <c r="D4" s="79" t="s">
        <v>261</v>
      </c>
      <c r="E4" s="79" t="s">
        <v>254</v>
      </c>
      <c r="F4" s="79" t="s">
        <v>255</v>
      </c>
      <c r="G4" s="79"/>
      <c r="H4" s="84" t="s">
        <v>262</v>
      </c>
      <c r="I4" s="79" t="s">
        <v>257</v>
      </c>
      <c r="J4" s="85" t="s">
        <v>258</v>
      </c>
      <c r="K4" s="79"/>
    </row>
    <row r="5" spans="1:11" ht="29.25">
      <c r="A5" s="79">
        <v>2</v>
      </c>
      <c r="B5" s="79" t="s">
        <v>208</v>
      </c>
      <c r="C5" s="79" t="s">
        <v>209</v>
      </c>
      <c r="D5" s="79" t="s">
        <v>263</v>
      </c>
      <c r="E5" s="79" t="s">
        <v>254</v>
      </c>
      <c r="F5" s="79" t="s">
        <v>255</v>
      </c>
      <c r="G5" s="79"/>
      <c r="H5" s="84" t="s">
        <v>239</v>
      </c>
      <c r="I5" s="79" t="s">
        <v>257</v>
      </c>
      <c r="J5" s="85" t="s">
        <v>258</v>
      </c>
      <c r="K5" s="79"/>
    </row>
    <row r="6" spans="1:11" ht="29.25">
      <c r="A6" s="79">
        <v>1</v>
      </c>
      <c r="B6" s="79" t="s">
        <v>208</v>
      </c>
      <c r="C6" s="79" t="s">
        <v>209</v>
      </c>
      <c r="D6" s="79" t="s">
        <v>264</v>
      </c>
      <c r="E6" s="79" t="s">
        <v>254</v>
      </c>
      <c r="F6" s="79" t="s">
        <v>255</v>
      </c>
      <c r="G6" s="79"/>
      <c r="H6" s="84" t="s">
        <v>265</v>
      </c>
      <c r="I6" s="79" t="s">
        <v>257</v>
      </c>
      <c r="J6" s="85" t="s">
        <v>258</v>
      </c>
      <c r="K6" s="79"/>
    </row>
    <row r="7" spans="1:11" ht="29.25">
      <c r="A7" s="79">
        <v>2</v>
      </c>
      <c r="B7" s="79" t="s">
        <v>208</v>
      </c>
      <c r="C7" s="79" t="s">
        <v>209</v>
      </c>
      <c r="D7" s="79" t="s">
        <v>266</v>
      </c>
      <c r="E7" s="79" t="s">
        <v>254</v>
      </c>
      <c r="F7" s="79" t="s">
        <v>255</v>
      </c>
      <c r="G7" s="79"/>
      <c r="H7" s="84" t="s">
        <v>267</v>
      </c>
      <c r="I7" s="79" t="s">
        <v>257</v>
      </c>
      <c r="J7" s="85" t="s">
        <v>258</v>
      </c>
      <c r="K7" s="79"/>
    </row>
    <row r="8" spans="1:11" ht="29.25">
      <c r="A8" s="79">
        <v>1</v>
      </c>
      <c r="B8" s="79" t="s">
        <v>208</v>
      </c>
      <c r="C8" s="79" t="s">
        <v>209</v>
      </c>
      <c r="D8" s="79" t="s">
        <v>268</v>
      </c>
      <c r="E8" s="79" t="s">
        <v>254</v>
      </c>
      <c r="F8" s="79" t="s">
        <v>255</v>
      </c>
      <c r="G8" s="79"/>
      <c r="H8" s="84" t="s">
        <v>269</v>
      </c>
      <c r="I8" s="79" t="s">
        <v>257</v>
      </c>
      <c r="J8" s="85" t="s">
        <v>258</v>
      </c>
      <c r="K8" s="79"/>
    </row>
    <row r="9" spans="1:11" ht="29.25">
      <c r="A9" s="79">
        <v>2</v>
      </c>
      <c r="B9" s="79" t="s">
        <v>208</v>
      </c>
      <c r="C9" s="79" t="s">
        <v>270</v>
      </c>
      <c r="D9" s="79" t="s">
        <v>271</v>
      </c>
      <c r="E9" s="79" t="s">
        <v>254</v>
      </c>
      <c r="F9" s="79" t="s">
        <v>255</v>
      </c>
      <c r="G9" s="79"/>
      <c r="H9" s="84" t="s">
        <v>241</v>
      </c>
      <c r="I9" s="79" t="s">
        <v>257</v>
      </c>
      <c r="J9" s="85" t="s">
        <v>258</v>
      </c>
      <c r="K9" s="79"/>
    </row>
    <row r="10" spans="1:11" ht="29.25">
      <c r="A10" s="79">
        <v>2</v>
      </c>
      <c r="B10" s="79" t="s">
        <v>208</v>
      </c>
      <c r="C10" s="79" t="s">
        <v>270</v>
      </c>
      <c r="D10" s="79" t="s">
        <v>272</v>
      </c>
      <c r="E10" s="79" t="s">
        <v>254</v>
      </c>
      <c r="F10" s="79" t="s">
        <v>255</v>
      </c>
      <c r="G10" s="79"/>
      <c r="H10" s="84" t="s">
        <v>273</v>
      </c>
      <c r="I10" s="79" t="s">
        <v>257</v>
      </c>
      <c r="J10" s="85" t="s">
        <v>258</v>
      </c>
      <c r="K10" s="79"/>
    </row>
    <row r="11" spans="1:11" ht="29.25">
      <c r="A11" s="79">
        <v>2</v>
      </c>
      <c r="B11" s="79" t="s">
        <v>208</v>
      </c>
      <c r="C11" s="79" t="s">
        <v>270</v>
      </c>
      <c r="D11" s="79" t="s">
        <v>274</v>
      </c>
      <c r="E11" s="79" t="s">
        <v>254</v>
      </c>
      <c r="F11" s="79" t="s">
        <v>255</v>
      </c>
      <c r="G11" s="79"/>
      <c r="H11" s="84" t="s">
        <v>275</v>
      </c>
      <c r="I11" s="79" t="s">
        <v>257</v>
      </c>
      <c r="J11" s="85" t="s">
        <v>258</v>
      </c>
      <c r="K11" s="7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2393B-8A14-488F-B023-DE4BF26ECF80}">
  <dimension ref="A1:D29"/>
  <sheetViews>
    <sheetView workbookViewId="0">
      <selection activeCell="D30" sqref="D30"/>
    </sheetView>
  </sheetViews>
  <sheetFormatPr defaultRowHeight="15"/>
  <cols>
    <col min="1" max="2" width="18.140625" customWidth="1"/>
    <col min="3" max="3" width="33.28515625" customWidth="1"/>
    <col min="4" max="4" width="25.28515625" customWidth="1"/>
  </cols>
  <sheetData>
    <row r="1" spans="1:4">
      <c r="A1" s="59" t="s">
        <v>276</v>
      </c>
      <c r="B1" s="68" t="s">
        <v>277</v>
      </c>
      <c r="C1" s="60" t="s">
        <v>278</v>
      </c>
      <c r="D1" s="61" t="s">
        <v>279</v>
      </c>
    </row>
    <row r="2" spans="1:4" ht="15.75">
      <c r="A2" s="67" t="s">
        <v>280</v>
      </c>
      <c r="B2" s="69" t="s">
        <v>281</v>
      </c>
      <c r="C2" s="62" t="s">
        <v>282</v>
      </c>
      <c r="D2" s="63" t="s">
        <v>283</v>
      </c>
    </row>
    <row r="3" spans="1:4" ht="15.75">
      <c r="A3" s="67" t="s">
        <v>280</v>
      </c>
      <c r="B3" s="69" t="s">
        <v>281</v>
      </c>
      <c r="C3" s="62" t="s">
        <v>282</v>
      </c>
      <c r="D3" s="63" t="s">
        <v>284</v>
      </c>
    </row>
    <row r="4" spans="1:4" ht="15.75">
      <c r="A4" s="67" t="s">
        <v>280</v>
      </c>
      <c r="B4" s="69" t="s">
        <v>281</v>
      </c>
      <c r="C4" s="62" t="s">
        <v>282</v>
      </c>
      <c r="D4" s="63" t="s">
        <v>285</v>
      </c>
    </row>
    <row r="5" spans="1:4" ht="15.75">
      <c r="A5" s="67" t="s">
        <v>280</v>
      </c>
      <c r="B5" s="69" t="s">
        <v>281</v>
      </c>
      <c r="C5" s="62" t="s">
        <v>282</v>
      </c>
      <c r="D5" s="63" t="s">
        <v>286</v>
      </c>
    </row>
    <row r="6" spans="1:4" ht="15.75">
      <c r="A6" s="67" t="s">
        <v>280</v>
      </c>
      <c r="B6" s="69" t="s">
        <v>281</v>
      </c>
      <c r="C6" s="62" t="s">
        <v>282</v>
      </c>
      <c r="D6" s="63" t="s">
        <v>287</v>
      </c>
    </row>
    <row r="7" spans="1:4" ht="15.75">
      <c r="A7" s="67" t="s">
        <v>280</v>
      </c>
      <c r="B7" s="69" t="s">
        <v>281</v>
      </c>
      <c r="C7" s="62" t="s">
        <v>282</v>
      </c>
      <c r="D7" s="63" t="s">
        <v>288</v>
      </c>
    </row>
    <row r="8" spans="1:4" ht="15.75">
      <c r="A8" s="67" t="s">
        <v>280</v>
      </c>
      <c r="B8" s="69" t="s">
        <v>281</v>
      </c>
      <c r="C8" s="62" t="s">
        <v>282</v>
      </c>
      <c r="D8" s="63" t="s">
        <v>289</v>
      </c>
    </row>
    <row r="9" spans="1:4" ht="15.75">
      <c r="A9" s="67" t="s">
        <v>280</v>
      </c>
      <c r="B9" s="69" t="s">
        <v>281</v>
      </c>
      <c r="C9" s="62" t="s">
        <v>282</v>
      </c>
      <c r="D9" s="63" t="s">
        <v>290</v>
      </c>
    </row>
    <row r="10" spans="1:4" ht="15.75">
      <c r="A10" s="67" t="s">
        <v>280</v>
      </c>
      <c r="B10" s="69" t="s">
        <v>281</v>
      </c>
      <c r="C10" s="62" t="s">
        <v>282</v>
      </c>
      <c r="D10" s="63" t="s">
        <v>291</v>
      </c>
    </row>
    <row r="11" spans="1:4" ht="15.75">
      <c r="A11" s="67" t="s">
        <v>280</v>
      </c>
      <c r="B11" s="69" t="s">
        <v>281</v>
      </c>
      <c r="C11" s="62" t="s">
        <v>282</v>
      </c>
      <c r="D11" s="63" t="s">
        <v>292</v>
      </c>
    </row>
    <row r="12" spans="1:4" ht="15.75">
      <c r="A12" s="67" t="s">
        <v>280</v>
      </c>
      <c r="B12" s="69" t="s">
        <v>281</v>
      </c>
      <c r="C12" s="62" t="s">
        <v>293</v>
      </c>
      <c r="D12" s="63" t="s">
        <v>294</v>
      </c>
    </row>
    <row r="13" spans="1:4" ht="15.75">
      <c r="A13" s="67" t="s">
        <v>280</v>
      </c>
      <c r="B13" s="69" t="s">
        <v>281</v>
      </c>
      <c r="C13" s="62" t="s">
        <v>293</v>
      </c>
      <c r="D13" s="63" t="s">
        <v>295</v>
      </c>
    </row>
    <row r="14" spans="1:4" ht="15.75">
      <c r="A14" s="67" t="s">
        <v>280</v>
      </c>
      <c r="B14" s="69" t="s">
        <v>281</v>
      </c>
      <c r="C14" s="62" t="s">
        <v>293</v>
      </c>
      <c r="D14" s="63" t="s">
        <v>296</v>
      </c>
    </row>
    <row r="15" spans="1:4" ht="15.75">
      <c r="A15" s="67" t="s">
        <v>280</v>
      </c>
      <c r="B15" s="69" t="s">
        <v>281</v>
      </c>
      <c r="C15" s="62" t="s">
        <v>293</v>
      </c>
      <c r="D15" s="63" t="s">
        <v>297</v>
      </c>
    </row>
    <row r="16" spans="1:4" ht="15.75">
      <c r="A16" s="67" t="s">
        <v>280</v>
      </c>
      <c r="B16" s="69" t="s">
        <v>281</v>
      </c>
      <c r="C16" s="62" t="s">
        <v>293</v>
      </c>
      <c r="D16" s="63" t="s">
        <v>298</v>
      </c>
    </row>
    <row r="17" spans="1:4" ht="15.75">
      <c r="A17" s="67" t="s">
        <v>280</v>
      </c>
      <c r="B17" s="69" t="s">
        <v>281</v>
      </c>
      <c r="C17" s="62" t="s">
        <v>293</v>
      </c>
      <c r="D17" s="63" t="s">
        <v>299</v>
      </c>
    </row>
    <row r="18" spans="1:4" ht="15.75">
      <c r="A18" s="67" t="s">
        <v>280</v>
      </c>
      <c r="B18" s="69" t="s">
        <v>281</v>
      </c>
      <c r="C18" s="62" t="s">
        <v>293</v>
      </c>
      <c r="D18" s="63" t="s">
        <v>300</v>
      </c>
    </row>
    <row r="19" spans="1:4" ht="15.75">
      <c r="A19" s="67" t="s">
        <v>280</v>
      </c>
      <c r="B19" s="69" t="s">
        <v>281</v>
      </c>
      <c r="C19" s="62" t="s">
        <v>293</v>
      </c>
      <c r="D19" s="63" t="s">
        <v>301</v>
      </c>
    </row>
    <row r="20" spans="1:4" ht="15.75">
      <c r="A20" s="67" t="s">
        <v>280</v>
      </c>
      <c r="B20" s="69" t="s">
        <v>281</v>
      </c>
      <c r="C20" s="62" t="s">
        <v>293</v>
      </c>
      <c r="D20" s="63" t="s">
        <v>302</v>
      </c>
    </row>
    <row r="21" spans="1:4" ht="15.75">
      <c r="A21" s="67" t="s">
        <v>280</v>
      </c>
      <c r="B21" s="69" t="s">
        <v>281</v>
      </c>
      <c r="C21" s="62" t="s">
        <v>293</v>
      </c>
      <c r="D21" s="63" t="s">
        <v>303</v>
      </c>
    </row>
    <row r="22" spans="1:4" ht="15.75">
      <c r="A22" s="67" t="s">
        <v>280</v>
      </c>
      <c r="B22" s="69" t="s">
        <v>281</v>
      </c>
      <c r="C22" s="62" t="s">
        <v>293</v>
      </c>
      <c r="D22" s="63" t="s">
        <v>304</v>
      </c>
    </row>
    <row r="23" spans="1:4">
      <c r="A23" s="67" t="s">
        <v>305</v>
      </c>
      <c r="B23" s="69" t="s">
        <v>306</v>
      </c>
      <c r="C23" s="62" t="s">
        <v>307</v>
      </c>
      <c r="D23" s="64" t="s">
        <v>308</v>
      </c>
    </row>
    <row r="24" spans="1:4">
      <c r="A24" s="67" t="s">
        <v>305</v>
      </c>
      <c r="B24" s="69" t="s">
        <v>306</v>
      </c>
      <c r="C24" s="62" t="s">
        <v>307</v>
      </c>
      <c r="D24" s="66" t="s">
        <v>263</v>
      </c>
    </row>
    <row r="25" spans="1:4" ht="15.75">
      <c r="A25" s="67" t="s">
        <v>305</v>
      </c>
      <c r="B25" s="69" t="s">
        <v>306</v>
      </c>
      <c r="C25" s="62" t="s">
        <v>307</v>
      </c>
      <c r="D25" s="63" t="s">
        <v>261</v>
      </c>
    </row>
    <row r="26" spans="1:4" ht="15.75">
      <c r="A26" s="67" t="s">
        <v>305</v>
      </c>
      <c r="B26" s="69" t="s">
        <v>306</v>
      </c>
      <c r="C26" s="62" t="s">
        <v>307</v>
      </c>
      <c r="D26" s="63" t="s">
        <v>309</v>
      </c>
    </row>
    <row r="27" spans="1:4" ht="15.75" customHeight="1">
      <c r="A27" s="67" t="s">
        <v>305</v>
      </c>
      <c r="B27" s="69" t="s">
        <v>306</v>
      </c>
      <c r="C27" s="65" t="s">
        <v>310</v>
      </c>
      <c r="D27" s="63" t="s">
        <v>311</v>
      </c>
    </row>
    <row r="28" spans="1:4" ht="15.75">
      <c r="A28" s="67" t="s">
        <v>305</v>
      </c>
      <c r="B28" s="69" t="s">
        <v>306</v>
      </c>
      <c r="C28" s="65" t="s">
        <v>310</v>
      </c>
      <c r="D28" s="63" t="s">
        <v>312</v>
      </c>
    </row>
    <row r="29" spans="1:4" ht="15.75">
      <c r="A29" s="67" t="s">
        <v>305</v>
      </c>
      <c r="B29" s="69" t="s">
        <v>306</v>
      </c>
      <c r="C29" s="65" t="s">
        <v>310</v>
      </c>
      <c r="D29" s="63" t="s">
        <v>313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9EB28-BEF9-4437-A26D-0EB703A43E6B}">
  <dimension ref="A1"/>
  <sheetViews>
    <sheetView topLeftCell="A82" workbookViewId="0">
      <selection activeCell="O105" sqref="O105"/>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c5a8ea-eaed-4de4-a4c1-bb274ab7d611">
      <Terms xmlns="http://schemas.microsoft.com/office/infopath/2007/PartnerControls"/>
    </lcf76f155ced4ddcb4097134ff3c332f>
    <TaxCatchAll xmlns="8dcc6fa3-9f4a-44be-8138-52b0a771460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E7B6247FD234A9D5B6036ABF788CD" ma:contentTypeVersion="13" ma:contentTypeDescription="Create a new document." ma:contentTypeScope="" ma:versionID="b50dc4aa3594d91fde16775b8441a32e">
  <xsd:schema xmlns:xsd="http://www.w3.org/2001/XMLSchema" xmlns:xs="http://www.w3.org/2001/XMLSchema" xmlns:p="http://schemas.microsoft.com/office/2006/metadata/properties" xmlns:ns2="6fc5a8ea-eaed-4de4-a4c1-bb274ab7d611" xmlns:ns3="8dcc6fa3-9f4a-44be-8138-52b0a7714600" targetNamespace="http://schemas.microsoft.com/office/2006/metadata/properties" ma:root="true" ma:fieldsID="1877d62fc6685f2668d5ea3d4d9ea396" ns2:_="" ns3:_="">
    <xsd:import namespace="6fc5a8ea-eaed-4de4-a4c1-bb274ab7d611"/>
    <xsd:import namespace="8dcc6fa3-9f4a-44be-8138-52b0a77146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5a8ea-eaed-4de4-a4c1-bb274ab7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cc6fa3-9f4a-44be-8138-52b0a77146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e6159-c170-46ef-874c-a5c14db90d07}" ma:internalName="TaxCatchAll" ma:showField="CatchAllData" ma:web="8dcc6fa3-9f4a-44be-8138-52b0a77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F36FED-B8AC-4F67-B4A1-BE5E3C48829D}"/>
</file>

<file path=customXml/itemProps2.xml><?xml version="1.0" encoding="utf-8"?>
<ds:datastoreItem xmlns:ds="http://schemas.openxmlformats.org/officeDocument/2006/customXml" ds:itemID="{524F15B7-9142-493A-93EE-C95F6D8E6BD0}"/>
</file>

<file path=customXml/itemProps3.xml><?xml version="1.0" encoding="utf-8"?>
<ds:datastoreItem xmlns:ds="http://schemas.openxmlformats.org/officeDocument/2006/customXml" ds:itemID="{E0170778-1BFC-4B49-B413-172F2D453E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Marrian Gebreselassie</dc:creator>
  <cp:keywords/>
  <dc:description/>
  <cp:lastModifiedBy/>
  <cp:revision/>
  <dcterms:created xsi:type="dcterms:W3CDTF">2025-09-24T11:26:10Z</dcterms:created>
  <dcterms:modified xsi:type="dcterms:W3CDTF">2026-10-18T21:46:07Z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0x0101009E1E7B6247FD234A9D5B6036ABF788CD</vt:lpwstr>
  </property>
  <property fmtid="{D5CDD505-2E9C-101B-9397-08002B2CF9AE}" pid="3" name="MediaServiceImageTags">
    <vt:lpwstr/>
  </property>
</Properties>
</file>