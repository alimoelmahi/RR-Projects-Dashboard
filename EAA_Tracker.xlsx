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undp.sharepoint.com/sites/sudanresilience/Shared Documents/Project Implmentation/EAA/"/>
    </mc:Choice>
  </mc:AlternateContent>
  <xr:revisionPtr revIDLastSave="0" documentId="8_{97359ECC-D70F-4F34-B89C-B3659C71C5C5}" xr6:coauthVersionLast="47" xr6:coauthVersionMax="47" xr10:uidLastSave="{00000000-0000-0000-0000-000000000000}"/>
  <bookViews>
    <workbookView xWindow="32280" yWindow="-120" windowWidth="29040" windowHeight="15720" firstSheet="11" activeTab="11" xr2:uid="{A5BD8065-FCFB-41C7-B808-E4EC71BFB73E}"/>
  </bookViews>
  <sheets>
    <sheet name="Project_FactSheet" sheetId="1" r:id="rId1"/>
    <sheet name="Activity Tracking Sheet" sheetId="10" r:id="rId2"/>
    <sheet name="EAA_Tracker" sheetId="2" r:id="rId3"/>
    <sheet name="Employment_Activities" sheetId="8" r:id="rId4"/>
    <sheet name="DonorComms_EmploymentActs" sheetId="9" r:id="rId5"/>
    <sheet name="EAA_Indicators" sheetId="3" r:id="rId6"/>
    <sheet name="Monthly_Update" sheetId="4" r:id="rId7"/>
    <sheet name="Weekly_Updates" sheetId="5" r:id="rId8"/>
    <sheet name="MediaVisbility_Tracker" sheetId="6" r:id="rId9"/>
    <sheet name="A1.2.1_WaterSources" sheetId="11" r:id="rId10"/>
    <sheet name="A1.2.2_Solar Pumps" sheetId="12" r:id="rId11"/>
    <sheet name="A1.2.4 Community warehouse" sheetId="14" r:id="rId12"/>
    <sheet name="IP_Target Locations" sheetId="13" r:id="rId13"/>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8" i="2" l="1"/>
  <c r="M13" i="3"/>
  <c r="AG3" i="2"/>
  <c r="AF6" i="2"/>
  <c r="AA6" i="2"/>
  <c r="AJ9" i="2"/>
  <c r="Q9" i="2"/>
  <c r="AS21" i="2"/>
  <c r="AS10" i="2"/>
  <c r="AS8" i="2"/>
  <c r="AS4" i="2"/>
  <c r="AS3" i="2"/>
  <c r="AJ21" i="2"/>
  <c r="AF21" i="2"/>
  <c r="AA21" i="2"/>
  <c r="V21" i="2"/>
  <c r="Q21" i="2"/>
  <c r="L21" i="2"/>
  <c r="AA10" i="2"/>
  <c r="V10" i="2"/>
  <c r="Q10" i="2"/>
  <c r="L10" i="2"/>
  <c r="AJ10" i="2"/>
  <c r="AF9" i="2"/>
  <c r="AA9" i="2"/>
  <c r="V9" i="2"/>
  <c r="L9" i="2"/>
  <c r="AF8" i="2"/>
  <c r="AA8" i="2"/>
  <c r="V8" i="2"/>
  <c r="Q8" i="2"/>
  <c r="L8" i="2"/>
  <c r="AJ8" i="2"/>
  <c r="AF7" i="2"/>
  <c r="AA7" i="2"/>
  <c r="V7" i="2"/>
  <c r="L7" i="2"/>
  <c r="AJ7" i="2"/>
  <c r="V6" i="2"/>
  <c r="Q6" i="2"/>
  <c r="L6" i="2"/>
  <c r="AJ6" i="2"/>
  <c r="Q4" i="2"/>
  <c r="AJ4" i="2"/>
  <c r="AF3" i="2"/>
  <c r="AA3" i="2"/>
  <c r="V3" i="2"/>
  <c r="Q3" i="2"/>
  <c r="L3" i="2"/>
  <c r="AJ3" i="2"/>
  <c r="AG21" i="10"/>
  <c r="X21" i="10"/>
  <c r="W21" i="10"/>
  <c r="AG17" i="10"/>
  <c r="W17" i="10"/>
  <c r="AG16" i="10"/>
  <c r="X16" i="10"/>
  <c r="X10" i="10"/>
  <c r="AG9" i="10"/>
  <c r="X9" i="10"/>
  <c r="AG8" i="10"/>
  <c r="X8" i="10"/>
  <c r="W8" i="10"/>
  <c r="AG7" i="10"/>
  <c r="X6" i="10"/>
  <c r="W6" i="10"/>
  <c r="AG5" i="10"/>
  <c r="X5" i="10"/>
  <c r="W5" i="10"/>
  <c r="AG4" i="10"/>
  <c r="X4" i="10"/>
  <c r="W4" i="10"/>
  <c r="AG3" i="10"/>
  <c r="X3" i="10"/>
  <c r="W3" i="10"/>
  <c r="AR21" i="2"/>
  <c r="AR17" i="2"/>
  <c r="AR16" i="2"/>
  <c r="AR9" i="2"/>
  <c r="AR8" i="2"/>
  <c r="AR7" i="2"/>
  <c r="AR5" i="2"/>
  <c r="AR4" i="2"/>
  <c r="AR3" i="2"/>
  <c r="AH21" i="2"/>
  <c r="AG21" i="2"/>
  <c r="AG17" i="2"/>
  <c r="AH16" i="2"/>
  <c r="AH10" i="2"/>
  <c r="AH9" i="2"/>
  <c r="AH8" i="2"/>
  <c r="AG8" i="2"/>
  <c r="AH6" i="2"/>
  <c r="AG6" i="2"/>
  <c r="AH5" i="2"/>
  <c r="AG5" i="2"/>
  <c r="AH4" i="2"/>
  <c r="AG4" i="2"/>
  <c r="AH3" i="2"/>
  <c r="J158" i="3"/>
  <c r="J157" i="3"/>
  <c r="J156" i="3"/>
  <c r="J155" i="3"/>
  <c r="J154" i="3"/>
  <c r="J153" i="3"/>
  <c r="J152" i="3"/>
  <c r="J148" i="3"/>
  <c r="J151" i="3"/>
  <c r="J147" i="3"/>
  <c r="J142" i="3"/>
  <c r="J141" i="3"/>
  <c r="J140" i="3"/>
  <c r="C140" i="3"/>
  <c r="J139" i="3"/>
  <c r="J138" i="3"/>
  <c r="J137" i="3"/>
  <c r="C137" i="3"/>
  <c r="C135" i="3"/>
  <c r="C134" i="3"/>
  <c r="J130" i="3"/>
  <c r="J129" i="3"/>
  <c r="J128" i="3"/>
  <c r="C128" i="3"/>
  <c r="C126" i="3"/>
  <c r="J125" i="3"/>
  <c r="J123" i="3"/>
  <c r="J122" i="3"/>
  <c r="J121" i="3"/>
  <c r="C121" i="3"/>
  <c r="J120" i="3"/>
  <c r="J119" i="3"/>
  <c r="J118" i="3"/>
  <c r="C118" i="3"/>
  <c r="J116" i="3"/>
  <c r="C116" i="3"/>
  <c r="C115" i="3"/>
  <c r="C114" i="3"/>
  <c r="J110" i="3"/>
  <c r="J109" i="3"/>
  <c r="J108" i="3"/>
  <c r="F108" i="3"/>
  <c r="J107" i="3"/>
  <c r="J106" i="3"/>
  <c r="J105" i="3"/>
  <c r="F105" i="3"/>
  <c r="J104" i="3"/>
  <c r="J103" i="3"/>
  <c r="J99" i="3"/>
  <c r="J102" i="3"/>
  <c r="F102" i="3"/>
  <c r="F100" i="3"/>
  <c r="F99" i="3"/>
  <c r="J94" i="3"/>
  <c r="J85" i="3"/>
  <c r="J84" i="3"/>
  <c r="J83" i="3"/>
  <c r="J82" i="3"/>
  <c r="J81" i="3"/>
  <c r="J80" i="3"/>
  <c r="J79" i="3"/>
  <c r="J78" i="3"/>
  <c r="J77" i="3"/>
  <c r="J71" i="3"/>
  <c r="I71" i="3"/>
  <c r="E71" i="3"/>
  <c r="J70" i="3"/>
  <c r="J69" i="3"/>
  <c r="J68" i="3"/>
  <c r="J67" i="3"/>
  <c r="J66" i="3"/>
  <c r="J65" i="3"/>
  <c r="J64" i="3"/>
  <c r="J63" i="3"/>
  <c r="J62" i="3"/>
  <c r="J55" i="3"/>
  <c r="J54" i="3"/>
  <c r="J53" i="3"/>
  <c r="C53" i="3"/>
  <c r="J52" i="3"/>
  <c r="J51" i="3"/>
  <c r="J50" i="3"/>
  <c r="C50" i="3"/>
  <c r="J49" i="3"/>
  <c r="J48" i="3"/>
  <c r="C47" i="3"/>
  <c r="C46" i="3"/>
  <c r="C41" i="3"/>
  <c r="J45" i="3"/>
  <c r="C45" i="3"/>
  <c r="C44" i="3"/>
  <c r="C43" i="3"/>
  <c r="J40" i="3"/>
  <c r="J39" i="3"/>
  <c r="J38" i="3"/>
  <c r="J37" i="3"/>
  <c r="J36" i="3"/>
  <c r="J35" i="3"/>
  <c r="J34" i="3"/>
  <c r="J33" i="3"/>
  <c r="J32" i="3"/>
  <c r="J24" i="3"/>
  <c r="J23" i="3"/>
  <c r="J22" i="3"/>
  <c r="C22" i="3"/>
  <c r="J21" i="3"/>
  <c r="J17" i="3"/>
  <c r="J20" i="3"/>
  <c r="J19" i="3"/>
  <c r="C19" i="3"/>
  <c r="C18" i="3"/>
  <c r="C17" i="3"/>
  <c r="C16" i="3"/>
  <c r="C15" i="3"/>
  <c r="J146" i="3"/>
  <c r="J60" i="3"/>
  <c r="J16" i="3"/>
  <c r="J15" i="3"/>
  <c r="J75" i="3"/>
  <c r="J18" i="3"/>
  <c r="J101" i="3"/>
  <c r="J44" i="3"/>
  <c r="J43" i="3"/>
  <c r="J100" i="3"/>
  <c r="J98" i="3"/>
  <c r="C117" i="3"/>
  <c r="J126" i="3"/>
  <c r="J61" i="3"/>
  <c r="F101" i="3"/>
  <c r="J117" i="3"/>
  <c r="C136" i="3"/>
  <c r="J135" i="3"/>
  <c r="J29" i="3"/>
  <c r="J115" i="3"/>
  <c r="J114" i="3"/>
  <c r="J30" i="3"/>
  <c r="J28" i="3"/>
  <c r="F98" i="3"/>
  <c r="C133" i="3"/>
  <c r="J134" i="3"/>
  <c r="J76" i="3"/>
  <c r="J31" i="3"/>
  <c r="J56" i="3"/>
  <c r="J150" i="3"/>
  <c r="J59" i="3"/>
  <c r="J58" i="3"/>
  <c r="J131" i="3"/>
  <c r="J96" i="3"/>
  <c r="J74" i="3"/>
  <c r="J73" i="3"/>
  <c r="J26" i="3"/>
  <c r="J112" i="3"/>
  <c r="J47" i="3"/>
  <c r="J133" i="3"/>
  <c r="J144" i="3"/>
  <c r="J149" i="3"/>
  <c r="J46" i="3"/>
  <c r="J41" i="3"/>
  <c r="J13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tc={67CB42B4-5C75-47A9-909B-0B0E7753838E}</author>
    <author>tc={F8BB587D-A1AE-4BDF-B948-AE93A5606E7A}</author>
    <author>tc={C8B2FC69-35EB-4B2F-B1EE-E10B9A00AC8D}</author>
    <author>tc={F050C7A7-19B7-4903-98FD-4350DCFD0A4F}</author>
    <author>tc={392504B6-E775-4262-8C5B-4DCECD9D77EC}</author>
    <author>tc={860D7BE9-A531-403F-8CB5-BF8101538380}</author>
    <author>tc={06DDAAE6-98E8-432D-90F0-5C3EF9482971}</author>
    <author>tc={77D612C5-5088-4535-8DB7-E089E96F7578}</author>
    <author>tc={5C5C9095-9FE1-4EF9-AFEF-5DA06B995A4F}</author>
    <author>tc={A6B39C3E-49B2-4B84-854A-7E3FB015C8E3}</author>
  </authors>
  <commentList>
    <comment ref="AG2" authorId="0" shapeId="0" xr:uid="{67CB42B4-5C75-47A9-909B-0B0E7753838E}">
      <text>
        <t xml:space="preserve">[Threaded comment]
Your version of Excel allows you to read this threaded comment; however, any edits to it will get removed if the file is opened in a newer version of Excel. Learn more: https://go.microsoft.com/fwlink/?linkid=870924
Comment:
    What we will report on for the 2nd tranche= Q4_Cum - OctReport_Actual (previously reported)
Now we need to cross-check numbers @Mutaz Elsadig </t>
      </text>
    </comment>
    <comment ref="P5" authorId="1" shapeId="0" xr:uid="{F8BB587D-A1AE-4BDF-B948-AE93A5606E7A}">
      <text>
        <t>[Threaded comment]
Your version of Excel allows you to read this threaded comment; however, any edits to it will get removed if the file is opened in a newer version of Excel. Learn more: https://go.microsoft.com/fwlink/?linkid=870924
Comment:
    5 agricultural associations with 277 members based on Sept programmatic spot-check</t>
      </text>
    </comment>
    <comment ref="J6" authorId="2" shapeId="0" xr:uid="{C8B2FC69-35EB-4B2F-B1EE-E10B9A00AC8D}">
      <text>
        <t xml:space="preserve">[Threaded comment]
Your version of Excel allows you to read this threaded comment; however, any edits to it will get removed if the file is opened in a newer version of Excel. Learn more: https://go.microsoft.com/fwlink/?linkid=870924
Comment:
    @Mutaz Elsadig  how 3100 when the distribution was to ~2400 altogether?
Reply:
    Sorry the upper figurer at the seed distribution column is 3100 not 2100
Rural Kassala: 
Kalhoot villages 600 male farmer and 300 females
Hafrat 400 male farmers and 300 females
Sorghum with 9 tons and pearl millet 2 tons was distributed 
Girba:
Munaba village 300 male and 300 females
Shagrab village 300 male and 300 female 
Sorghum with 6 tons 
various vegetable seeds to 300 Farmers
All these farmers received attend the orientation session
</t>
      </text>
    </comment>
    <comment ref="V6" authorId="3" shapeId="0" xr:uid="{F050C7A7-19B7-4903-98FD-4350DCFD0A4F}">
      <text>
        <t>[Threaded comment]
Your version of Excel allows you to read this threaded comment; however, any edits to it will get removed if the file is opened in a newer version of Excel. Learn more: https://go.microsoft.com/fwlink/?linkid=870924
Comment:
    Assumed 1 session</t>
      </text>
    </comment>
    <comment ref="M8" authorId="4" shapeId="0" xr:uid="{392504B6-E775-4262-8C5B-4DCECD9D77EC}">
      <text>
        <t>[Threaded comment]
Your version of Excel allows you to read this threaded comment; however, any edits to it will get removed if the file is opened in a newer version of Excel. Learn more: https://go.microsoft.com/fwlink/?linkid=870924
Comment:
    Assumed 1 goat/HH - TBC</t>
      </text>
    </comment>
    <comment ref="AA15" authorId="5" shapeId="0" xr:uid="{860D7BE9-A531-403F-8CB5-BF8101538380}">
      <text>
        <t>[Threaded comment]
Your version of Excel allows you to read this threaded comment; however, any edits to it will get removed if the file is opened in a newer version of Excel. Learn more: https://go.microsoft.com/fwlink/?linkid=870924
Comment:
    Six tractors with their implements have been distributed in Kassala and River Nile States, while the four allocated for Gedaref State have not yet been distributed due to accessibility issues in the targeted locations. They are expected to be delivered by the end of October.</t>
      </text>
    </comment>
    <comment ref="AA16" authorId="6" shapeId="0" xr:uid="{06DDAAE6-98E8-432D-90F0-5C3EF9482971}">
      <text>
        <t>[Threaded comment]
Your version of Excel allows you to read this threaded comment; however, any edits to it will get removed if the file is opened in a newer version of Excel. Learn more: https://go.microsoft.com/fwlink/?linkid=870924
Comment:
    These 5 are the first ones established in Gedaref – West Galabat.
The number has increased to reach 22 following the establishment of new CMCs: 5 in Al Fashaga – Gedaref, 2 in Wasat Gedaref, 1 in Gedaref Baladiya, 3 in Halfa – Kassala, 2 in Wad El Hileiw – Kassala, 2 in Girba – Kassala, and 1 in Kurmuta – Kassala.</t>
      </text>
    </comment>
    <comment ref="Z18" authorId="7" shapeId="0" xr:uid="{77D612C5-5088-4535-8DB7-E089E96F7578}">
      <text>
        <t>[Threaded comment]
Your version of Excel allows you to read this threaded comment; however, any edits to it will get removed if the file is opened in a newer version of Excel. Learn more: https://go.microsoft.com/fwlink/?linkid=870924
Comment:
    @Mutaz Elsadig I have not found any reference to this event outside of the report and Sept update ppt. Kindly advise</t>
      </text>
    </comment>
    <comment ref="AA21" authorId="8" shapeId="0" xr:uid="{5C5C9095-9FE1-4EF9-AFEF-5DA06B995A4F}">
      <text>
        <t xml:space="preserve">[Threaded comment]
Your version of Excel allows you to read this threaded comment; however, any edits to it will get removed if the file is opened in a newer version of Excel. Learn more: https://go.microsoft.com/fwlink/?linkid=870924
Comment:
    the total reach 1101 across the states.
for Zenab Organization, groups organized but the activity planned for November. </t>
      </text>
    </comment>
    <comment ref="AE21" authorId="9" shapeId="0" xr:uid="{A6B39C3E-49B2-4B84-854A-7E3FB015C8E3}">
      <text>
        <t>[Threaded comment]
Your version of Excel allows you to read this threaded comment; however, any edits to it will get removed if the file is opened in a newer version of Excel. Learn more: https://go.microsoft.com/fwlink/?linkid=870924
Comment:
    Already reported in Q3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tc={80010EC9-7AF8-43F5-B18E-4EDFD2C4F9C7}</author>
    <author>tc={2A15B12C-B06A-4249-A50B-50EAD067E94A}</author>
    <author>tc={37F19041-7BAC-4A7B-881A-D6606009626A}</author>
    <author>tc={EAE7E115-4B08-4B4A-809E-2A5989463741}</author>
    <author>tc={3D07EB4F-0AEE-4D20-B2D8-94E354889427}</author>
    <author>tc={D0396331-E612-4275-B284-ED38EF86DCD9}</author>
    <author>tc={8D30D642-0DB6-443D-A9A1-6AF23B0BEEA0}</author>
    <author>tc={E209AEA8-26E1-4B55-A410-D086C3EE46BD}</author>
    <author>tc={CFC736F3-181C-40EC-B122-0678800BA3C8}</author>
    <author>tc={F7154AFD-980F-4AB4-BB45-5F0B7EFBA70F}</author>
  </authors>
  <commentList>
    <comment ref="AS2" authorId="0" shapeId="0" xr:uid="{80010EC9-7AF8-43F5-B18E-4EDFD2C4F9C7}">
      <text>
        <t>[Threaded comment]
Your version of Excel allows you to read this threaded comment; however, any edits to it will get removed if the file is opened in a newer version of Excel. Learn more: https://go.microsoft.com/fwlink/?linkid=870924
Comment:
    @Mutaz Elsadig  Is this what you were referring to?
Reply:
    Yes, Marrian</t>
      </text>
    </comment>
    <comment ref="T5" authorId="1" shapeId="0" xr:uid="{2A15B12C-B06A-4249-A50B-50EAD067E94A}">
      <text>
        <t>[Threaded comment]
Your version of Excel allows you to read this threaded comment; however, any edits to it will get removed if the file is opened in a newer version of Excel. Learn more: https://go.microsoft.com/fwlink/?linkid=870924
Comment:
    5 agricultural associations with 277 members based on Sept programmatic spot-check</t>
      </text>
    </comment>
    <comment ref="J6" authorId="2" shapeId="0" xr:uid="{37F19041-7BAC-4A7B-881A-D6606009626A}">
      <text>
        <t xml:space="preserve">[Threaded comment]
Your version of Excel allows you to read this threaded comment; however, any edits to it will get removed if the file is opened in a newer version of Excel. Learn more: https://go.microsoft.com/fwlink/?linkid=870924
Comment:
    @Mutaz Elsadig  how 3100 when the distribution was to ~2400 altogether?
Reply:
    Sorry the upper figurer at the seed distribution column is 3100 not 2100
Rural Kassala: 
Kalhoot villages 600 male farmer and 300 females
Hafrat 400 male farmers and 300 females
Sorghum with 9 tons and pearl millet 2 tons was distributed 
Girba:
Munaba village 300 male and 300 females
Shagrab village 300 male and 300 female 
Sorghum with 6 tons 
various vegetable seeds to 300 Farmers
All these farmers received attend the orientation session
</t>
      </text>
    </comment>
    <comment ref="AD6" authorId="3" shapeId="0" xr:uid="{EAE7E115-4B08-4B4A-809E-2A5989463741}">
      <text>
        <t>[Threaded comment]
Your version of Excel allows you to read this threaded comment; however, any edits to it will get removed if the file is opened in a newer version of Excel. Learn more: https://go.microsoft.com/fwlink/?linkid=870924
Comment:
    Assumed 1 session</t>
      </text>
    </comment>
    <comment ref="O8" authorId="4" shapeId="0" xr:uid="{3D07EB4F-0AEE-4D20-B2D8-94E354889427}">
      <text>
        <t>[Threaded comment]
Your version of Excel allows you to read this threaded comment; however, any edits to it will get removed if the file is opened in a newer version of Excel. Learn more: https://go.microsoft.com/fwlink/?linkid=870924
Comment:
    Assumed 1 goat/HH - TBC</t>
      </text>
    </comment>
    <comment ref="AL15" authorId="5" shapeId="0" xr:uid="{D0396331-E612-4275-B284-ED38EF86DCD9}">
      <text>
        <t>[Threaded comment]
Your version of Excel allows you to read this threaded comment; however, any edits to it will get removed if the file is opened in a newer version of Excel. Learn more: https://go.microsoft.com/fwlink/?linkid=870924
Comment:
    Six tractors with their implements have been distributed in Kassala and River Nile States, while the four allocated for Gedaref State have not yet been distributed due to accessibility issues in the targeted locations. They are expected to be delivered by the end of October.</t>
      </text>
    </comment>
    <comment ref="AL16" authorId="6" shapeId="0" xr:uid="{8D30D642-0DB6-443D-A9A1-6AF23B0BEEA0}">
      <text>
        <t>[Threaded comment]
Your version of Excel allows you to read this threaded comment; however, any edits to it will get removed if the file is opened in a newer version of Excel. Learn more: https://go.microsoft.com/fwlink/?linkid=870924
Comment:
    These 5 are the first ones established in Gedaref – West Galabat.
The number has increased to reach 22 following the establishment of new CMCs: 5 in Al Fashaga – Gedaref, 2 in Wasat Gedaref, 1 in Gedaref Baladiya, 3 in Halfa – Kassala, 2 in Wad El Hileiw – Kassala, 2 in Girba – Kassala, and 1 in Kurmuta – Kassala.</t>
      </text>
    </comment>
    <comment ref="AK18" authorId="7" shapeId="0" xr:uid="{E209AEA8-26E1-4B55-A410-D086C3EE46BD}">
      <text>
        <t>[Threaded comment]
Your version of Excel allows you to read this threaded comment; however, any edits to it will get removed if the file is opened in a newer version of Excel. Learn more: https://go.microsoft.com/fwlink/?linkid=870924
Comment:
    @Mutaz Elsadig I have not found any reference to this event outside of the report and Sept update ppt. Kindly advise</t>
      </text>
    </comment>
    <comment ref="AL21" authorId="8" shapeId="0" xr:uid="{CFC736F3-181C-40EC-B122-0678800BA3C8}">
      <text>
        <t xml:space="preserve">[Threaded comment]
Your version of Excel allows you to read this threaded comment; however, any edits to it will get removed if the file is opened in a newer version of Excel. Learn more: https://go.microsoft.com/fwlink/?linkid=870924
Comment:
    the total reach 1101 across the states.
for Zenab Organization, groups organized but the activity planned for November. </t>
      </text>
    </comment>
    <comment ref="AP21" authorId="9" shapeId="0" xr:uid="{F7154AFD-980F-4AB4-BB45-5F0B7EFBA70F}">
      <text>
        <t>[Threaded comment]
Your version of Excel allows you to read this threaded comment; however, any edits to it will get removed if the file is opened in a newer version of Excel. Learn more: https://go.microsoft.com/fwlink/?linkid=870924
Comment:
    Already reported in Q3</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tc={A8A540B9-7908-4043-B9C3-93834BDAE1DD}</author>
  </authors>
  <commentList>
    <comment ref="F41" authorId="0" shapeId="0" xr:uid="{A8A540B9-7908-4043-B9C3-93834BDAE1DD}">
      <text>
        <t>[Threaded comment]
Your version of Excel allows you to read this threaded comment; however, any edits to it will get removed if the file is opened in a newer version of Excel. Learn more: https://go.microsoft.com/fwlink/?linkid=870924
Comment:
    @Abdalla Ali Abdalla Ibrahim  This is taken from the M&amp;E table we last submitted. Reading the indicator, this should be the number of households not individual beneficiaries? So it should be less than the 9177 individuals who received agro inputs? Another thing is this indicator 1.1.2 is tied to land access so that would be beneficiaries who received access to land which is around 1.4k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tc={302E27B5-20CB-46B5-9094-3C62E3434176}</author>
    <author>tc={69A127F0-C912-4404-A3D9-D822AE844665}</author>
    <author>tc={36517B31-6B54-4F2A-A9A7-492779D3C7DD}</author>
    <author>tc={B7C6692B-99FB-4064-9F12-8240631189CA}</author>
    <author>tc={D883972C-25E0-401C-95D7-7732E603F1CC}</author>
    <author>tc={22C4EA1F-2508-4D8C-8474-2AB63517B11E}</author>
    <author>tc={FDF9A67F-59EE-448C-B16F-4397485ABED8}</author>
    <author>tc={EBA63C6C-48CF-43B2-A518-067A2AF4024E}</author>
    <author>tc={A1D41A04-C1F7-4259-BED8-681143FBD99C}</author>
    <author>tc={FD2F0E1A-681C-4A77-804D-C34585514B54}</author>
  </authors>
  <commentList>
    <comment ref="D4" authorId="0" shapeId="0" xr:uid="{302E27B5-20CB-46B5-9094-3C62E3434176}">
      <text>
        <t>[Threaded comment]
Your version of Excel allows you to read this threaded comment; however, any edits to it will get removed if the file is opened in a newer version of Excel. Learn more: https://go.microsoft.com/fwlink/?linkid=870924
Comment:
    @Abdalla Ali Abdalla Ibrahim see the entire column of Sahari, the whole month of October updates have been about 2 success stories and monitoring project activities. Please let me know their response</t>
      </text>
    </comment>
    <comment ref="D7" authorId="1" shapeId="0" xr:uid="{69A127F0-C912-4404-A3D9-D822AE844665}">
      <text>
        <t>[Threaded comment]
Your version of Excel allows you to read this threaded comment; however, any edits to it will get removed if the file is opened in a newer version of Excel. Learn more: https://go.microsoft.com/fwlink/?linkid=870924
Comment:
    @Mutaz Elsadig  was not sure what to count this under, but put it under the field farmer schools though it was just a training</t>
      </text>
    </comment>
    <comment ref="G7" authorId="2" shapeId="0" xr:uid="{36517B31-6B54-4F2A-A9A7-492779D3C7DD}">
      <text>
        <t>[Threaded comment]
Your version of Excel allows you to read this threaded comment; however, any edits to it will get removed if the file is opened in a newer version of Excel. Learn more: https://go.microsoft.com/fwlink/?linkid=870924
Comment:
    @Mutaz Elsadig / @Mohieldin Aboh  / @Abdalla Ali Abdalla Ibrahim  which activities exactly is PA referring to about incentives?</t>
      </text>
    </comment>
    <comment ref="D9" authorId="3" shapeId="0" xr:uid="{B7C6692B-99FB-4064-9F12-8240631189CA}">
      <text>
        <t>[Threaded comment]
Your version of Excel allows you to read this threaded comment; however, any edits to it will get removed if the file is opened in a newer version of Excel. Learn more: https://go.microsoft.com/fwlink/?linkid=870924
Comment:
    @Mutaz Elsadig Did they share any details of tangible progress made on these linkages?</t>
      </text>
    </comment>
    <comment ref="H11" authorId="4" shapeId="0" xr:uid="{D883972C-25E0-401C-95D7-7732E603F1CC}">
      <text>
        <t>[Threaded comment]
Your version of Excel allows you to read this threaded comment; however, any edits to it will get removed if the file is opened in a newer version of Excel. Learn more: https://go.microsoft.com/fwlink/?linkid=870924
Comment:
    @Mutaz Elsadig  / @Yassir Zahir  for the last 2 week Hagana's update in Gedaref has been about materials being delivered at sites. Kindly advise on the progress of the 3 sites in Gedaref
Reply:
    They started the solar construction which is about 20% of the project</t>
      </text>
    </comment>
    <comment ref="B12" authorId="5" shapeId="0" xr:uid="{22C4EA1F-2508-4D8C-8474-2AB63517B11E}">
      <text>
        <t>[Threaded comment]
Your version of Excel allows you to read this threaded comment; however, any edits to it will get removed if the file is opened in a newer version of Excel. Learn more: https://go.microsoft.com/fwlink/?linkid=870924
Comment:
    @Mutaz Elsadig  Same here, did they share a monitoring report?</t>
      </text>
    </comment>
    <comment ref="C12" authorId="6" shapeId="0" xr:uid="{FDF9A67F-59EE-448C-B16F-4397485ABED8}">
      <text>
        <t>[Threaded comment]
Your version of Excel allows you to read this threaded comment; however, any edits to it will get removed if the file is opened in a newer version of Excel. Learn more: https://go.microsoft.com/fwlink/?linkid=870924
Comment:
    @Mutaz Elsadig the 30 women who planted on the demo plot should be counted as FFS or access to land 1.1.2?</t>
      </text>
    </comment>
    <comment ref="D12" authorId="7" shapeId="0" xr:uid="{EBA63C6C-48CF-43B2-A518-067A2AF4024E}">
      <text>
        <t>[Threaded comment]
Your version of Excel allows you to read this threaded comment; however, any edits to it will get removed if the file is opened in a newer version of Excel. Learn more: https://go.microsoft.com/fwlink/?linkid=870924
Comment:
    @Mutaz Elsadig Did they share a monitoring report? Also are these entrepreneurs small micro-grantees?</t>
      </text>
    </comment>
    <comment ref="E12" authorId="8" shapeId="0" xr:uid="{A1D41A04-C1F7-4259-BED8-681143FBD99C}">
      <text>
        <t>[Threaded comment]
Your version of Excel allows you to read this threaded comment; however, any edits to it will get removed if the file is opened in a newer version of Excel. Learn more: https://go.microsoft.com/fwlink/?linkid=870924
Comment:
    @Mutaz Elsadig what does this mean? How many people/groups were reached and how?
Reply:
    They are five groups</t>
      </text>
    </comment>
    <comment ref="F21" authorId="9" shapeId="0" xr:uid="{FD2F0E1A-681C-4A77-804D-C34585514B54}">
      <text>
        <t>[Threaded comment]
Your version of Excel allows you to read this threaded comment; however, any edits to it will get removed if the file is opened in a newer version of Excel. Learn more: https://go.microsoft.com/fwlink/?linkid=870924
Comment:
    @Mutaz Elsadig CAFA has had no update for the last 3 weeks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tc={5DDD36C6-3779-4858-A732-1BDCE2E84700}</author>
    <author>tc={590AD013-D529-4B6B-B97C-A06456D64643}</author>
    <author>tc={FA9E54B5-C16A-4293-8714-4343A39ED425}</author>
    <author>tc={99218C59-F051-4335-BF88-EBB34F03B6FF}</author>
    <author>tc={C92F0E1F-F29D-45A0-96EA-7B7672F82E4D}</author>
    <author>tc={458A4FF1-DC65-4AC8-8784-F05F31871CA7}</author>
    <author>tc={D03E1B56-ACF9-4AFA-AD3E-08A90E80FED8}</author>
  </authors>
  <commentList>
    <comment ref="E9" authorId="0" shapeId="0" xr:uid="{5DDD36C6-3779-4858-A732-1BDCE2E84700}">
      <text>
        <t>[Threaded comment]
Your version of Excel allows you to read this threaded comment; however, any edits to it will get removed if the file is opened in a newer version of Excel. Learn more: https://go.microsoft.com/fwlink/?linkid=870924
Comment:
    @Mutaz Elsadig  Just to be sure, there are 30 in each VSLA, but only 5 out of each group will be trained?</t>
      </text>
    </comment>
    <comment ref="C10" authorId="1" shapeId="0" xr:uid="{590AD013-D529-4B6B-B97C-A06456D64643}">
      <text>
        <t>[Threaded comment]
Your version of Excel allows you to read this threaded comment; however, any edits to it will get removed if the file is opened in a newer version of Excel. Learn more: https://go.microsoft.com/fwlink/?linkid=870924
Comment:
    @Mutaz Elsadig  The reported is 30 and 170 is planned. The next week, they did not confirm if the 170 farmers in Wad Elhilew were really reached. Please confirm</t>
      </text>
    </comment>
    <comment ref="B14" authorId="2" shapeId="0" xr:uid="{FA9E54B5-C16A-4293-8714-4343A39ED425}">
      <text>
        <t>[Threaded comment]
Your version of Excel allows you to read this threaded comment; however, any edits to it will get removed if the file is opened in a newer version of Excel. Learn more: https://go.microsoft.com/fwlink/?linkid=870924
Comment:
    @Mutaz Elsadig for most of December, all BRDO did was follow on Banat Farm. What about the other activities?</t>
      </text>
    </comment>
    <comment ref="B17" authorId="3" shapeId="0" xr:uid="{99218C59-F051-4335-BF88-EBB34F03B6FF}">
      <text>
        <t xml:space="preserve">[Threaded comment]
Your version of Excel allows you to read this threaded comment; however, any edits to it will get removed if the file is opened in a newer version of Excel. Learn more: https://go.microsoft.com/fwlink/?linkid=870924
Comment:
    @Mutaz Elsadig Assuming these are VSLA groups because of the bank linkages
Reply:
    Yes it is a VSLA
</t>
      </text>
    </comment>
    <comment ref="F18" authorId="4" shapeId="0" xr:uid="{C92F0E1F-F29D-45A0-96EA-7B7672F82E4D}">
      <text>
        <t>[Threaded comment]
Your version of Excel allows you to read this threaded comment; however, any edits to it will get removed if the file is opened in a newer version of Excel. Learn more: https://go.microsoft.com/fwlink/?linkid=870924
Comment:
    @Mutaz Elsadig  for all of December, CAFA have been reporting on just the agricultural associations. Yes, they were established and I received the report. But what about their other ongoing activities?</t>
      </text>
    </comment>
    <comment ref="F21" authorId="5" shapeId="0" xr:uid="{458A4FF1-DC65-4AC8-8784-F05F31871CA7}">
      <text>
        <t>[Threaded comment]
Your version of Excel allows you to read this threaded comment; however, any edits to it will get removed if the file is opened in a newer version of Excel. Learn more: https://go.microsoft.com/fwlink/?linkid=870924
Comment:
    @Mutaz Elsadig CAFA has had no update for the last 3 weeks</t>
      </text>
    </comment>
    <comment ref="D29" authorId="6" shapeId="0" xr:uid="{D03E1B56-ACF9-4AFA-AD3E-08A90E80FED8}">
      <text>
        <t>[Threaded comment]
Your version of Excel allows you to read this threaded comment; however, any edits to it will get removed if the file is opened in a newer version of Excel. Learn more: https://go.microsoft.com/fwlink/?linkid=870924
Comment:
    @Abdalla Ali Abdalla Ibrahim @Mutaz Elsadig  SAHARI has provided the exact same update all of March.</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tc={E3AA34B3-1C0B-4E19-B80A-65B8FCCDA117}</author>
  </authors>
  <commentList>
    <comment ref="E1" authorId="0" shapeId="0" xr:uid="{E3AA34B3-1C0B-4E19-B80A-65B8FCCDA117}">
      <text>
        <t>[Threaded comment]
Your version of Excel allows you to read this threaded comment; however, any edits to it will get removed if the file is opened in a newer version of Excel. Learn more: https://go.microsoft.com/fwlink/?linkid=870924
Comment:
    @Ahmed Adam / @Islam Mohamed please update coordinates
cc: @Mohamed Omer</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tc={BB3B90C4-15D2-4712-A223-51908CDE8516}</author>
    <author>tc={B1277E16-DDEC-47F0-888F-38E6F7F0BBE1}</author>
  </authors>
  <commentList>
    <comment ref="H1" authorId="0" shapeId="0" xr:uid="{BB3B90C4-15D2-4712-A223-51908CDE8516}">
      <text>
        <t>[Threaded comment]
Your version of Excel allows you to read this threaded comment; however, any edits to it will get removed if the file is opened in a newer version of Excel. Learn more: https://go.microsoft.com/fwlink/?linkid=870924
Comment:
    @Ahmed Adam / @Osama Elsammani / @Yassir Zahir please complete</t>
      </text>
    </comment>
    <comment ref="B5" authorId="1" shapeId="0" xr:uid="{B1277E16-DDEC-47F0-888F-38E6F7F0BBE1}">
      <text>
        <t>[Threaded comment]
Your version of Excel allows you to read this threaded comment; however, any edits to it will get removed if the file is opened in a newer version of Excel. Learn more: https://go.microsoft.com/fwlink/?linkid=870924
Comment:
    @Ahmed Adam @Yassir Zahir please fill out the column of the contractor</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tc={F5783C1C-1E14-40D2-B434-E6B762CEF669}</author>
  </authors>
  <commentList>
    <comment ref="G1" authorId="0" shapeId="0" xr:uid="{F5783C1C-1E14-40D2-B434-E6B762CEF669}">
      <text>
        <t>[Threaded comment]
Your version of Excel allows you to read this threaded comment; however, any edits to it will get removed if the file is opened in a newer version of Excel. Learn more: https://go.microsoft.com/fwlink/?linkid=870924
Comment:
    @Ahmed Adam / @Osama Elsammani / @Yassir Zahir please complete
Reply:
    @Yahya Mohammed &amp; @Islam Mohamed and all, gentle reminder</t>
      </text>
    </comment>
  </commentList>
</comments>
</file>

<file path=xl/sharedStrings.xml><?xml version="1.0" encoding="utf-8"?>
<sst xmlns="http://schemas.openxmlformats.org/spreadsheetml/2006/main" count="2623" uniqueCount="1018">
  <si>
    <t>Project Name:</t>
  </si>
  <si>
    <t>Employment and Self-employment through Strengthening Food and Livelihood Security for Conflict-Affected Populations in Sudan</t>
  </si>
  <si>
    <t>Award No:</t>
  </si>
  <si>
    <t>Award No: 1338200 – Silatech/EAA</t>
  </si>
  <si>
    <t>Donor:</t>
  </si>
  <si>
    <t>Education Above All_Qatar Fund for Development</t>
  </si>
  <si>
    <t>Total budget:</t>
  </si>
  <si>
    <t>Start date:</t>
  </si>
  <si>
    <t>End date:</t>
  </si>
  <si>
    <t>Duration:</t>
  </si>
  <si>
    <t>24 months</t>
  </si>
  <si>
    <t>Target locations:</t>
  </si>
  <si>
    <t>Gadaref, Kassala and River Nile</t>
  </si>
  <si>
    <t>Implementing Partners:</t>
  </si>
  <si>
    <t>BRDO, PA, Zenab, Sahari, CAFA</t>
  </si>
  <si>
    <t>Last update to tracker:</t>
  </si>
  <si>
    <t>Kassala</t>
  </si>
  <si>
    <t>Gedaref</t>
  </si>
  <si>
    <t>River Nile</t>
  </si>
  <si>
    <t>Outcome</t>
  </si>
  <si>
    <t>Output</t>
  </si>
  <si>
    <t>Activity</t>
  </si>
  <si>
    <t>PIMS_ToI</t>
  </si>
  <si>
    <t>Output Indicator</t>
  </si>
  <si>
    <t>Target Unit</t>
  </si>
  <si>
    <t>Target</t>
  </si>
  <si>
    <t>BRDO_Target</t>
  </si>
  <si>
    <t>BRDO_Actual_Q3</t>
  </si>
  <si>
    <t>BRDO_CumTotal_Q3</t>
  </si>
  <si>
    <t>PA_Target</t>
  </si>
  <si>
    <t>PA_Actual_Q3</t>
  </si>
  <si>
    <t>PA_CumTotal_Q3</t>
  </si>
  <si>
    <t>SAHARI_Target</t>
  </si>
  <si>
    <t>SAHARI_Actual_Q3</t>
  </si>
  <si>
    <t>SAHARI_CumTotal_Q3</t>
  </si>
  <si>
    <t>Zenab_Target</t>
  </si>
  <si>
    <t>Zenab_Actual_Q3</t>
  </si>
  <si>
    <t>Zenab_CumTotal_Q3</t>
  </si>
  <si>
    <t>CAFA_Target</t>
  </si>
  <si>
    <t>CAFA_Actual_Q3</t>
  </si>
  <si>
    <t>CAFA_CumTotal_Q3</t>
  </si>
  <si>
    <t>IP_contracts</t>
  </si>
  <si>
    <t>IP_Actuals</t>
  </si>
  <si>
    <t>IP_Cum_Actuals_Q3</t>
  </si>
  <si>
    <t>Q1_Actual</t>
  </si>
  <si>
    <t>SeptPPT_Actual</t>
  </si>
  <si>
    <t>OctReport_Actual</t>
  </si>
  <si>
    <t>OctPPT_Update</t>
  </si>
  <si>
    <t>NovPPT_Update</t>
  </si>
  <si>
    <t>DecPPt_Update</t>
  </si>
  <si>
    <t>Q4_Cum</t>
  </si>
  <si>
    <t>2ndTranche_Report</t>
  </si>
  <si>
    <t>Outcome 1: Food Security of 63,500 crisis-affected households improved through increased agriculture and livestock production, access to productive assets and improved storage conditions.</t>
  </si>
  <si>
    <t>Output 1.1: Agricultural and livestock production of 63, 500 vulnerable households (including IDPs, refugees, and host communities) increased through access to inputs, livestock vaccination, climate-smart production, and post-harvest technologies.</t>
  </si>
  <si>
    <t>Activity 1.1.1 Distribute agricultural inputs (seeds, fertilizers, and tools) to 20,000 IDPs and Vulnerable host community households (40% female)</t>
  </si>
  <si>
    <t>Indicator 1.1.1 Number of smallholder farmers who received improved agriculture inputs and land, disaggregated by sex and age.</t>
  </si>
  <si>
    <t>No of farmers (household)</t>
  </si>
  <si>
    <t xml:space="preserve">20000 including 11,500 youth </t>
  </si>
  <si>
    <t>completed in the previous quarter (Q2)</t>
  </si>
  <si>
    <t>15MT of Sorghum + (2MT of Millet) (3100 Farmers)</t>
  </si>
  <si>
    <t>14 MT of Seeds + 750 Tool set. 
3085 F
4 MT WadAhmed, 4 MT Arfaa Gadamak, 4 MT Sesame and 4 MT Lenticular to (2335 Farmers) +  750 Frmers recieved tools</t>
  </si>
  <si>
    <t>12 MT Sorghum, 6.5MT Groundnut (2130 Farmers)
250 completing the ditribution of the groundnut</t>
  </si>
  <si>
    <t>400 farmers (liquid fertilizer and a package of local tools)</t>
  </si>
  <si>
    <t>3000 Farmers( Recieved Seeds)
400 Farmers (Recieved Fertilizer and Tools)</t>
  </si>
  <si>
    <t xml:space="preserve">1056 Farmers (10.56 MT Sorghum)
</t>
  </si>
  <si>
    <t>56 metric tons to over 6000 farmers in Gedaref and Kassala</t>
  </si>
  <si>
    <t>580 liters of liquid fertilizers to 116 farmers</t>
  </si>
  <si>
    <t>93.7 metric tons of improved seeds, 9117 farmers</t>
  </si>
  <si>
    <t>369 - cumulative - 16475</t>
  </si>
  <si>
    <t>200 in KS</t>
  </si>
  <si>
    <t>No Update</t>
  </si>
  <si>
    <t>Activity 1.1.2 Facilitate Access to land by IDPs, Refugees and vulnerable landless groups for agriculture activities for 5000 farmers (40% female)</t>
  </si>
  <si>
    <t>Indicator 1.1.2 Number of target households with increased area under sustainable agriculture production disaggregated by sex and age.</t>
  </si>
  <si>
    <t>325 Women Farmers
(50 Feddans)</t>
  </si>
  <si>
    <t>100 HH
(40 Feddan)</t>
  </si>
  <si>
    <t>75 Farmers
(6.2 Feddan)</t>
  </si>
  <si>
    <t>100 (50 feddans)</t>
  </si>
  <si>
    <t>100 Farmers (50 feddans)</t>
  </si>
  <si>
    <t>897 Farmers
(400 Feddan)</t>
  </si>
  <si>
    <t>1497 farmers
(546.2 feddan)</t>
  </si>
  <si>
    <t>430 fedans was allocated to 250 farmers</t>
  </si>
  <si>
    <t>* 175 female farmers for home gardening
* 486 local made tool-kits supporting home gardening for 236 females and 250 males</t>
  </si>
  <si>
    <t>430 feddans to 1,412 farmers</t>
  </si>
  <si>
    <t>Activity 1.1.3 Establish 18 Agricultural Associations and including about 3000 IDPs, Refugees and host Community Members (40% female)</t>
  </si>
  <si>
    <t>No. of  Associations</t>
  </si>
  <si>
    <t>3 (New Halfa)</t>
  </si>
  <si>
    <r>
      <rPr>
        <b/>
        <sz val="11"/>
        <color rgb="FFFF0000"/>
        <rFont val="Aptos Narrow"/>
        <scheme val="minor"/>
      </rPr>
      <t xml:space="preserve">5 (277 members)
</t>
    </r>
    <r>
      <rPr>
        <b/>
        <strike/>
        <sz val="11"/>
        <color rgb="FFFF0000"/>
        <rFont val="Aptos Narrow"/>
        <scheme val="minor"/>
      </rPr>
      <t>3 (New Halfa)</t>
    </r>
  </si>
  <si>
    <t>5 farmer associations (Western Al Galabat)</t>
  </si>
  <si>
    <t>10 farmer associations (5 in Alfashaga and 5 in West Galabat)</t>
  </si>
  <si>
    <t>5 associations in Gedaref with 150 members</t>
  </si>
  <si>
    <r>
      <rPr>
        <b/>
        <sz val="11"/>
        <color rgb="FFFF0000"/>
        <rFont val="Aptos Narrow"/>
        <family val="2"/>
        <scheme val="minor"/>
      </rPr>
      <t xml:space="preserve">Five (3) </t>
    </r>
    <r>
      <rPr>
        <sz val="11"/>
        <color theme="1"/>
        <rFont val="Aptos Narrow"/>
        <family val="2"/>
        <scheme val="minor"/>
      </rPr>
      <t xml:space="preserve">agricultural associations have received training in New Halfa and Wasat Gedaref, with a total membership of 152  </t>
    </r>
  </si>
  <si>
    <t>4 (300 members)</t>
  </si>
  <si>
    <t>12 Agricultural associations</t>
  </si>
  <si>
    <r>
      <rPr>
        <sz val="11"/>
        <color rgb="FF000000"/>
        <rFont val="Aptos Narrow"/>
        <scheme val="minor"/>
      </rPr>
      <t>12 agricultural associations – 5 in River Nile (Berber and Ad-Damer); 5 in Gedaref (West Galabat); 2 in Gedaref (Bagdad and Umsenibra); *NC-</t>
    </r>
    <r>
      <rPr>
        <b/>
        <sz val="11"/>
        <color rgb="FF00B050"/>
        <rFont val="Aptos Narrow"/>
        <scheme val="minor"/>
      </rPr>
      <t>5 in Kassala (3 in Halfa and 2  in Wadalhliew)</t>
    </r>
  </si>
  <si>
    <t>Activity 1.1.4 Conduct Community-Based agricultural extension services for 20,000 farmers in 6 localities  through Farmer Field Schools in collaboration with the Ministry of Production and the Agricultural Research Stations</t>
  </si>
  <si>
    <t>Indicator 1.1.3 Number of smallholder farmers trained and or educated on new/improved agriculture techniques and technologies.</t>
  </si>
  <si>
    <t>No of Localities</t>
  </si>
  <si>
    <t xml:space="preserve">44 farmers (Sagrab) </t>
  </si>
  <si>
    <t>1Orentation Session at the distribution time (3100 Farmers)
1 (Session on the vegatable crops (44 Farmers)</t>
  </si>
  <si>
    <t>4 sessions (100 farmers)</t>
  </si>
  <si>
    <t>8 sessions (400 Farmers)</t>
  </si>
  <si>
    <t>8 sessions (100 farmers)</t>
  </si>
  <si>
    <t>1 orentation session for (2130 farmers).
8 Sessions to (100 Farmer leads)</t>
  </si>
  <si>
    <r>
      <t xml:space="preserve">1056 (All farmers recieved seeds recieved and </t>
    </r>
    <r>
      <rPr>
        <b/>
        <sz val="11"/>
        <color rgb="FFFF0000"/>
        <rFont val="Aptos Narrow"/>
        <family val="2"/>
        <scheme val="minor"/>
      </rPr>
      <t>orentation ession</t>
    </r>
    <r>
      <rPr>
        <sz val="11"/>
        <color theme="1"/>
        <rFont val="Aptos Narrow"/>
        <family val="2"/>
        <scheme val="minor"/>
      </rPr>
      <t xml:space="preserve"> </t>
    </r>
    <r>
      <rPr>
        <b/>
        <sz val="11"/>
        <color rgb="FFFF0000"/>
        <rFont val="Aptos Narrow"/>
        <family val="2"/>
        <scheme val="minor"/>
      </rPr>
      <t>from the extension focal persons at the distribution time</t>
    </r>
    <r>
      <rPr>
        <sz val="11"/>
        <color theme="1"/>
        <rFont val="Aptos Narrow"/>
        <family val="2"/>
        <scheme val="minor"/>
      </rPr>
      <t>)</t>
    </r>
  </si>
  <si>
    <t>1953 Farmers including those under the access to land activity</t>
  </si>
  <si>
    <t>20 sessions
(5497 farmers)</t>
  </si>
  <si>
    <t xml:space="preserve">Eleven (11) Extension Officers have been appointed to deliver essential extension services </t>
  </si>
  <si>
    <r>
      <t xml:space="preserve">494 participants were reached through </t>
    </r>
    <r>
      <rPr>
        <b/>
        <sz val="11"/>
        <color rgb="FFFF0000"/>
        <rFont val="Aptos Narrow"/>
        <family val="2"/>
        <scheme val="minor"/>
      </rPr>
      <t>Farmer Field Schools</t>
    </r>
    <r>
      <rPr>
        <sz val="11"/>
        <color theme="1"/>
        <rFont val="Aptos Narrow"/>
        <family val="2"/>
        <scheme val="minor"/>
      </rPr>
      <t xml:space="preserve"> and </t>
    </r>
    <r>
      <rPr>
        <b/>
        <sz val="11"/>
        <color rgb="FFFF0000"/>
        <rFont val="Aptos Narrow"/>
        <family val="2"/>
        <scheme val="minor"/>
      </rPr>
      <t>home gardening initiatives</t>
    </r>
    <r>
      <rPr>
        <sz val="11"/>
        <color theme="1"/>
        <rFont val="Aptos Narrow"/>
        <family val="2"/>
        <scheme val="minor"/>
      </rPr>
      <t>, including 218 farmers and 236 women</t>
    </r>
  </si>
  <si>
    <t>more than 8 FFS engaging 670 farmers + 28 on post-harvest training</t>
  </si>
  <si>
    <t>2 FFS in RN</t>
  </si>
  <si>
    <t>FFS in 10 villages reaching 160 farmers in West Galabat and 140 farmers in Al-Fashga</t>
  </si>
  <si>
    <t>32 FFS (2 in RN and 10 in GD + 20 old)</t>
  </si>
  <si>
    <t>32 FFS</t>
  </si>
  <si>
    <t>Activity 1.1.5 Organise 4 session to train 100 Lead Farmers as Trainer of Trainer (TOTs) on Rainwater Harvesting; who will train 5,000 more farmers.</t>
  </si>
  <si>
    <t>Workshop</t>
  </si>
  <si>
    <t>1 (20 lead farmers)</t>
  </si>
  <si>
    <t>1 (20 lead farmers - 6 from Hafrat, 7 from Almunba, and 7 from Shagrap)</t>
  </si>
  <si>
    <t>1 Training (20 Farmers)</t>
  </si>
  <si>
    <r>
      <rPr>
        <sz val="11"/>
        <color rgb="FF000000"/>
        <rFont val="Aptos Narrow"/>
        <scheme val="minor"/>
      </rPr>
      <t xml:space="preserve">3 trainings ( </t>
    </r>
    <r>
      <rPr>
        <b/>
        <sz val="11"/>
        <color rgb="FFFF0000"/>
        <rFont val="Aptos Narrow"/>
        <scheme val="minor"/>
      </rPr>
      <t>90 participants</t>
    </r>
    <r>
      <rPr>
        <sz val="11"/>
        <color rgb="FF000000"/>
        <rFont val="Aptos Narrow"/>
        <scheme val="minor"/>
      </rPr>
      <t>)</t>
    </r>
  </si>
  <si>
    <t>3 Trainings (90 Particpants)</t>
  </si>
  <si>
    <t>20 farmers</t>
  </si>
  <si>
    <r>
      <rPr>
        <sz val="11"/>
        <color rgb="FF000000"/>
        <rFont val="Aptos Narrow"/>
        <scheme val="minor"/>
      </rPr>
      <t>20 farmers (</t>
    </r>
    <r>
      <rPr>
        <b/>
        <sz val="11"/>
        <color rgb="FFFF0000"/>
        <rFont val="Aptos Narrow"/>
        <scheme val="minor"/>
      </rPr>
      <t>all male</t>
    </r>
    <r>
      <rPr>
        <sz val="11"/>
        <color rgb="FF000000"/>
        <rFont val="Aptos Narrow"/>
        <scheme val="minor"/>
      </rPr>
      <t>)</t>
    </r>
  </si>
  <si>
    <t>1 Session (20 Farmer in Barbar)</t>
  </si>
  <si>
    <t>6 trainings
(150 farmers)</t>
  </si>
  <si>
    <t>1 training with 20 lead farmers in Ad Damar, River Nile on rainwater harvesting</t>
  </si>
  <si>
    <t>1 training (20 farmers) in RN</t>
  </si>
  <si>
    <t>1 ToT in Kassale engaging 30 young farmers (18 male, 12 female).</t>
  </si>
  <si>
    <t>7 training sessions</t>
  </si>
  <si>
    <t>Activity 1.1.6 Conduct small ruminant restocking (distribute goats or sheep) to 4000 vulnerable households; 50% female.</t>
  </si>
  <si>
    <t>Indicator 1.1.4 Number of households who received livestock support including restocking and vaccination services, disaggregated by sex and age</t>
  </si>
  <si>
    <t>Goat or sheep</t>
  </si>
  <si>
    <t>800 HH</t>
  </si>
  <si>
    <t>75 HH</t>
  </si>
  <si>
    <t>75 Goats (75 HH) (not recorded in the previous report)</t>
  </si>
  <si>
    <t>50 HH</t>
  </si>
  <si>
    <t>100 Goats 
(50 HH)</t>
  </si>
  <si>
    <t>90 HH</t>
  </si>
  <si>
    <t>100 Goats (100 HH)</t>
  </si>
  <si>
    <t>60 HH (2 goats/HH)</t>
  </si>
  <si>
    <t>60 HH 
(2 goats/HH)</t>
  </si>
  <si>
    <t>445 goats
(335 HH)</t>
  </si>
  <si>
    <t>150 goats procured for vulnerable households in Gedaref, West Galabat</t>
  </si>
  <si>
    <r>
      <rPr>
        <b/>
        <sz val="11"/>
        <color rgb="FFFF0000"/>
        <rFont val="Aptos Narrow"/>
        <family val="2"/>
        <scheme val="minor"/>
      </rPr>
      <t>216 households</t>
    </r>
    <r>
      <rPr>
        <sz val="11"/>
        <color theme="1"/>
        <rFont val="Aptos Narrow"/>
        <family val="2"/>
        <scheme val="minor"/>
      </rPr>
      <t xml:space="preserve"> benefited from livestock distribution, which included 130 households led by females and 86 headed by males</t>
    </r>
  </si>
  <si>
    <t>100 HH (200 goats) in GD</t>
  </si>
  <si>
    <t>48 goats in Gedaref</t>
  </si>
  <si>
    <t>493 goats</t>
  </si>
  <si>
    <r>
      <rPr>
        <sz val="11"/>
        <color rgb="FF000000"/>
        <rFont val="Aptos Narrow"/>
        <scheme val="minor"/>
      </rPr>
      <t xml:space="preserve">Activity 1.1.7 Organise </t>
    </r>
    <r>
      <rPr>
        <b/>
        <sz val="11"/>
        <color rgb="FF000000"/>
        <rFont val="Aptos Narrow"/>
        <scheme val="minor"/>
      </rPr>
      <t>4 training sessions for 200 Youth</t>
    </r>
    <r>
      <rPr>
        <sz val="11"/>
        <color rgb="FF000000"/>
        <rFont val="Aptos Narrow"/>
        <scheme val="minor"/>
      </rPr>
      <t xml:space="preserve"> as qualified Community Animal Workers (CAWs ) and Para Veterinary Workers.</t>
    </r>
  </si>
  <si>
    <t>1 (20 CAWs)</t>
  </si>
  <si>
    <t>117 CAWs</t>
  </si>
  <si>
    <t>3 Sessions (177 Youth)</t>
  </si>
  <si>
    <r>
      <t>1 training (</t>
    </r>
    <r>
      <rPr>
        <b/>
        <sz val="11"/>
        <color rgb="FFFF0000"/>
        <rFont val="Aptos Narrow"/>
        <family val="2"/>
        <scheme val="minor"/>
      </rPr>
      <t>14 CAWs</t>
    </r>
    <r>
      <rPr>
        <sz val="11"/>
        <color theme="1"/>
        <rFont val="Aptos Narrow"/>
        <family val="2"/>
        <scheme val="minor"/>
      </rPr>
      <t>)</t>
    </r>
  </si>
  <si>
    <t>1 Training (14  CAWs)</t>
  </si>
  <si>
    <t>0 (after distribution of goats)</t>
  </si>
  <si>
    <t>20 CAWs</t>
  </si>
  <si>
    <t>1 Training (20 CAWs)</t>
  </si>
  <si>
    <t xml:space="preserve">151 CAWs
(5 trainings)
</t>
  </si>
  <si>
    <t>1 training for 20 CAWs in Ad Damar, River Nile</t>
  </si>
  <si>
    <r>
      <rPr>
        <b/>
        <sz val="11"/>
        <color rgb="FFFF0000"/>
        <rFont val="Aptos Narrow"/>
        <family val="2"/>
        <scheme val="minor"/>
      </rPr>
      <t>244 youth</t>
    </r>
    <r>
      <rPr>
        <sz val="11"/>
        <color theme="1"/>
        <rFont val="Aptos Narrow"/>
        <family val="2"/>
        <scheme val="minor"/>
      </rPr>
      <t xml:space="preserve"> have completed training as Community Animal Workers. 
Kassala:  115 females and 51 males.
Gedaref: 48 females and 30 males.</t>
    </r>
  </si>
  <si>
    <t>20 CAWs in RN</t>
  </si>
  <si>
    <r>
      <rPr>
        <sz val="11"/>
        <color rgb="FF000000"/>
        <rFont val="Aptos Narrow"/>
        <scheme val="minor"/>
      </rPr>
      <t xml:space="preserve">123 CAWs in Kassala </t>
    </r>
    <r>
      <rPr>
        <b/>
        <sz val="11"/>
        <color rgb="FFFF0000"/>
        <rFont val="Aptos Narrow"/>
        <scheme val="minor"/>
      </rPr>
      <t>(51 sensitization by PA)</t>
    </r>
  </si>
  <si>
    <t>35 CAWS in KS and GD</t>
  </si>
  <si>
    <t>309 CAWs</t>
  </si>
  <si>
    <t>Activity 1.1.8 Provide 200 Improved breed male goats for breeding purposes to 200 households</t>
  </si>
  <si>
    <t>Goats</t>
  </si>
  <si>
    <t>100 (40 HH)</t>
  </si>
  <si>
    <t>10 HH</t>
  </si>
  <si>
    <t>16 Male Goats (16 HH)</t>
  </si>
  <si>
    <t>20 HH</t>
  </si>
  <si>
    <t>20 Goats
(20 HH)</t>
  </si>
  <si>
    <t>43 HH</t>
  </si>
  <si>
    <t>48 Male Goats (48 HH)</t>
  </si>
  <si>
    <t>84 goats
(84 HH)</t>
  </si>
  <si>
    <t>50 improved-breed goats distributed in Gedaref</t>
  </si>
  <si>
    <r>
      <t xml:space="preserve">57 male goats, were distributed specifically for breeding purposes - </t>
    </r>
    <r>
      <rPr>
        <b/>
        <sz val="11"/>
        <color rgb="FFFF0000"/>
        <rFont val="Aptos Narrow"/>
        <family val="2"/>
        <scheme val="minor"/>
      </rPr>
      <t>WHERE? Counted under 1.1.6?</t>
    </r>
  </si>
  <si>
    <t>35 HH recieved 35 goats in KS</t>
  </si>
  <si>
    <r>
      <rPr>
        <sz val="11"/>
        <color rgb="FF000000"/>
        <rFont val="Aptos Narrow"/>
        <scheme val="minor"/>
      </rPr>
      <t xml:space="preserve">35 improved buck goats distributed in Halfa and Wadalhliew localities </t>
    </r>
    <r>
      <rPr>
        <b/>
        <sz val="11"/>
        <color rgb="FFFF0000"/>
        <rFont val="Aptos Narrow"/>
        <scheme val="minor"/>
      </rPr>
      <t>(same as last month update)</t>
    </r>
  </si>
  <si>
    <t>119 improved goats</t>
  </si>
  <si>
    <t>Output 1.2 Access of 30,000 vulnerable households to socioeconomic productive assets and infrastructure increased</t>
  </si>
  <si>
    <t>Activity 1.2.1 Establish and or rehabilitate 6 water resources (Water yards, Haffirs, irrigation canals) for irrigation, livestock, and human consumption purposes benefting at least 6,000 people.</t>
  </si>
  <si>
    <t>Indicator 1.2.1 Number and type of water resources rehabilitated and functional</t>
  </si>
  <si>
    <t xml:space="preserve">Water resoucres </t>
  </si>
  <si>
    <t>NA</t>
  </si>
  <si>
    <t>1 water yard rehabilitation procurement initiated (166k)</t>
  </si>
  <si>
    <t>Procurement for 1 water yard ~$166k - 6th water source is counted as rehabilitation of Kalahoot canal** (charged under 1.2.1 &amp; CfW)</t>
  </si>
  <si>
    <t>Procurement</t>
  </si>
  <si>
    <t>??</t>
  </si>
  <si>
    <t>Activity 1.2.2 Provide 10 Solar Water Pumps and Accessories benefiting at least 2000 small holder producers.</t>
  </si>
  <si>
    <t>Solar Pumps &amp; accessories</t>
  </si>
  <si>
    <t>Procurement ongoing 10 solar water pumps (4 in River Nile, 3 in Gedaref, and 3 in Kassala) (150k)</t>
  </si>
  <si>
    <t>Procurement initiated for $150k</t>
  </si>
  <si>
    <t>4 in RN complete; rest pending</t>
  </si>
  <si>
    <t>4 in RN handed over; rest pending</t>
  </si>
  <si>
    <t>Activity 1.2.3 Fabricate, Produce and distribute 1500  Solar Stoves to 1500 vulnerable households to reduce cutting of trees for fuelwood.</t>
  </si>
  <si>
    <t>Indicator 1.2.3 Number of solar cooking stoves provided to communities</t>
  </si>
  <si>
    <t>Solar stove</t>
  </si>
  <si>
    <t>Under review</t>
  </si>
  <si>
    <t>Activity 1.2.4 Construct 5 community warehouses to reduce post harvest losses reaching at least 6000 farmers.</t>
  </si>
  <si>
    <t>Indicator 1.2.2 Number of community warehouses constructed and functioning</t>
  </si>
  <si>
    <t>Community warehouse</t>
  </si>
  <si>
    <t>4 Procurement ongoing (2 in Gedaref, 1 in River Nile, and 1 in Kassala)  (166k)</t>
  </si>
  <si>
    <t>5 as target; initiated procurement for 4 for ~$166k</t>
  </si>
  <si>
    <t>Activity 1.2.5 Provide 10  agricultural machinery including tractors and accessories to associations to increase production for at least 5,000 farmers.</t>
  </si>
  <si>
    <t>Indicator 1.2.4 Number of  farm machinery provided to support agricultural production.</t>
  </si>
  <si>
    <t>Farm machinery</t>
  </si>
  <si>
    <t>10 tractors procurement (4 for Gedaref, 3 for Kassala, and 3 for the River Nile) with accessories (464k)</t>
  </si>
  <si>
    <r>
      <rPr>
        <sz val="11"/>
        <color rgb="FF000000"/>
        <rFont val="Aptos Narrow"/>
        <scheme val="minor"/>
      </rPr>
      <t xml:space="preserve">Tractors distributed in Kassala and River Nile </t>
    </r>
    <r>
      <rPr>
        <b/>
        <sz val="11"/>
        <color rgb="FFFF0000"/>
        <rFont val="Aptos Narrow"/>
        <scheme val="minor"/>
      </rPr>
      <t>(how many?)</t>
    </r>
  </si>
  <si>
    <t>Procurement of 10 tractors completed</t>
  </si>
  <si>
    <t>10 tractors handed over</t>
  </si>
  <si>
    <t xml:space="preserve">Output 1.3 Local communities and civil society empowered to promote livelihood and economic recovery enhanced.		</t>
  </si>
  <si>
    <t>Activity 1.3.1 Establish 12 community management committees (CMCs) including about 500 members to take lead role in project implementation</t>
  </si>
  <si>
    <t xml:space="preserve">Indicator 1.3.1 Number of Community Management Committees (CMCs) established and functional </t>
  </si>
  <si>
    <t>CMCs</t>
  </si>
  <si>
    <t>5 (100 members)</t>
  </si>
  <si>
    <t>5 (114 members)</t>
  </si>
  <si>
    <t>5 (3 in Halfa &amp; 2 in Wad ElHilew - 72 members)</t>
  </si>
  <si>
    <t>3 (Um Sinabra, Bagdad and Abu Alnaga)</t>
  </si>
  <si>
    <t>3 CMC (90 Members)</t>
  </si>
  <si>
    <r>
      <rPr>
        <b/>
        <sz val="11"/>
        <color rgb="FFFF0000"/>
        <rFont val="Aptos Narrow"/>
        <family val="2"/>
        <scheme val="minor"/>
      </rPr>
      <t>10</t>
    </r>
    <r>
      <rPr>
        <sz val="11"/>
        <color theme="1"/>
        <rFont val="Aptos Narrow"/>
        <family val="2"/>
        <scheme val="minor"/>
      </rPr>
      <t xml:space="preserve"> (74 members)</t>
    </r>
  </si>
  <si>
    <t>10 CMCs (74 Members)</t>
  </si>
  <si>
    <t>23 CMCs
(350 members)</t>
  </si>
  <si>
    <t>5 CMCs in Gedaref - planned for KS &amp; RN</t>
  </si>
  <si>
    <r>
      <t xml:space="preserve">5 CMCs with 57 members </t>
    </r>
    <r>
      <rPr>
        <b/>
        <sz val="11"/>
        <color rgb="FFFF0000"/>
        <rFont val="Aptos Narrow"/>
        <family val="2"/>
        <scheme val="minor"/>
      </rPr>
      <t>(Where?new?old?)</t>
    </r>
  </si>
  <si>
    <t>14 CMCs</t>
  </si>
  <si>
    <t>5 CMCs in Kassala (BRDO)(85 community members (59 males and 26 females)</t>
  </si>
  <si>
    <t>Cummulatively 23 CMCs formed</t>
  </si>
  <si>
    <t>Activity 1.3.2 Conduct 7 training workshops for CMCs and other civil society organizations.</t>
  </si>
  <si>
    <t>Indicator 1.3.2 Number of  CMCs trained on community mobilization skills and social cohesion promotion</t>
  </si>
  <si>
    <t>CMC Training workshops</t>
  </si>
  <si>
    <t>1 (all CMCs during establishment)</t>
  </si>
  <si>
    <t>3 sessions for 5 CMCs</t>
  </si>
  <si>
    <r>
      <rPr>
        <b/>
        <sz val="11"/>
        <color rgb="FFFF0000"/>
        <rFont val="Aptos Narrow"/>
        <scheme val="minor"/>
      </rPr>
      <t>3 sessions</t>
    </r>
    <r>
      <rPr>
        <sz val="11"/>
        <color rgb="FF000000"/>
        <rFont val="Aptos Narrow"/>
        <scheme val="minor"/>
      </rPr>
      <t xml:space="preserve"> for 5 CMCs (Um Sinabra, Bagdad and Abu Alnaga)</t>
    </r>
  </si>
  <si>
    <t xml:space="preserve">3 Sessions for establishment had been conducted (90 members) </t>
  </si>
  <si>
    <t>2 trainings (30 participants)</t>
  </si>
  <si>
    <t>2 Trainings (30 Participants)</t>
  </si>
  <si>
    <t>9 trainings
(306 members)</t>
  </si>
  <si>
    <t>14 CMCs trained</t>
  </si>
  <si>
    <t>10 trainings</t>
  </si>
  <si>
    <t>Activity 1.3.3 Organize 7 social forum and events reaching 2000 people</t>
  </si>
  <si>
    <t>Indicator 1.3.3 Number of social forums and peace events organised</t>
  </si>
  <si>
    <t>Social Forums</t>
  </si>
  <si>
    <t>5 youth groups comprising a total of 125 members, including 50 young women and 75 young men</t>
  </si>
  <si>
    <t>1 social event involving five (5) youth groups (established by the project), comprising 125 members (50 women and 75 men)</t>
  </si>
  <si>
    <t>???</t>
  </si>
  <si>
    <t>No update</t>
  </si>
  <si>
    <t xml:space="preserve">OUTCOME 2:  Financial capacity of vulnerable households improved through access to micro grants, temporal labor-intensive employment, innovative credit schemes and market access.  	</t>
  </si>
  <si>
    <t>Output 2.1 Income-generating and labor-intensive employment opportunities created for 4500 vulnerable households.</t>
  </si>
  <si>
    <t>Activity 2.1.1 Provide 15 micro-grants to vulnerable groups and associations of approximately 800 members to undertake small business and Income-generation ventures.</t>
  </si>
  <si>
    <t xml:space="preserve">Indicator 2.1.2 Number of micro-grants provided disaggregated by types of enterprises and sex of owners. </t>
  </si>
  <si>
    <t>Micro-grants</t>
  </si>
  <si>
    <t>3 (90 members)</t>
  </si>
  <si>
    <t>8 micro-grants in KS (180 members,166 women)</t>
  </si>
  <si>
    <t>Activity 2.1.2 Establish 17 Savings and Lending schemes including 1000 vulnerable IDPs and host community member (85% female).</t>
  </si>
  <si>
    <t>Indicator 2.1.1 Number of Voluntary Savings and Loans Associations (VSLAs) established that are functional.</t>
  </si>
  <si>
    <t>No of Saving / Lending scheme</t>
  </si>
  <si>
    <t>5 (150 members)</t>
  </si>
  <si>
    <t>3 (90 member)</t>
  </si>
  <si>
    <t>3 (90 Members)</t>
  </si>
  <si>
    <t>3 VLSAs
(90 members)</t>
  </si>
  <si>
    <t>6 VSLAs (PA)(150 members (126 female, 24 male))</t>
  </si>
  <si>
    <t>10 VSLAs in GD and KS (SAHARI,BRDO)</t>
  </si>
  <si>
    <t>5 VSLAs in Al-Fashaqa; trained 25 women leaders (ZENAB)</t>
  </si>
  <si>
    <t>Activity 2.1.3 Organize emergency employment initiatives through Cash for Work for 2500 people.</t>
  </si>
  <si>
    <t>Indictor 2.1.3 Number of  young people participating in Cash for Work activities disagregated by gender and by age group.</t>
  </si>
  <si>
    <t>Number of beneficiaries</t>
  </si>
  <si>
    <t>249 (Kalahoot)</t>
  </si>
  <si>
    <t xml:space="preserve">1 Activity (3 Days Cleaning Cannal Campaign involved 249 Ben.) - Not Recorded in the previous report  </t>
  </si>
  <si>
    <t>1 Activity (229)</t>
  </si>
  <si>
    <t>250 Youth (125 in Alfashaga + 125 in West Galabat)</t>
  </si>
  <si>
    <r>
      <rPr>
        <b/>
        <sz val="11"/>
        <color rgb="FFFF0000"/>
        <rFont val="Aptos Narrow"/>
        <scheme val="minor"/>
      </rPr>
      <t xml:space="preserve">123 (123 in El damer </t>
    </r>
    <r>
      <rPr>
        <b/>
        <strike/>
        <sz val="11"/>
        <color rgb="FFFF0000"/>
        <rFont val="Aptos Narrow"/>
        <scheme val="minor"/>
      </rPr>
      <t>+ 125 in Barber</t>
    </r>
    <r>
      <rPr>
        <b/>
        <sz val="11"/>
        <color rgb="FFFF0000"/>
        <rFont val="Aptos Narrow"/>
        <scheme val="minor"/>
      </rPr>
      <t>)</t>
    </r>
  </si>
  <si>
    <r>
      <rPr>
        <sz val="11"/>
        <color rgb="FF000000"/>
        <rFont val="Aptos Narrow"/>
        <scheme val="minor"/>
      </rPr>
      <t>250 youth in Kassala CfW - Kalahoot canal (</t>
    </r>
    <r>
      <rPr>
        <b/>
        <sz val="11"/>
        <color rgb="FFFF0000"/>
        <rFont val="Aptos Narrow"/>
        <scheme val="minor"/>
      </rPr>
      <t>53 F</t>
    </r>
    <r>
      <rPr>
        <sz val="11"/>
        <color rgb="FF000000"/>
        <rFont val="Aptos Narrow"/>
        <scheme val="minor"/>
      </rPr>
      <t>; 197 M - partner reports 249)</t>
    </r>
  </si>
  <si>
    <t>810 youth received employment, including 125 youth who received temporary employment under cash-for-work program</t>
  </si>
  <si>
    <t>371 total (275 youth) in Kalahoot CfW in KS &amp; GD</t>
  </si>
  <si>
    <t>250 in Gedaref (West Galabat &amp; Alfashaga)(ZENAB)</t>
  </si>
  <si>
    <t>Activity 2.1.4 Facilitate access to credit for associations, small businesses and other vulnerable groups.</t>
  </si>
  <si>
    <t>No of meetings/Events</t>
  </si>
  <si>
    <t>Pending harvest</t>
  </si>
  <si>
    <t>Output 2.2 Smallholder producers, associations and enterprises supported to broker linkages and access markets.</t>
  </si>
  <si>
    <t>Activity 2.2.1 Organize 6 market fairs to connect producers and buyers.</t>
  </si>
  <si>
    <t>Indicator 2.2.2 Number of agricultural fairs and bazars organised.</t>
  </si>
  <si>
    <t xml:space="preserve">No of Market Fairs </t>
  </si>
  <si>
    <t>Activity 2.2.2 Facilitate linkages with private sector and other value chain stakeholders (such as retailers, exporters, domestic traders, WFP etc.).</t>
  </si>
  <si>
    <t>Indicator 2.2.3 Percentage (%) of target smallholders who reported that finding markets to sell their products was easy.</t>
  </si>
  <si>
    <t>No of meetings/Eevnts</t>
  </si>
  <si>
    <t>Activity 2.2.3 Organize 3 trainings on market access strategies to small holder farmers, small and micro enterprises benefiting at least 500 smallholder producers.</t>
  </si>
  <si>
    <t>Indicator 2.2.1 Number of target beneficiaries trained on market access strategies disagregated by sex and age.</t>
  </si>
  <si>
    <t xml:space="preserve">Traning on market access </t>
  </si>
  <si>
    <t>BRDO_D1+D2</t>
  </si>
  <si>
    <t>BRDO_Actual_Q4</t>
  </si>
  <si>
    <t>PA_D1+D2</t>
  </si>
  <si>
    <t>PA_Actual_Q4</t>
  </si>
  <si>
    <t>SAHARI_D1+D2</t>
  </si>
  <si>
    <t>SAHARI_Actual_Q4</t>
  </si>
  <si>
    <t>Zenab_D1+D2</t>
  </si>
  <si>
    <t>Zenab_Actual_Q4</t>
  </si>
  <si>
    <t>CAFA_D1+D2</t>
  </si>
  <si>
    <t>CAFA_Actual_Q4</t>
  </si>
  <si>
    <t>IP_Actuals_Q3</t>
  </si>
  <si>
    <t>IP_Q4_Database_Actuals</t>
  </si>
  <si>
    <t>ian</t>
  </si>
  <si>
    <t>2267+100</t>
  </si>
  <si>
    <t>2333+200</t>
  </si>
  <si>
    <t>1201+162</t>
  </si>
  <si>
    <t>2976+0</t>
  </si>
  <si>
    <t>0+1610</t>
  </si>
  <si>
    <t>100+0</t>
  </si>
  <si>
    <t>44+0</t>
  </si>
  <si>
    <t>300+0</t>
  </si>
  <si>
    <t>248+0</t>
  </si>
  <si>
    <t>0+294</t>
  </si>
  <si>
    <t>0+61</t>
  </si>
  <si>
    <t>20+0</t>
  </si>
  <si>
    <t>90+0</t>
  </si>
  <si>
    <t>Above target by 50</t>
  </si>
  <si>
    <t>70+0</t>
  </si>
  <si>
    <t>50+0</t>
  </si>
  <si>
    <t>60+0</t>
  </si>
  <si>
    <t>117+23</t>
  </si>
  <si>
    <t>0+15</t>
  </si>
  <si>
    <t>14+0</t>
  </si>
  <si>
    <t>0+20</t>
  </si>
  <si>
    <t>Above target by 9</t>
  </si>
  <si>
    <t>6+0</t>
  </si>
  <si>
    <t>0+35</t>
  </si>
  <si>
    <t>48+0</t>
  </si>
  <si>
    <t xml:space="preserve">Water resources </t>
  </si>
  <si>
    <t>249+0</t>
  </si>
  <si>
    <t>250+0</t>
  </si>
  <si>
    <t>229+0</t>
  </si>
  <si>
    <t>122+0</t>
  </si>
  <si>
    <t>Activities for Employment Count</t>
  </si>
  <si>
    <t>Are all names here already in agricultural input recipients?</t>
  </si>
  <si>
    <t>**Abdalla/Mutaz average income??</t>
  </si>
  <si>
    <t>* CAREFUL TO NOT DOUBLE COUNT WITH OVERLAPPING ACTIVITIES</t>
  </si>
  <si>
    <t>* Feddans/harvest to estimate income per month to have complete beneficiary data; should not be below average minimum wage</t>
  </si>
  <si>
    <t>Activity 1.1.7 Organise 4 training sessions for 200 Youth as qualified Community Animal Workers (CAWs ) and Para Veterinary Workers.</t>
  </si>
  <si>
    <t> </t>
  </si>
  <si>
    <t>Employment Mechanism and Targets for Young People ( 18-35 years )</t>
  </si>
  <si>
    <t>1. Mechanism of employment and self-employment of young people:
a). Agriculture Production including Fisheries (Providing Inputs, Market Acess)
b). Livestock Production (Breeding, Restocking)
c).  Small Grants
d). Voluntary Savings and Lending
e). Emergency Employment (Cash for Work)
f) . Access to Credit and Markets</t>
  </si>
  <si>
    <t>2. Clear targets on the activities which we perceive as employment/self-employment activities:</t>
  </si>
  <si>
    <t>Project Target Beneficiaries</t>
  </si>
  <si>
    <t>Category</t>
  </si>
  <si>
    <t>Young Pepeole (18-35 years)</t>
  </si>
  <si>
    <t>Total</t>
  </si>
  <si>
    <t>Remarks</t>
  </si>
  <si>
    <t>Areas of Empployment</t>
  </si>
  <si>
    <t>Sustainable Employment</t>
  </si>
  <si>
    <t xml:space="preserve"> Medium Term Employed</t>
  </si>
  <si>
    <t>Self-Employed</t>
  </si>
  <si>
    <t>Self-Employed Freelancer</t>
  </si>
  <si>
    <t>Agric</t>
  </si>
  <si>
    <t>Livesctock</t>
  </si>
  <si>
    <t>Others</t>
  </si>
  <si>
    <t>Activity 1.1.1: Distribute agricultural inputs (seeds, fertilizers, and tools) to 20,000 IDPs and Vulnerable host community households (40% female)</t>
  </si>
  <si>
    <t>Direct</t>
  </si>
  <si>
    <t>Activity 1.1.2: Facilitate Access to land by IDPs, Refugees and vulnerable landless groups for agriculture activities for 5,000 farmers (40% female).</t>
  </si>
  <si>
    <t>Indirect</t>
  </si>
  <si>
    <t xml:space="preserve"> -   </t>
  </si>
  <si>
    <t>Part of the 16,000 in 1.1.1</t>
  </si>
  <si>
    <t>Activity 1.1.11: Provide 75 tons of pasture seeds to 4,000 households</t>
  </si>
  <si>
    <t>Part of 1.1.7 and 1..1.9</t>
  </si>
  <si>
    <t xml:space="preserve">Activity 1.1.9: Provide 200 Improved breed male goats for breeding purposes to 200 households </t>
  </si>
  <si>
    <t xml:space="preserve">Activity 1.1.7: Conduct small ruminant restocking (distribute goats or sheep) to 4000 vulnerable households; 50% female. </t>
  </si>
  <si>
    <t>Activity 1.1.8:  Organise 4 training sessions for 200 Youth as qualified Community Animal Workers (CAWs ) and Para Veterinary Workers.</t>
  </si>
  <si>
    <t>Activity 1.2.1: Establish and or rehabilitate  6 water resources (Water yards, Haffirs, irrigation canals) for irrigation, livestock, and human consumption purposes beneting at least  6,000 people.</t>
  </si>
  <si>
    <t>These are the number of people who will obtain temporal skilled and unskilled employment opportuniies duringeth construction and rehabilitation process</t>
  </si>
  <si>
    <t xml:space="preserve">Activity 1.2.5: Provide 10 agricultural machinery including tractors and accessories to associations to increase production for at least 10,000 farmers. </t>
  </si>
  <si>
    <t>Activity 2.1.1: Provide 15 micro-grants to vulnerable groups and associations of approximately 800 members to undertake small business and Income-generation ventures  (Microgrants can be counted as self-employment and the 800 jobs as employment.)</t>
  </si>
  <si>
    <t xml:space="preserve"> </t>
  </si>
  <si>
    <t xml:space="preserve">Activity 2.1.3: Organize emergency employment initiatives through Cash for Work for 2,500 people. </t>
  </si>
  <si>
    <t>Mainly temporal labour-intensive employement.</t>
  </si>
  <si>
    <t>Activity 1.2.2: Provide 10 Solar Water Pumps and Accessories benefiting at least 2000 small holder producers.</t>
  </si>
  <si>
    <t xml:space="preserve"> Activity 2.1.4: Facilitate access to credit for associations, small businesses and other vulnerable groups</t>
  </si>
  <si>
    <t>Total Estimate</t>
  </si>
  <si>
    <t xml:space="preserve">a. Medium Term Employment: Employment of 3-12 months, working 20+ hours/week, earning above the minimum wage in the country of employment </t>
  </si>
  <si>
    <t xml:space="preserve">b. Sustainable Employment: Employment of a minimum of 12 months, working 20+ hours/week, earning above the minimum wage in the country of employment </t>
  </si>
  <si>
    <t xml:space="preserve">c. Self-Employment: Leading an income generating activity for a minimum of 6 months as a result of receipt of a loan/ grant through the project </t>
  </si>
  <si>
    <t>d. Self-Employed Freelancer: Freelancer with the tools/means and training in specialized highly requested freelancing services, with access to the right platform to offer his/her services for a minimum of one month.</t>
  </si>
  <si>
    <t>Version Date</t>
  </si>
  <si>
    <t>Partner Organisation: UNDP SUDAN</t>
  </si>
  <si>
    <t>UNDP</t>
  </si>
  <si>
    <t>MONITORING INDICATORS</t>
  </si>
  <si>
    <t>Year 1 Total</t>
  </si>
  <si>
    <t>Year 2 Total</t>
  </si>
  <si>
    <t>LOP</t>
  </si>
  <si>
    <t>Comment</t>
  </si>
  <si>
    <t>Indicator number</t>
  </si>
  <si>
    <t>Indicator</t>
  </si>
  <si>
    <t>Base Value</t>
  </si>
  <si>
    <t xml:space="preserve"> Base Value Data Source</t>
  </si>
  <si>
    <t>Y1 Total Target</t>
  </si>
  <si>
    <t>Actual FY1_June_Value</t>
  </si>
  <si>
    <t>Deviation Narrative</t>
  </si>
  <si>
    <t>Actual_FY1_Jan_Value</t>
  </si>
  <si>
    <t>Y2 Total Target</t>
  </si>
  <si>
    <t>LOP Total Target</t>
  </si>
  <si>
    <t xml:space="preserve">GOAL/IMPACT: Peace, stability and economic recovery in conflict-affected communities enhanced among 100,500 vulnerable households through integrated food security and livelihood interventions in Sudan including the employment and self-employment of 17,700 young persons. </t>
  </si>
  <si>
    <t>Indicator 1</t>
  </si>
  <si>
    <t>Number and percentage (%) of target population with improved household food security, based on Food Insecurity Experience Scale (FIES)</t>
  </si>
  <si>
    <t>42% food insecure; 58% food secure</t>
  </si>
  <si>
    <t>IPC
HRP</t>
  </si>
  <si>
    <t>65% of target beneficiaries food secure</t>
  </si>
  <si>
    <t>85% of target beneficiaries food secure</t>
  </si>
  <si>
    <t>OUTCOME 1 Food Security of 63,500 crisis-affected households improved through increased agriculture and livestock production, access to productive assets and improved storage conditions.</t>
  </si>
  <si>
    <t>Indicator 1.1:</t>
  </si>
  <si>
    <t>Number and percentage (%) of target smallholder farmers with increased productivity per hectare by sex, by age.</t>
  </si>
  <si>
    <r>
      <rPr>
        <b/>
        <sz val="10"/>
        <color rgb="FF000000"/>
        <rFont val="Aptos"/>
        <family val="2"/>
      </rPr>
      <t>Adult</t>
    </r>
    <r>
      <rPr>
        <sz val="10"/>
        <color rgb="FF000000"/>
        <rFont val="Aptos"/>
        <family val="2"/>
      </rPr>
      <t xml:space="preserve">
Female: 7,457
Male: 7,128
</t>
    </r>
    <r>
      <rPr>
        <b/>
        <sz val="10"/>
        <color rgb="FF000000"/>
        <rFont val="Aptos"/>
        <family val="2"/>
      </rPr>
      <t>Youth</t>
    </r>
    <r>
      <rPr>
        <sz val="10"/>
        <color rgb="FF000000"/>
        <rFont val="Aptos"/>
        <family val="2"/>
      </rPr>
      <t xml:space="preserve">
Female: 4,000
Male: 5,000</t>
    </r>
  </si>
  <si>
    <t>(IPC, HRP)</t>
  </si>
  <si>
    <r>
      <rPr>
        <b/>
        <sz val="10"/>
        <color rgb="FF000000"/>
        <rFont val="Aptos"/>
        <family val="2"/>
      </rPr>
      <t>Adult</t>
    </r>
    <r>
      <rPr>
        <sz val="10"/>
        <color rgb="FF000000"/>
        <rFont val="Aptos"/>
        <family val="2"/>
      </rPr>
      <t xml:space="preserve">
Female: 3,000 Male: 4,000
</t>
    </r>
    <r>
      <rPr>
        <b/>
        <sz val="10"/>
        <color rgb="FF000000"/>
        <rFont val="Aptos"/>
        <family val="2"/>
      </rPr>
      <t>Youth</t>
    </r>
    <r>
      <rPr>
        <sz val="10"/>
        <color rgb="FF000000"/>
        <rFont val="Aptos"/>
        <family val="2"/>
      </rPr>
      <t xml:space="preserve">
Female: 2,000; Male: 2,000</t>
    </r>
  </si>
  <si>
    <t>To be reported annually</t>
  </si>
  <si>
    <t xml:space="preserve">The farming season started in August 2025. UNDP will conduct a survey to measure the outcome indicators in December 2025 after the farming season. The outcome level indicators will be measured through output which is yet to be completed. </t>
  </si>
  <si>
    <r>
      <rPr>
        <b/>
        <sz val="10"/>
        <color rgb="FF000000"/>
        <rFont val="Aptos"/>
        <family val="2"/>
      </rPr>
      <t xml:space="preserve">Adult
</t>
    </r>
    <r>
      <rPr>
        <sz val="10"/>
        <color rgb="FF000000"/>
        <rFont val="Aptos"/>
        <family val="2"/>
      </rPr>
      <t xml:space="preserve">Female: 2,000
Male: 3,000
</t>
    </r>
    <r>
      <rPr>
        <b/>
        <sz val="10"/>
        <color rgb="FF000000"/>
        <rFont val="Aptos"/>
        <family val="2"/>
      </rPr>
      <t xml:space="preserve">Youth
</t>
    </r>
    <r>
      <rPr>
        <sz val="10"/>
        <color rgb="FF000000"/>
        <rFont val="Aptos"/>
        <family val="2"/>
      </rPr>
      <t>Female: 2,000
Male: 2,000</t>
    </r>
  </si>
  <si>
    <r>
      <rPr>
        <b/>
        <sz val="10"/>
        <color rgb="FF000000"/>
        <rFont val="Aptos"/>
        <family val="2"/>
      </rPr>
      <t>Adult</t>
    </r>
    <r>
      <rPr>
        <sz val="10"/>
        <color rgb="FF000000"/>
        <rFont val="Aptos"/>
        <family val="2"/>
      </rPr>
      <t xml:space="preserve">
Female: 5,000 
Male 7,000
</t>
    </r>
    <r>
      <rPr>
        <b/>
        <sz val="10"/>
        <color rgb="FF000000"/>
        <rFont val="Aptos"/>
        <family val="2"/>
      </rPr>
      <t>Youth</t>
    </r>
    <r>
      <rPr>
        <sz val="10"/>
        <color rgb="FF000000"/>
        <rFont val="Aptos"/>
        <family val="2"/>
      </rPr>
      <t xml:space="preserve">
Female: 4,000; 
Male: 4,000</t>
    </r>
  </si>
  <si>
    <t>Indicator 1.2:</t>
  </si>
  <si>
    <t xml:space="preserve"> % of target households with reduction in post-harvest losses.		</t>
  </si>
  <si>
    <r>
      <rPr>
        <b/>
        <sz val="10"/>
        <color rgb="FF000000"/>
        <rFont val="Aptos"/>
        <family val="2"/>
      </rPr>
      <t>Adult</t>
    </r>
    <r>
      <rPr>
        <sz val="10"/>
        <color rgb="FF000000"/>
        <rFont val="Aptos"/>
        <family val="2"/>
      </rPr>
      <t xml:space="preserve">
Female: 0
Male: 0
</t>
    </r>
    <r>
      <rPr>
        <b/>
        <sz val="10"/>
        <color rgb="FF000000"/>
        <rFont val="Aptos"/>
        <family val="2"/>
      </rPr>
      <t>Youth</t>
    </r>
    <r>
      <rPr>
        <sz val="10"/>
        <color rgb="FF000000"/>
        <rFont val="Aptos"/>
        <family val="2"/>
      </rPr>
      <t xml:space="preserve">
Female: 0
Male: 0</t>
    </r>
  </si>
  <si>
    <r>
      <rPr>
        <b/>
        <sz val="10"/>
        <color rgb="FF000000"/>
        <rFont val="Aptos"/>
        <family val="2"/>
      </rPr>
      <t>Adult</t>
    </r>
    <r>
      <rPr>
        <sz val="10"/>
        <color rgb="FF000000"/>
        <rFont val="Aptos"/>
        <family val="2"/>
      </rPr>
      <t xml:space="preserve">
Female: 50%
Male: 50%
</t>
    </r>
    <r>
      <rPr>
        <b/>
        <sz val="10"/>
        <color rgb="FF000000"/>
        <rFont val="Aptos"/>
        <family val="2"/>
      </rPr>
      <t>Youth</t>
    </r>
    <r>
      <rPr>
        <sz val="10"/>
        <color rgb="FF000000"/>
        <rFont val="Aptos"/>
        <family val="2"/>
      </rPr>
      <t xml:space="preserve">
Female: 50%
Male: 50%</t>
    </r>
  </si>
  <si>
    <t>The farming season started in August 2025. UNDP will conduct a survey to measure the outcome indicators. The outcome level indicators will be measured through output which is yet to be completed.</t>
  </si>
  <si>
    <r>
      <rPr>
        <b/>
        <sz val="10"/>
        <color rgb="FF000000"/>
        <rFont val="Aptos"/>
        <family val="2"/>
      </rPr>
      <t>Adult</t>
    </r>
    <r>
      <rPr>
        <sz val="10"/>
        <color rgb="FF000000"/>
        <rFont val="Aptos"/>
        <family val="2"/>
      </rPr>
      <t xml:space="preserve">
Female: 80%
Male: 80%
</t>
    </r>
    <r>
      <rPr>
        <b/>
        <sz val="10"/>
        <color rgb="FF000000"/>
        <rFont val="Aptos"/>
        <family val="2"/>
      </rPr>
      <t>Youth</t>
    </r>
    <r>
      <rPr>
        <sz val="10"/>
        <color rgb="FF000000"/>
        <rFont val="Aptos"/>
        <family val="2"/>
      </rPr>
      <t xml:space="preserve">
Female: 80%
Male: 80%</t>
    </r>
  </si>
  <si>
    <t>Indicator 1.3:</t>
  </si>
  <si>
    <t>Percentage (%) of target households with increased net income  from agriculture and livestock activities</t>
  </si>
  <si>
    <r>
      <rPr>
        <b/>
        <sz val="10"/>
        <color rgb="FF000000"/>
        <rFont val="Aptos"/>
        <family val="2"/>
      </rPr>
      <t>Adult</t>
    </r>
    <r>
      <rPr>
        <sz val="10"/>
        <color rgb="FF000000"/>
        <rFont val="Aptos"/>
        <family val="2"/>
      </rPr>
      <t xml:space="preserve">
Female: $1102.10
Male: $1102.10
</t>
    </r>
    <r>
      <rPr>
        <b/>
        <sz val="10"/>
        <color rgb="FF000000"/>
        <rFont val="Aptos"/>
        <family val="2"/>
      </rPr>
      <t>Youth</t>
    </r>
    <r>
      <rPr>
        <sz val="10"/>
        <color rgb="FF000000"/>
        <rFont val="Aptos"/>
        <family val="2"/>
      </rPr>
      <t xml:space="preserve">
Female: $1102.10
Male: $1102.10</t>
    </r>
  </si>
  <si>
    <r>
      <rPr>
        <b/>
        <sz val="10"/>
        <color rgb="FF000000"/>
        <rFont val="Aptos"/>
        <family val="2"/>
      </rPr>
      <t>Adult</t>
    </r>
    <r>
      <rPr>
        <sz val="10"/>
        <color rgb="FF000000"/>
        <rFont val="Aptos"/>
        <family val="2"/>
      </rPr>
      <t xml:space="preserve">
Female: 65%
Male: 65%
</t>
    </r>
    <r>
      <rPr>
        <b/>
        <sz val="10"/>
        <color rgb="FF000000"/>
        <rFont val="Aptos"/>
        <family val="2"/>
      </rPr>
      <t>Youth</t>
    </r>
    <r>
      <rPr>
        <sz val="10"/>
        <color rgb="FF000000"/>
        <rFont val="Aptos"/>
        <family val="2"/>
      </rPr>
      <t xml:space="preserve">
Female: 65%
Male: 65%</t>
    </r>
  </si>
  <si>
    <r>
      <rPr>
        <b/>
        <sz val="10"/>
        <color rgb="FF000000"/>
        <rFont val="Aptos"/>
        <family val="2"/>
      </rPr>
      <t>Adult</t>
    </r>
    <r>
      <rPr>
        <sz val="10"/>
        <color rgb="FF000000"/>
        <rFont val="Aptos"/>
        <family val="2"/>
      </rPr>
      <t xml:space="preserve">
Female: 85%
Male: 85%
</t>
    </r>
    <r>
      <rPr>
        <b/>
        <sz val="10"/>
        <color rgb="FF000000"/>
        <rFont val="Aptos"/>
        <family val="2"/>
      </rPr>
      <t>Youth</t>
    </r>
    <r>
      <rPr>
        <sz val="10"/>
        <color rgb="FF000000"/>
        <rFont val="Aptos"/>
        <family val="2"/>
      </rPr>
      <t xml:space="preserve">
Female: 85%
Male: 85%</t>
    </r>
  </si>
  <si>
    <t>Indicator 1.4:</t>
  </si>
  <si>
    <t>Number of households with improved access to  productive assets and community infrastructure disagregated by sex and</t>
  </si>
  <si>
    <r>
      <rPr>
        <b/>
        <sz val="10"/>
        <color rgb="FF000000"/>
        <rFont val="Aptos"/>
        <family val="2"/>
      </rPr>
      <t>Adult</t>
    </r>
    <r>
      <rPr>
        <sz val="10"/>
        <color rgb="FF000000"/>
        <rFont val="Aptos"/>
        <family val="2"/>
      </rPr>
      <t xml:space="preserve">
Female: 2,100
Male: 4,000
</t>
    </r>
    <r>
      <rPr>
        <b/>
        <sz val="10"/>
        <color rgb="FF000000"/>
        <rFont val="Aptos"/>
        <family val="2"/>
      </rPr>
      <t>Youth</t>
    </r>
    <r>
      <rPr>
        <sz val="10"/>
        <color rgb="FF000000"/>
        <rFont val="Aptos"/>
        <family val="2"/>
      </rPr>
      <t xml:space="preserve">
Female: 1,890
Male: 3,400</t>
    </r>
  </si>
  <si>
    <r>
      <rPr>
        <b/>
        <sz val="10"/>
        <color rgb="FF000000"/>
        <rFont val="Aptos"/>
        <family val="2"/>
      </rPr>
      <t>Adult</t>
    </r>
    <r>
      <rPr>
        <sz val="10"/>
        <color rgb="FF000000"/>
        <rFont val="Aptos"/>
        <family val="2"/>
      </rPr>
      <t xml:space="preserve">
Female: 4,000
Male: 3,000
</t>
    </r>
    <r>
      <rPr>
        <b/>
        <sz val="10"/>
        <color rgb="FF000000"/>
        <rFont val="Aptos"/>
        <family val="2"/>
      </rPr>
      <t>Youth</t>
    </r>
    <r>
      <rPr>
        <sz val="10"/>
        <color rgb="FF000000"/>
        <rFont val="Aptos"/>
        <family val="2"/>
      </rPr>
      <t xml:space="preserve">
Female: 2,000
Male: 2,000</t>
    </r>
  </si>
  <si>
    <r>
      <rPr>
        <b/>
        <sz val="10"/>
        <color rgb="FF000000"/>
        <rFont val="Aptos"/>
        <family val="2"/>
      </rPr>
      <t>Adult</t>
    </r>
    <r>
      <rPr>
        <sz val="10"/>
        <color rgb="FF000000"/>
        <rFont val="Aptos"/>
        <family val="2"/>
      </rPr>
      <t xml:space="preserve">
Female: 3,000
Male: 3,000
</t>
    </r>
    <r>
      <rPr>
        <b/>
        <sz val="10"/>
        <color rgb="FF000000"/>
        <rFont val="Aptos"/>
        <family val="2"/>
      </rPr>
      <t>Youth</t>
    </r>
    <r>
      <rPr>
        <sz val="10"/>
        <color rgb="FF000000"/>
        <rFont val="Aptos"/>
        <family val="2"/>
      </rPr>
      <t xml:space="preserve">
Female: 2,000
Male: 1,500</t>
    </r>
  </si>
  <si>
    <r>
      <rPr>
        <b/>
        <sz val="10"/>
        <color rgb="FF000000"/>
        <rFont val="Aptos"/>
        <family val="2"/>
      </rPr>
      <t>Adult</t>
    </r>
    <r>
      <rPr>
        <sz val="10"/>
        <color rgb="FF000000"/>
        <rFont val="Aptos"/>
        <family val="2"/>
      </rPr>
      <t xml:space="preserve">
Female: 7,000
Male: 6,000
</t>
    </r>
    <r>
      <rPr>
        <b/>
        <sz val="10"/>
        <color rgb="FF000000"/>
        <rFont val="Aptos"/>
        <family val="2"/>
      </rPr>
      <t>Youth</t>
    </r>
    <r>
      <rPr>
        <sz val="10"/>
        <color rgb="FF000000"/>
        <rFont val="Aptos"/>
        <family val="2"/>
      </rPr>
      <t xml:space="preserve">
Female: 4,000
Male: 3,500</t>
    </r>
  </si>
  <si>
    <t>18-35</t>
  </si>
  <si>
    <t>Indicator 1.5:</t>
  </si>
  <si>
    <t>SIL1.1: Number of youth placed in employment</t>
  </si>
  <si>
    <t>Disaggregations</t>
  </si>
  <si>
    <t>State</t>
  </si>
  <si>
    <t>IP</t>
  </si>
  <si>
    <t>Localities</t>
  </si>
  <si>
    <t>Sex</t>
  </si>
  <si>
    <t>BRDO</t>
  </si>
  <si>
    <t>Kassala and Girba localities</t>
  </si>
  <si>
    <t>Male</t>
  </si>
  <si>
    <t>PA</t>
  </si>
  <si>
    <t>New Halfa and Wedel Helew localities</t>
  </si>
  <si>
    <t>Female</t>
  </si>
  <si>
    <t>Sahari</t>
  </si>
  <si>
    <t>Wasat Gedaref</t>
  </si>
  <si>
    <t>Age</t>
  </si>
  <si>
    <t>Zenab</t>
  </si>
  <si>
    <t>West Galabat and Fashaga</t>
  </si>
  <si>
    <t>Youth (26-35 years)</t>
  </si>
  <si>
    <t>CAFA</t>
  </si>
  <si>
    <t>Aldamar and Barbar localities</t>
  </si>
  <si>
    <t>Youth (14-25 years)</t>
  </si>
  <si>
    <t>OUTPUT 1.1: Agricultural and livestock production of 63,500 vulnerable households (including IDPs, refugees, and host communities) increased through access to inputs, livestock vaccination, climate-smart production, and post-harvest technologies.</t>
  </si>
  <si>
    <t>Male:250</t>
  </si>
  <si>
    <t>Indicator 1.1.1</t>
  </si>
  <si>
    <t>Number of smallholder farmers who received improved agriculture inputs and land, disaggregated by sex and age.</t>
  </si>
  <si>
    <t xml:space="preserve">UNDP exceeded the target due to the increased demand for agro-inputs among farmers, particularly the youth. This necessity prompted UNDP to respond to the need and provide agro-inputs to enable farmers to go into food production. </t>
  </si>
  <si>
    <t>Adults (36+ years)</t>
  </si>
  <si>
    <t>Indicator 1.1.2</t>
  </si>
  <si>
    <t>Number of target households with increased area under sustainable agriculture production disaggregated by sex and age.</t>
  </si>
  <si>
    <t>UNDP supported smallholder farmers by providing improved certified seeds and other agro-inputs. UNDP exceeded its targets due to the increased number of smallholder farmers who benefited from these improved agro-inputs. The main farming season starts from May-October and therefore more farmers have targeted and will continue to be the case in the next reporting period as well.</t>
  </si>
  <si>
    <t>Indicator 1.1.3</t>
  </si>
  <si>
    <t>Number of smallholder farmers trained and or educated on new/improved agriculture techniques and technologies.</t>
  </si>
  <si>
    <t>UNDP deployed Field Extension Officers to facilitate the delivery of extension services to 9,177 smallholder farmers through the establishment of farmer field schools, promoting the adoption of new, improved, and sustainable agricultural production methods. UNDP exceeded the target due to the number of farmers who received improved agro-inputs, who need to acquire Good Agricultural Practices to enhance productivity.</t>
  </si>
  <si>
    <t>Indicator 1.1.4</t>
  </si>
  <si>
    <t>Number of households who received livestock support including restocking and vaccination services, disaggregated by sex and age</t>
  </si>
  <si>
    <t>UNDP distributed 200 goats (150 milking and 50 male) to 100 vulnerable households. The UNDP was unable to achieve its target due to delays in securing improved breeds. UNDP has addressed this challenge to ensure the distribution of the improved livestock to vulnerable households in Q3 and Q4.</t>
  </si>
  <si>
    <t>OUTPUT 1.2: Access of 30,000 vulnerable households to socioeconomic productive assets and infrastructure increased</t>
  </si>
  <si>
    <t>Indicator 1.2.1</t>
  </si>
  <si>
    <t xml:space="preserve"> Number and type of water resources rehabilitated and functional. </t>
  </si>
  <si>
    <t xml:space="preserve">UNDP has initiated the procurement process to rehabilitate 10 water yards. The tender documents have been finalized. First tranche was completely consumed and due to that, the procurement did not conclude. This was also presented during the monthly meeting. However, UNDP has advanced its core resources to finalize the procurement process and issuing a purchase order. </t>
  </si>
  <si>
    <t>Indicator 1.2.2</t>
  </si>
  <si>
    <t xml:space="preserve"> Number of community warehouses constructed and functioning</t>
  </si>
  <si>
    <t xml:space="preserve">Procurement initiated for five (5) warehouses. Due to unavailability of fund the procurement process did not concluded and it was also highlighted in the monthly meeting. </t>
  </si>
  <si>
    <t>Indicator 1.2.3</t>
  </si>
  <si>
    <t xml:space="preserve"> Number of solar cooking stoves provided to communities.</t>
  </si>
  <si>
    <t xml:space="preserve">Due to the availability of fund, this could not proceeded. </t>
  </si>
  <si>
    <t>Indicator 1.2.4</t>
  </si>
  <si>
    <t>Number of  farm machinery provided to support agricultural production.</t>
  </si>
  <si>
    <t xml:space="preserve">The procurement of 10 tractors and accessories has been completed while using UNDP core resources. The tractors are yet to be delivered and will be reported in next reporting period. 
</t>
  </si>
  <si>
    <t>OUTPUT 1.3: Local communities and civil society empowered to promote livelihood and economic recovery enhanced.</t>
  </si>
  <si>
    <t>Indicator 1.3.1</t>
  </si>
  <si>
    <t xml:space="preserve"> Number of Community Management Committees (CMCs) established and functional </t>
  </si>
  <si>
    <t xml:space="preserve">UNDP established 14  CMCs, comprising a total membership of 410 individuals. UNDP established the CMCs to oversee the effective management and maintenance of assets provided by the project, including tractors and water yards. UNDP exceeded the target due to the need to ensure the presence of CMCs in targeted communities prior to the delivery of any assets. </t>
  </si>
  <si>
    <t>Indicator 1.3.2</t>
  </si>
  <si>
    <t>Number of  CMCs trained on community mobilization skills and social cohesion promotion</t>
  </si>
  <si>
    <t>UNDP trained all 14 CMCs that were established. The project exceeded its target due to the need to ensure the presence of CMCs in all communities where the project provided/ will provide assets.</t>
  </si>
  <si>
    <t>Indicator 1.3.3</t>
  </si>
  <si>
    <t xml:space="preserve"> Number of social forums and peace events organised</t>
  </si>
  <si>
    <t xml:space="preserve">UNDP organized one (1) social event, involving five (5) youth groups (established by the project), comprising 125 members (50 women and 75 men), to promote peaceful co-existence. UNDP was unable to meet the target because the timing of the activities coincided with the farming season. The project will organize the events after the farming season. </t>
  </si>
  <si>
    <t xml:space="preserve">OUTCOME 2: Financial capacity of vulnerable households improved through access to micro grants, temporal labor-intensive employment, innovative credit schemes and market access.  </t>
  </si>
  <si>
    <t>Indicator 2.1</t>
  </si>
  <si>
    <t>Number of people with improved access to market and  credit services.</t>
  </si>
  <si>
    <t>Indicator 2.2</t>
  </si>
  <si>
    <t>Pecerntage (%) of target households with increased household income from non-agricultural income generating activities.</t>
  </si>
  <si>
    <r>
      <rPr>
        <b/>
        <sz val="10"/>
        <color rgb="FF000000"/>
        <rFont val="Aptos"/>
        <family val="2"/>
      </rPr>
      <t>Adult</t>
    </r>
    <r>
      <rPr>
        <sz val="10"/>
        <color rgb="FF000000"/>
        <rFont val="Aptos"/>
        <family val="2"/>
      </rPr>
      <t xml:space="preserve">
Female: 0
Male:0
</t>
    </r>
    <r>
      <rPr>
        <b/>
        <sz val="10"/>
        <color rgb="FF000000"/>
        <rFont val="Aptos"/>
        <family val="2"/>
      </rPr>
      <t>Youth</t>
    </r>
    <r>
      <rPr>
        <sz val="10"/>
        <color rgb="FF000000"/>
        <rFont val="Aptos"/>
        <family val="2"/>
      </rPr>
      <t xml:space="preserve">
Female: 0
Male: 0</t>
    </r>
  </si>
  <si>
    <t>Indicator 2.3</t>
  </si>
  <si>
    <t xml:space="preserve"> Number of young people temporarily employed disagregated by sex, by age.</t>
  </si>
  <si>
    <r>
      <t xml:space="preserve">
</t>
    </r>
    <r>
      <rPr>
        <b/>
        <sz val="10"/>
        <color rgb="FF000000"/>
        <rFont val="Aptos"/>
        <family val="2"/>
      </rPr>
      <t>Youth</t>
    </r>
    <r>
      <rPr>
        <sz val="10"/>
        <color rgb="FF000000"/>
        <rFont val="Aptos"/>
        <family val="2"/>
      </rPr>
      <t xml:space="preserve">
Female: 250
Male: 250</t>
    </r>
  </si>
  <si>
    <t>OUTPUT 2.1: Income-generating and labor-intensive employment opportunities created for 4,500 vulnerable households.</t>
  </si>
  <si>
    <t>Indicator 2.1.1</t>
  </si>
  <si>
    <t xml:space="preserve"> Number of Voluntary Savings and Loans Associations (VSLAs) established that are functional.
</t>
  </si>
  <si>
    <t xml:space="preserve">UNDP was unable to meet the target because the timing of the activities coincided with the farming season. The beneficiaries are engaged in farming business during the rainy season. UNDP will establish the VSLAs in Q4. </t>
  </si>
  <si>
    <t>Indicator 2.1.2</t>
  </si>
  <si>
    <t xml:space="preserve">Number of micro-grants provided disaggregated by types of enterprises and sex of owners. </t>
  </si>
  <si>
    <t>UNDP was unable to meet the target. The beneficiaries also engage in off-season agribusiness enterprises, and they will only need grants after the agricultural production. Providing microcredit at this time will not yield the expected outcome. UNDP will provide the micro-grants to the beneficiaries in Q4, when they need to purchase agricultural commodities.</t>
  </si>
  <si>
    <t>Indictor 2.1.3</t>
  </si>
  <si>
    <t xml:space="preserve"> Number of  young people participating in Cash for Work activities disagregated by gender and by age group.
</t>
  </si>
  <si>
    <r>
      <t xml:space="preserve">UNDP facilitated temporary employment opportunities through its </t>
    </r>
    <r>
      <rPr>
        <b/>
        <sz val="10"/>
        <color rgb="FFFF0000"/>
        <rFont val="Aptos"/>
        <family val="2"/>
      </rPr>
      <t>Cash for Work initiative in Gedaref and the River Nile states,</t>
    </r>
    <r>
      <rPr>
        <sz val="10"/>
        <color rgb="FF000000"/>
        <rFont val="Aptos"/>
        <family val="2"/>
      </rPr>
      <t xml:space="preserve"> engaging a total of 275 individuals. However, UNDP was unable to meet its target due to the need for the youth to engage in their own farming activities. The Cash for Work activities will resume soon after the farming season.</t>
    </r>
  </si>
  <si>
    <t>OUTPUT 2.2: Linkages and access to markets facilitated for 1,700 smallholder producers, associations and enterprises.</t>
  </si>
  <si>
    <t>Indicator 2.2.1</t>
  </si>
  <si>
    <t xml:space="preserve"> Number of target beneficiaries trained on market access strategies disagregated by sex and age.</t>
  </si>
  <si>
    <t xml:space="preserve">UNDP postponed the training sessions for Q3 and Q4 to allow farmers to fully engage in their crucial farming activities during the peak season. </t>
  </si>
  <si>
    <t>Indicator 2.2.2</t>
  </si>
  <si>
    <t>Number of agricultural fairs and bazars organised.</t>
  </si>
  <si>
    <t>Indicator 2.2.3</t>
  </si>
  <si>
    <t>Percentage (%) of target smallholders who reported that finding markets to sell their products was easy.</t>
  </si>
  <si>
    <t>Week Duration</t>
  </si>
  <si>
    <t>SAHARI</t>
  </si>
  <si>
    <t>Undefined</t>
  </si>
  <si>
    <t>28th Sept to 2nd Oct</t>
  </si>
  <si>
    <t xml:space="preserve">•	BRDO conducted a joint mission with the UNDP team for a programmatic spot check at Bant Women Farm (17 F) and Swagi Shamalia (17 F).
•	BRDO- Activity 1.1.7 - CAHW training to 23 participants (including 17 females)
•	BRDO- Activity 1.3.1 - 2 CMCs - Hafrat village (11 male members); Kalhoot village (10 male members).
</t>
  </si>
  <si>
    <t>•	PA - Activity 1.1.7 - 51 (9 M and 42 F) were sensitized on goat restocking and animal health in Wedel Helew and New Halfa Localities.
•	PA - Activity 1.1.4 - Follow-up sessions of FFS in Halfa and Wad El Hilew localities on Production and application of organic fertilizer, pest and disease management for a total of 124 participants (87 F and 37 M).
•	PA - Activity 1.1.3 - In Dar Alsalam village, Halfa locality, one agricultural association 100 member (60M, 40F)</t>
  </si>
  <si>
    <r>
      <rPr>
        <sz val="11"/>
        <color rgb="FF000000"/>
        <rFont val="Aptos Narrow"/>
        <scheme val="minor"/>
      </rPr>
      <t xml:space="preserve">•	SAHARI - Activity 1.1.4 - Providing extension service to the farmers is on going
•	SAHARI - Activity 1.1.6- Distributed 14 goats to 7 households in Wadwidaida.
•	SAHARI - Activity 1.1.7 - 14 Youth Community Animal health Workers (CAHWs) get refresh training.
•	</t>
    </r>
    <r>
      <rPr>
        <b/>
        <sz val="11"/>
        <color rgb="FFFF0000"/>
        <rFont val="Aptos Narrow"/>
        <scheme val="minor"/>
      </rPr>
      <t>Monitoring project activities is ongoing.</t>
    </r>
  </si>
  <si>
    <t>•	Zenab - Activity 1.1.6 - 15 (10 lactating goats and 5 M) Wadalhalagi .
•	4 male goats in Alkanara village.
•	15 (10 lactated goats with 5 M) Sabana  
•	Zenab - Activity 1.1.1 - 10 feddan sprayed with liquid fertilizer t in Alremela .</t>
  </si>
  <si>
    <t xml:space="preserve">•	CAFA - Activity 1.1.1 - Agricultural Inputs Distribution:
-	Distributed agriculture seeds to 144 farmers in Aldamar locality.
-	Distributed 125 agricultural tools to 125 farmers in Barabar locality.
</t>
  </si>
  <si>
    <t xml:space="preserve">Agricultural Inputs – Seeds and Tools
•	Distributed improved seeds to 516 farmers in Um Siayla, Algilaa, Almanasier, and Alhediaba villages in River Nile. Agricultural tools pre-positioned in targeted areas; distribution planned next week.
Trainings – Farmer Field Schools, Home Gardening, and Community Practices
•	Farmer Field Schools &amp; Home Gardening: Reached 454 participants (218 farmers in FFS and 236 women in home gardening) in rural Algirba, Wad El Hilew, Hafrat, Kalhoot, and Almunba. Trainings covered improved farming practices, pest management, climate-resilient techniques, sorghum production, and crop preparation. Kassala State.
•	Community Practices: Trainings for Community Management Committees (CMCs) conducted, and beneficiary data validation completed for 3,000 households in West Galabat and Al-Fashqa. Database reviewed and updated. All States
Animal Rearing – Goat Distribution
o	Total goats distributed: 115 (86 goats in Wast Gedaref and baladya localities and 29 goats to Al-Amara and Abu Raidd villages at El Fashaga.
o	100 female goats screened for brucellosis ready for distribution to 100 families in Halfa and Wad El Hilew – Kassala State and 14 goats to be distributed in Wadodeida – Gedaref State.
</t>
  </si>
  <si>
    <t xml:space="preserve">•	Tractors: 3 tractors with implements have been handed over to the agriculture associations and GRNs were issued. 
•	Solarized Irrigation Pumps: PO issued. Preparations for site handovers are underway.
•	Community Warehouses: Technical documents for the construction of 1community warehouses 1 in River Nile have been completed. Requisitions and UNall cases will be raised upon fund availability.
</t>
  </si>
  <si>
    <t>5th Oct to 9th Oct</t>
  </si>
  <si>
    <t xml:space="preserve">•	BRDO - Activity 1.3.1 - 3 CMCs -  2 in Rural Al-Girba locality (Al Munba: 15 participants – 6 females, 9 males; Al Shagrap: 40 participants – 20 females, 20 males) and 1 in Kassala locality (Al Kurmta: 9 males). 
•	BRDO - Activity 1.1.4  - 3 FFS training sessions in Al Munba (9 males) and Al Shagrap (12 males) villages in Rural Al-Girba, and in Al Kurmta (13 females) in Kassala locality.
</t>
  </si>
  <si>
    <t xml:space="preserve">•	PA - Activity 1.3.2 - Training CMCs in the project across New Halfa and Wad Al Hilew localities, targeting 100 youth (40 females and 60 males). 
•	PA - Activity 1.1.4 - FFS activities in both localities - 120 farmers (40 F and 80 M) participated in the ongoing sessions. 
</t>
  </si>
  <si>
    <r>
      <rPr>
        <sz val="11"/>
        <color rgb="FF000000"/>
        <rFont val="Aptos Narrow"/>
        <scheme val="minor"/>
      </rPr>
      <t xml:space="preserve">•	Activity 1.1.4 - Extension services to farmers are ongoing.
•	</t>
    </r>
    <r>
      <rPr>
        <b/>
        <sz val="11"/>
        <color rgb="FFFF0000"/>
        <rFont val="Aptos Narrow"/>
        <scheme val="minor"/>
      </rPr>
      <t xml:space="preserve">Drafting of two success stories is in progress.
</t>
    </r>
  </si>
  <si>
    <t xml:space="preserve">
•	Activity 1.1.4 - continue supporting farmers at the field level.</t>
  </si>
  <si>
    <t xml:space="preserve">
-	CAFA - Activity 1.1.1 Distributed agriculture seeds (vegetables) to 100 farmers in Aldamar locality.
-	CAFA - Activity 1.1.2- Facilitate additional land access for 160 farmers in Um Saial Village in Aldamar locality.</t>
  </si>
  <si>
    <t xml:space="preserve">•	The 3 tractors with accessories received in the State. And all of them have been handed to their intended communities
•	Solarized Irrigation Pumps: PO issued. Preparations for site handovers are underway.
</t>
  </si>
  <si>
    <t>12th Oct to 16th Oct</t>
  </si>
  <si>
    <t>•	BRDO - Activity 1.1.4 - 22 farmers , 12 females (Swagi Shamalia) and 10 males (Kalhoot village, Kassala locality).
•	BRDO - Activity 1.1.7 - 1 CAWs training in Shagrap, Rural Girba locality - 35 F
•	BRDO - Activity 1.1.3 - oriention - total of 163 participants were guided on the requirements and formalities for official registration,  including 110 males from Kalhoot, 37 participants (21 males and 16 females) from Hafrat, and 16 participants (11 males and 5 females) from Almunba, all located in Rural Girba locality.</t>
  </si>
  <si>
    <t>•	PA - Activity 2.1.2 - 6 VSLAs were established and  received comprehensive training and linked to microfinance institutions (4 in Halfa and 2 in Wad Al-Hilo), comprising 150 members (126 female, 24 male), with 85% women participation.
•	PA - Activity 1.1.4 - FFS activities continued in Halfa and Wad Al-Hilo. Targeting 120 farmers (40 F, 80 M).</t>
  </si>
  <si>
    <r>
      <rPr>
        <sz val="11"/>
        <color rgb="FF000000"/>
        <rFont val="Aptos Narrow"/>
        <scheme val="minor"/>
      </rPr>
      <t xml:space="preserve">•	Activity 1.1.4 - ongoing agricultural extension services
•	project monitoring activities are actively taking place 
•	</t>
    </r>
    <r>
      <rPr>
        <b/>
        <sz val="11"/>
        <color rgb="FFFF0000"/>
        <rFont val="Aptos Narrow"/>
        <scheme val="minor"/>
      </rPr>
      <t xml:space="preserve">documenting two inspiring success stories
</t>
    </r>
  </si>
  <si>
    <t xml:space="preserve">•	Zenab - Activity 1.1.4 – FFS receive hands-on training and technical advice from extension agents. 
•	Activity 1.1.1 - liquid fertilizer distribution	</t>
  </si>
  <si>
    <r>
      <rPr>
        <sz val="11"/>
        <color rgb="FF000000"/>
        <rFont val="Aptos Narrow"/>
        <scheme val="minor"/>
      </rPr>
      <t xml:space="preserve">
•	</t>
    </r>
    <r>
      <rPr>
        <b/>
        <sz val="11"/>
        <color rgb="FFFF0000"/>
        <rFont val="Aptos Narrow"/>
        <scheme val="minor"/>
      </rPr>
      <t>Held a follow-up meeting with CAFA to discuss the progress and challenges.</t>
    </r>
  </si>
  <si>
    <t xml:space="preserve">Challenges (PA)
•	Market price fluctuations affected the procurement of improved male goats.
•	Some suppliers withdrew due to price increases, prompting a re-tendering process.
•	Current market prices remain higher than budgeted, leading to discussions with donors on adjusting the number of goats to stay within the available budget.
</t>
  </si>
  <si>
    <t>•	Solarized Irrigation Pumps:  Preparations for sites handovers are underway.</t>
  </si>
  <si>
    <t>19th Oct to 23rd Oct</t>
  </si>
  <si>
    <t>No update from BRDO</t>
  </si>
  <si>
    <t xml:space="preserve">•	PA -  Activity 1.1.5 - Wad El Hilew:
Conducted ToT in Village 9 with 30 young farmers (18 male, 12 female, aged 18–35)
•	PA - Activity 1.1.4 - FFS in Halfa and Wad El Hilew, engaging 65 farmers (32 male youth, 26 female youth, 4 adults)
</t>
  </si>
  <si>
    <r>
      <rPr>
        <sz val="11"/>
        <color rgb="FF000000"/>
        <rFont val="Aptos Narrow"/>
        <scheme val="minor"/>
      </rPr>
      <t xml:space="preserve">•	</t>
    </r>
    <r>
      <rPr>
        <b/>
        <sz val="11"/>
        <color rgb="FFFF0000"/>
        <rFont val="Aptos Narrow"/>
        <scheme val="minor"/>
      </rPr>
      <t>Activity 1.1.4 - Providing extension service to the farmers is on going
•	Monitoring project activities is ongoing.</t>
    </r>
  </si>
  <si>
    <t xml:space="preserve">
•	Activity 2.1.1 - preparations ongoing for small grants</t>
  </si>
  <si>
    <t>•	Activity 1.2.2 - (UNDP) Solarized Irrigation Pumps - sites have been handed over to the contractor.</t>
  </si>
  <si>
    <t xml:space="preserve">•	Contract Ref: 10439946 – Delivery and installation of 10 solarized irrigation pumps (3 for Gedaref, 3 for Kassala, and 4 for River Nile States). The contractor is Hagana for Development Supply. Preparations for site handover in Kassala are currently underway.
•	The technical documents for the rehabilitation of two water projects in Kassala State have been finalized. The requisition and UNALL will be raised once funds become available.
•	The technical documents for the construction of four community warehouses have been completed. This includes one warehouse planned for Kassala State. The requisition and UNALL process will be initiated upon confirmation of fund availability.
</t>
  </si>
  <si>
    <t>26th Oct to 30th Oct</t>
  </si>
  <si>
    <r>
      <rPr>
        <sz val="11"/>
        <color rgb="FF000000"/>
        <rFont val="Aptos Narrow"/>
        <scheme val="minor"/>
      </rPr>
      <t xml:space="preserve">•	BRDO - Activity 1.1.4  - FFS with total 100 female participants from, Swagi Shamalia – 22 females, Banat – 20 females, Kurmta – 18 females, Hafrat – 30 females, Kalhoot – 19 males.
•	</t>
    </r>
    <r>
      <rPr>
        <b/>
        <sz val="11"/>
        <color rgb="FFFF0000"/>
        <rFont val="Aptos Narrow"/>
        <scheme val="minor"/>
      </rPr>
      <t>BRDO - Activity 1.1.4 - Demonstration Plot: One plot (2 feddans) established in Kalhoot with 25 direct participants and 100 indirect beneficiaries. The plot serves as a site for applying best agricultural practices.</t>
    </r>
    <r>
      <rPr>
        <sz val="11"/>
        <color rgb="FF000000"/>
        <rFont val="Aptos Narrow"/>
        <scheme val="minor"/>
      </rPr>
      <t xml:space="preserve"> 
</t>
    </r>
  </si>
  <si>
    <t xml:space="preserve">•	PA - Activity 1.1.3 - 4  completed registration through the Agricultural Associations Registration Department. Total Members: 300 (180 male, 120 female; majority youth aged 18–35).
•	PA - Activity 1.1.4 - Final FFS sessions conducted in Halfa and Wad Alhliew - Participants: 79 farmers (40 male youth, 35 female youth, 4 adults).  
</t>
  </si>
  <si>
    <r>
      <rPr>
        <sz val="11"/>
        <color rgb="FF000000"/>
        <rFont val="Aptos Narrow"/>
        <scheme val="minor"/>
      </rPr>
      <t xml:space="preserve">•	</t>
    </r>
    <r>
      <rPr>
        <b/>
        <sz val="11"/>
        <color rgb="FFFF0000"/>
        <rFont val="Aptos Narrow"/>
        <scheme val="minor"/>
      </rPr>
      <t>Activity 1.1.4 - 1 training “Post-Harvest Loss Reduction and Crop Quality Improvement.”</t>
    </r>
    <r>
      <rPr>
        <sz val="11"/>
        <color rgb="FF000000"/>
        <rFont val="Aptos Narrow"/>
        <scheme val="minor"/>
      </rPr>
      <t xml:space="preserve"> - 28 participants (5 F and 23 M); 25 trainees between 18 - 35 yrs
</t>
    </r>
  </si>
  <si>
    <t xml:space="preserve">•	Zenab - Activity 1.1.7 - The facilitator and the TOR have been identified. The selection of beneficiaries was made from among the youth who received goats.
• Zenab - Activity 2.1.3  - labor costs for the rehabilitation of the youth center.
•	Other activities are awaiting the issuance of the monthly movement permit for 10 youth groups.
</t>
  </si>
  <si>
    <r>
      <rPr>
        <sz val="11"/>
        <color rgb="FF000000"/>
        <rFont val="Aptos Narrow"/>
        <scheme val="minor"/>
      </rPr>
      <t xml:space="preserve">•	Activity 1.2.2 (UNDP) Solarized Irrigation Pumps - contractor mobilized the installation team to the sites and commenced work as scheduled.
•	</t>
    </r>
    <r>
      <rPr>
        <b/>
        <sz val="11"/>
        <color rgb="FFFF0000"/>
        <rFont val="Aptos Narrow"/>
        <scheme val="minor"/>
      </rPr>
      <t xml:space="preserve">The civil works for the four sites have been completed.
</t>
    </r>
  </si>
  <si>
    <r>
      <rPr>
        <sz val="11"/>
        <color rgb="FF000000"/>
        <rFont val="Aptos Narrow"/>
        <scheme val="minor"/>
      </rPr>
      <t xml:space="preserve">Challenges (PA):
•	Farmers’ engagement in cultivation and harvest preparation delayed some activities, including association registration.
</t>
    </r>
    <r>
      <rPr>
        <b/>
        <sz val="11"/>
        <color rgb="FFFF0000"/>
        <rFont val="Aptos Narrow"/>
        <scheme val="minor"/>
      </rPr>
      <t xml:space="preserve">•	Participants’ expectations of higher financial incentives required careful communication and transparency.
</t>
    </r>
    <r>
      <rPr>
        <sz val="11"/>
        <color rgb="FF000000"/>
        <rFont val="Aptos Narrow"/>
        <scheme val="minor"/>
      </rPr>
      <t xml:space="preserve">•	These challenges were mitigated through clear explanation of available resources and maintaining trust among stakeholders.
</t>
    </r>
  </si>
  <si>
    <t>2nd Nov to 6th Nov</t>
  </si>
  <si>
    <t xml:space="preserve">•	BRDO -  Activity 1.1.4 - 1 Demonstration plot/farm, Hafrat area (2 feddans) established with  32 males farmers. 
•	BRDO - Activity 2.1.2 -  5 VSLAs community groups established across Swagi Shamalia, Bant, Kalhoot, Hafrat, and Almanba areas (30 females per group; 150 members total)
</t>
  </si>
  <si>
    <r>
      <rPr>
        <sz val="11"/>
        <color rgb="FF000000"/>
        <rFont val="Aptos Narrow"/>
        <scheme val="minor"/>
      </rPr>
      <t xml:space="preserve">•	PA - Activity 2.1.1 - Micro-Grants for 90 beneficiaries (76 female) in Halfa and Wad El-Hilew through capacity building on project and financial management - sewing machines, spice grinders, and peanut butter-making machines.
•	Beneficiary Breakdown: Halfa: 3 groups (20 members each) in Dar Alsalam, Gaber, Kubri 5 Villages. Wad El-Hilew: 2 groups (15 members each) in Village 9
</t>
    </r>
    <r>
      <rPr>
        <b/>
        <sz val="11"/>
        <color rgb="FF000000"/>
        <rFont val="Aptos Narrow"/>
        <scheme val="minor"/>
      </rPr>
      <t>PA - Challenges</t>
    </r>
    <r>
      <rPr>
        <sz val="11"/>
        <color rgb="FF000000"/>
        <rFont val="Aptos Narrow"/>
        <scheme val="minor"/>
      </rPr>
      <t xml:space="preserve">: Some communities initially expected wider distribution of IGAs. Following community consultations, clarified to target vulnerable groups
</t>
    </r>
  </si>
  <si>
    <r>
      <rPr>
        <sz val="11"/>
        <color rgb="FF000000"/>
        <rFont val="Aptos Narrow"/>
        <scheme val="minor"/>
      </rPr>
      <t xml:space="preserve">•	SAHARI - Activity 2.1.2 - Training Preparation
•	Documentation of Success Stories
</t>
    </r>
    <r>
      <rPr>
        <b/>
        <sz val="11"/>
        <color rgb="FFFF0000"/>
        <rFont val="Aptos Narrow"/>
        <scheme val="minor"/>
      </rPr>
      <t xml:space="preserve">•	SAHARI - Activity 2.1.1. Linkage to Financial Institutions ongoing
</t>
    </r>
  </si>
  <si>
    <t>•	Zenab - Activity 2.1.2 - 5 VSLAs Establishment in Al-Fashqa Locality —one in each of the five targeted villages. Each association comprises 30 women, bringing the total membership to 150 participants. 
•	Zenab - Activity 1.1.7 - Veterinary Assistant Training (Al-Fashqa and Western Qalabat Localities) - selected 20 trainees (two representatives from each of the ten targeted villages)</t>
  </si>
  <si>
    <t xml:space="preserve">o	CAFA - Activity 1.1.3 - Government Coordination with Ministry of Agriculture (Associations Department) : regarding the formation of 5 agriculture associations.
o	CAFA - Activity 2.1.2 - Ministry of Agriculture to nominate  3 association to receive Micro-Grant support.
</t>
  </si>
  <si>
    <r>
      <rPr>
        <sz val="11"/>
        <color rgb="FF000000"/>
        <rFont val="Aptos Narrow"/>
        <scheme val="minor"/>
      </rPr>
      <t xml:space="preserve">3/ EAA
Contractor: Hajana Company/Gedaref (3 sites)
•	Three sites for irrigation pumps have been handed over to the contractor in West Galabat locality/ Bandigeaw admin unit.
Challenges:
Bad road condition remains the major challenge to access Alshaga and Nur Elhuda in Al Mafaza locality.
Procurement Updates:
•	Contract Ref: 10439946 – Solarized Irrigation Pumps including 3 pumps for Kassala: Preparations for sides handover is ongoing.
•	</t>
    </r>
    <r>
      <rPr>
        <b/>
        <sz val="11"/>
        <color rgb="FFFF0000"/>
        <rFont val="Aptos Narrow"/>
        <scheme val="minor"/>
      </rPr>
      <t xml:space="preserve">Rehabilitation of Two Water Projects (Kassala): Technical documents finalized; requisition pending fund availability.
</t>
    </r>
    <r>
      <rPr>
        <sz val="11"/>
        <color rgb="FF000000"/>
        <rFont val="Aptos Narrow"/>
        <scheme val="minor"/>
      </rPr>
      <t xml:space="preserve">•	</t>
    </r>
    <r>
      <rPr>
        <b/>
        <sz val="11"/>
        <color rgb="FFFF0000"/>
        <rFont val="Aptos Narrow"/>
        <scheme val="minor"/>
      </rPr>
      <t xml:space="preserve">Community Warehouses: Four warehouse designs (including one in Kassala) completed; procurement to proceed once funds are confirmed.
</t>
    </r>
    <r>
      <rPr>
        <sz val="11"/>
        <color rgb="FF000000"/>
        <rFont val="Aptos Narrow"/>
        <scheme val="minor"/>
      </rPr>
      <t xml:space="preserve">•	Contract Ref: 10439946: Solarized Irrigation Pumps: 4 for River Nile State - -contractor: Hagana For development Supply.
	The civil works in one site (Om agaga) has been completed. 
	Completion 70% of the civil work in Almatama site.
</t>
    </r>
  </si>
  <si>
    <t>9th Nov to 13 Nov</t>
  </si>
  <si>
    <t xml:space="preserve">•	BRDO - Activity 2.1.1 - preparing for the disbursement of 3 Small Grant to three selected groups in the State.
•	BRDO - Activity 1.1.3 - ongoing legal registration of new smallholder associations are ongoing in Kalahoot, Banat, Hafrat, and Almunba, bringing together around 305 members +  training
</t>
  </si>
  <si>
    <t xml:space="preserve">•	PA - Activity 1.1.1 - Distributed winter vegetable seeds in Halfa locality through a demonstration plot with 30 women farmers. planned in Wadlhliew targeting 170 farmers.
•	PA - Activity 1.1.7 - Refresher CAWs Training in Halfa in collaboration with Livestock Administration involving 15 participants
•	PA - Activity 1.1.8 - Distributed improved male goats; 35 HH (all female) reached in Halfa and Wadlhliew 
</t>
  </si>
  <si>
    <r>
      <rPr>
        <sz val="11"/>
        <color rgb="FF000000"/>
        <rFont val="Aptos Narrow"/>
        <scheme val="minor"/>
      </rPr>
      <t xml:space="preserve">•	</t>
    </r>
    <r>
      <rPr>
        <b/>
        <sz val="11"/>
        <color rgb="FFFF0000"/>
        <rFont val="Aptos Narrow"/>
        <scheme val="minor"/>
      </rPr>
      <t xml:space="preserve">SAHARI - Activity 2.1.1.  Linking of micro finance groups with financial institution is going on
</t>
    </r>
    <r>
      <rPr>
        <sz val="11"/>
        <color rgb="FF000000"/>
        <rFont val="Aptos Narrow"/>
        <scheme val="minor"/>
      </rPr>
      <t xml:space="preserve">•	Delay in process of travel permit, affected the implementation of planned activities.
</t>
    </r>
  </si>
  <si>
    <t>•	Zenab - Activity 2.1.2 - Training preparation of 25 participants from 5 committees is complete; and training begins next week.
•	Zenab - Activity 1.1.7 - CAHW training for 20 participants (2 from each of 10 villages in East Galabat and Alfashaga) started today.
•	Zenab - Activity 1.1.3 - 5 East Al Galabat associations were completed and submitted to the agricultural registrar for review; a meeting is scheduled to finalize certificate registration.</t>
  </si>
  <si>
    <t xml:space="preserve">•	CAFA - Activity 2.1.3 - CfW coordination with Health Unit of Berber. Registration of beneficiaries started.
•	CAFA - Activity 1.1.3 - In coordination with MoA (Associations Department), 3 agricultural associations were selected in Berber Locality - formal registration &amp; validation ongoing: 
•	Al-Wihda association in Berber admin unit, membership 68, and total area for cultivation 237 Feddans.
•	Umm Tamer association in Al-Obaidiya admin unit, membership 30, and total area for cultivation 202 Feddans.
•	Al-wadi Al-akhder association in Al-Bawga admin unit, membership 30, and total area for cultivation 287 Feddans.
•	CAFA - Activity 2.1.1 - 3 Female Associations in Berber locality have been nominated to submit proposals for small-scale projects to be funded under the micro-grants’ activity 
•	CAFA - Activity 1.1.4 - Coordination has been initiated with MoA to organize the FFS activity in 2 localities (Berber &amp; Al-damer)
Expected Risk / Challenges
•	Low participation rate among youth in CFW registration process has been observed
</t>
  </si>
  <si>
    <t>Contractor: Hajana Company/Gedaref (3 sites)
•	Three sites for irrigation pumps have been handed over to the contractor in West Galabat locality/ Bandigeaw admin unit.
Challenges:
Bad road condition remains the major challenge to access Alshaga and Nur Elhuda in Al Mafaza locality.
•	Contract Ref: 10439946: (Hagana Company/River Nile) 4 Solarized Irrigation Pumps: 
	The civil works for one site has been completed. 
	Completion % of the civil work for the remaining 3 sites is 40%, 50% and 90% for Berber, Al-Ketyab and Al-Matama respectively. 
•	Challenges/PA noted: Budget limitations affected goat procurement; lower-than-expected attendance in CAWs training.</t>
  </si>
  <si>
    <t>16th Nov to 20th Nov</t>
  </si>
  <si>
    <t xml:space="preserve">
•	BRDO - Activity 2.1.1 - 3 Micro-grants  projects supported for 3 vulnerable women’s groups consisting of 90 female members across Bant, Sawagil West, and Hafrat villages
•	BRDO - Activity 1.1.3 - 4 new agricultural associations have been established in target villages, bringing together 245 (M215/F30)
</t>
  </si>
  <si>
    <t>•	PA - Activity 1.1.8 - In Wad Al-Hilew locality, 15 beneficiaries (12 women and 3 men, aged 18–35) received improved-breed male goats 
•	PA - Activity 1.1.7 - CAWs Five-day training completed for 15 participants (12 men, 3 women, ages 18–35)
in the Halfa Locality.</t>
  </si>
  <si>
    <t>•	SAHARI - Activity 2.1.2 - training workshop for farmers association attended 20 participants (7 Female, 13 Male) facilitated by deputy director of National worker’ Bank.</t>
  </si>
  <si>
    <t>•	 Zenab - Activity 1.1.7 - Animal Health Training Workshop for 20 trainees (13 male, 7 female), with two participants selected from each of the ten targeted villages across the two localities.
•	 Zenab - Activity 2.1.2 -  Community sensitization sessions were held in the five targeted villages on VSLAs in Al-Fashqa Locality
•	 Zenab  - Activity 2.1.3 - Youth Engagement in Cash-for-Work Activities</t>
  </si>
  <si>
    <t xml:space="preserve">•	CAFA - Activity 1.1.3 - All required document for the 3 agricultural associations selected in Barber (as referenced in the previous update) been collected &amp; compiled. Verification of the document &amp; eligibility assessment ongoing.
•	CAFA - Activity 2.1.1 - Micro-grants criteria developed. 2 out 3 targeted associations in Barber have submitted their project proposals, pending 3rd.
•	CAFA - Activity 1.1.4 - Preparation of FFS with coordination in Al-Damer and sites idenification in Barber &amp; prcurement ongoing for required materials &amp; inputs have been listed.
</t>
  </si>
  <si>
    <t xml:space="preserve">Contractor: Hajana Company/Gedaref (3 sites)
•	The contractor (Hagana Co.) starts mobalizition of material to three sites for irrigation pumps in West Galabat locality/ Bandigeaw admin unit.
EAA Project/River Nile – Hagana Company
•              Contract Ref: 10439946 – Solarized Irrigation Pumps (4 sites):
•              The Civil works for all sites have been completed.
•              Commissiong and handover are planned for first week of December </t>
  </si>
  <si>
    <t>23rd Nov to 27th Nov</t>
  </si>
  <si>
    <t xml:space="preserve">•	BRDO conducted a Joint monitoring missions with HAC in project target areas.
•	BRDO - Activity 2.1.1 - Follow-up on micro-grants process to vulnerable groups and as well the onion harvesting at the Bant women’s farm.
</t>
  </si>
  <si>
    <r>
      <rPr>
        <sz val="11"/>
        <color rgb="FF000000"/>
        <rFont val="Aptos Narrow"/>
        <scheme val="minor"/>
      </rPr>
      <t xml:space="preserve">•	PA - Activity 1.1.4 - FFS New Halfa Monitoring at the winter vegetable demonstration plot in Village 16, New Halfa.
•	</t>
    </r>
    <r>
      <rPr>
        <b/>
        <sz val="11"/>
        <color rgb="FFFF0000"/>
        <rFont val="Aptos Narrow"/>
        <scheme val="minor"/>
      </rPr>
      <t xml:space="preserve">PA - Activity  1.1.2 / 1.1.4 - 30 women (ages 18–35) prepared and planted area approximately 1 acre (≈ 0.96 feddan) with okra, onion, chili, and arugula  using improved techniques supported by the Agricultural Extension Department.
</t>
    </r>
    <r>
      <rPr>
        <sz val="11"/>
        <color rgb="FF000000"/>
        <rFont val="Aptos Narrow"/>
        <scheme val="minor"/>
      </rPr>
      <t xml:space="preserve">•	PA - Activity 1.1.8 -  20 male goats were distributed to 20 HH across 5 villages.
•	Follow-up monitoring was conducted to ensure proper animal care and management.
•	Meetings CMCs, with 10 participants (5 men and 5 women, aged 18–35) to strengthen reporting on animal health and sustainability.
Key Challenge
•	Communities requested increasing the number of male goats to cover all villages in Halfa locality.
</t>
    </r>
  </si>
  <si>
    <r>
      <rPr>
        <sz val="11"/>
        <color rgb="FF000000"/>
        <rFont val="Aptos Narrow"/>
        <scheme val="minor"/>
      </rPr>
      <t xml:space="preserve">
•	SAHARI - Activity 1.1.3 - Progressing Agricultural Association registration
•	SAHARI - Activity 2.1.1 - </t>
    </r>
    <r>
      <rPr>
        <b/>
        <sz val="11"/>
        <color rgb="FFFF0000"/>
        <rFont val="Aptos Narrow"/>
        <scheme val="minor"/>
      </rPr>
      <t>A field visit to Abunaja was conducted to meet with selected entrepreneurs.</t>
    </r>
  </si>
  <si>
    <t xml:space="preserve">•	Zenab - Activity 2.1.2 - Saving and lending activities have been completed (5 VSLAs).
•	Zenab - Ongoing monitoring and evaluation of project activities continue.
</t>
  </si>
  <si>
    <t xml:space="preserve">•  CAFA - Activity 1.1.4 -  Established FFS in ALdamer &amp; Berber Localities:
-	The Farmer Field Schools were launched in Aldamer and Berber localities.  Toolkits, supplies and Saks were distributed. the sessions were attended by approximately 60 farmers
</t>
  </si>
  <si>
    <t xml:space="preserve"> 
</t>
  </si>
  <si>
    <t xml:space="preserve">Contractor: Hagana Company/Gedaref (3 sites)
•	Hagana Co. has commenced mobilization of materials across three sites for irrigation pump installation in West Galabat Locality (Bandigeaw Administrative Unit). All materials have been fully delivered to the sites.
EAA Project/River Nile – Hagana Company
•              Contract Ref: 10439946 – Solarized Irrigation Pumps (4 sites):
•              The Civil works for all sites have been completed.
•              Commissiong and handover are planned for first week of December 
</t>
  </si>
  <si>
    <t>30th Nov to 4th Dec</t>
  </si>
  <si>
    <t xml:space="preserve">•	BRDO - A1.1.3 - Continued follow-up on registration of agricultural associations.
•	BRDO - A 2.1.1 - Monitored 3 micro-grant groups in Sawagi South, Banat, and Hafarat.
</t>
  </si>
  <si>
    <t>PA - A2.1.1 – Preparations  completed in Halfa and Wadalhliew for small grant distribution. In Wadalhliew, a group of 30 women (ages 18–35):
•	15 women received grain mills with accessories
•	15 women received 2 sewing machines with accessories (threads, scissors, etc.)</t>
  </si>
  <si>
    <t>•	SAHARI - A1.1.3 - 1 Agricultural association registered in Sharif Ala Ageb, 40 members</t>
  </si>
  <si>
    <t xml:space="preserve">
•	Zenab - A 1.1.3 - Ongoing efforst for Agricultural association registration in Al-Sarraf, Wad-Kabrous, and Al-Kanara.</t>
  </si>
  <si>
    <t>NO UPDATE</t>
  </si>
  <si>
    <t xml:space="preserve">Contractor: Hagana Company (3 sites)
•	Mobilization of materials for irrigation pump installations in three sites in West Galabat Locality (Bandigeaw Administrative Unit) has been completed.
•	All materials are now delivered on-site, and overall progress has reached 20%.
</t>
  </si>
  <si>
    <t>7th Dec to 11th Dec</t>
  </si>
  <si>
    <t>•	BRDO - field visits to Bant Farm and Swagi and joint BRDO–UNDP follow-up visits in Hafrat villages</t>
  </si>
  <si>
    <t xml:space="preserve">•	PA - A2.1.1 - In New-Halfa locality (3 sewing machines and 5 legume-grinding machines) across 5 villages, targeting 80 mainly women aged 18–35 and 2 men.
•	PA  - A1.1.6 - Conducted follow-up on small ruminant restocking (female goats)
</t>
  </si>
  <si>
    <t>•	Zenab - A 2.1.2 - 5 VSLAs formed in Al-Fashqa Locality, one in each of the five targeted villages; Each 30 women members, total 150 women; 5 leaders from each VSLA trained</t>
  </si>
  <si>
    <t xml:space="preserve">•               CAFA - A 1.1.3 - Ongoing registration process of 3 agriculture associations in Berber locality. </t>
  </si>
  <si>
    <r>
      <rPr>
        <sz val="11"/>
        <color rgb="FF000000"/>
        <rFont val="Aptos Narrow"/>
        <scheme val="minor"/>
      </rPr>
      <t xml:space="preserve">b. Procurement Activities
Contractor: Hagana Company (3 sites)
•	Material mobilization for the installation of irrigation pumps in three sites in West Galabat (Bandigeaw Administrative Unit) is complete.
•	All materials are on-site, and progress has reached 50%.
•	</t>
    </r>
    <r>
      <rPr>
        <b/>
        <sz val="11"/>
        <color rgb="FFFF0000"/>
        <rFont val="Aptos Narrow"/>
        <scheme val="minor"/>
      </rPr>
      <t xml:space="preserve">EAA Project – Solar Irrigation:
</t>
    </r>
    <r>
      <rPr>
        <sz val="11"/>
        <color rgb="FF000000"/>
        <rFont val="Aptos Narrow"/>
        <scheme val="minor"/>
      </rPr>
      <t xml:space="preserve">o	Three solar irrigation systems under installation in Kassala town (progress: 20–40%). The pumps and solar accessories expected to deliver within two days; the completion anticipated this week.
</t>
    </r>
    <r>
      <rPr>
        <b/>
        <sz val="11"/>
        <color rgb="FFFF0000"/>
        <rFont val="Aptos Narrow"/>
        <scheme val="minor"/>
      </rPr>
      <t xml:space="preserve">C)	River Nile State: 
EAA Project (Hagana Co.)
</t>
    </r>
    <r>
      <rPr>
        <sz val="11"/>
        <color rgb="FF000000"/>
        <rFont val="Aptos Narrow"/>
        <scheme val="minor"/>
      </rPr>
      <t xml:space="preserve">•                Two solarized irrigation pumps have been commissioned and handed over to beneficiaries.
</t>
    </r>
  </si>
  <si>
    <t>14th Dec to 18th Dec</t>
  </si>
  <si>
    <t>•	BRDO - Continued follow-up with women farmers in Bant – Swagi Shamlia</t>
  </si>
  <si>
    <t>•	PA - Monitoring visits were conducted in Wad Al-Hiliew and New Halfa localities, focusing on micro-grant (small grant) income-generating activities</t>
  </si>
  <si>
    <t xml:space="preserve">•	SAHARI  - A1.1.3 - 2 Agricultural farmers group registered
</t>
  </si>
  <si>
    <t>•	Zenab - A2.1.3 - Youth groups in all targeted villages in Western Galabat locality and 3 villages in Al-Fashga locality.
•	Zenab - A1.1.1 - Harvest Monitoring</t>
  </si>
  <si>
    <t xml:space="preserve">•   CAFA - A1.1.3 -  Completed the establishment of 5 agriculture associations in Berber and Ad-Damer localities. </t>
  </si>
  <si>
    <r>
      <rPr>
        <b/>
        <sz val="11"/>
        <color rgb="FF000000"/>
        <rFont val="Aptos Narrow"/>
        <scheme val="minor"/>
      </rPr>
      <t xml:space="preserve">Contractor: Hagana Company (3 sites)-Gedaref
</t>
    </r>
    <r>
      <rPr>
        <sz val="11"/>
        <color rgb="FF000000"/>
        <rFont val="Aptos Narrow"/>
        <scheme val="minor"/>
      </rPr>
      <t xml:space="preserve">•	Material mobilization for the installation of irrigation pumps in three sites in West Galabat (Bandigeaw Administrative Unit) is complete.
•	All materials are on-site, and progress has reached 70%.
</t>
    </r>
    <r>
      <rPr>
        <b/>
        <sz val="11"/>
        <color rgb="FF000000"/>
        <rFont val="Aptos Narrow"/>
        <scheme val="minor"/>
      </rPr>
      <t xml:space="preserve">•	EAA Project – Solar Irrigation - Kassala
</t>
    </r>
    <r>
      <rPr>
        <sz val="11"/>
        <color rgb="FF000000"/>
        <rFont val="Aptos Narrow"/>
        <scheme val="minor"/>
      </rPr>
      <t xml:space="preserve">o	Three solar irrigation systems under installation in Kassala town (progress: 20–40%). The pumps and solar accessories expected to deliver within two days; the completion anticipated this week.
</t>
    </r>
    <r>
      <rPr>
        <b/>
        <sz val="11"/>
        <color rgb="FF000000"/>
        <rFont val="Aptos Narrow"/>
        <scheme val="minor"/>
      </rPr>
      <t xml:space="preserve">•	 EAA Project (Hagana Co.) -River Nile State:
</t>
    </r>
    <r>
      <rPr>
        <sz val="11"/>
        <color rgb="FF000000"/>
        <rFont val="Aptos Narrow"/>
        <scheme val="minor"/>
      </rPr>
      <t xml:space="preserve">•    The remaining Two solarized irrigation pumps have been tested and commissioned in Ad-Damer and Al-Mattama. 
</t>
    </r>
  </si>
  <si>
    <t>21st Dec to 25th Dec</t>
  </si>
  <si>
    <t xml:space="preserve">•	BRDO - A 2.1.2 - Follow up field visits to newly registered associations:
o	North Swagi: 14 female participants
o	Kalhoot: 45 participants (36 male, 9 female)
</t>
  </si>
  <si>
    <t>•	PA - A 1.1.8 - 35 improved buck goats distributed in Halfa and Wadalhliew localities using a community-based rotational breeding approach.</t>
  </si>
  <si>
    <t>•	SAHARI - A1.1.1 - Procurement of winter season seeds is ongoing.
•	SAHARI - A1.1.3 - Registration of 2 farmer groups ongoing including bank account opening for both groups.</t>
  </si>
  <si>
    <t>•	ZENAB - A 2.1.3 - CfW in the remaining two villages in West Galabat.
•	ZENAB - A1.1.1 - Harvest Monitoring</t>
  </si>
  <si>
    <t xml:space="preserve">•    CAFA - A 2.1.2 -  1 association selected for Micro Grant Program in Berber Locality.
•    CAFA - A1.1.3 - Completed establishment of 5 agriculture associations in Berber and Ad-Damer localities. </t>
  </si>
  <si>
    <r>
      <rPr>
        <b/>
        <sz val="11"/>
        <color rgb="FF000000"/>
        <rFont val="Aptos Narrow"/>
        <scheme val="minor"/>
      </rPr>
      <t xml:space="preserve">•	Procurement Activities - Gedaref
</t>
    </r>
    <r>
      <rPr>
        <sz val="11"/>
        <color rgb="FF000000"/>
        <rFont val="Aptos Narrow"/>
        <scheme val="minor"/>
      </rPr>
      <t xml:space="preserve">Contractor: Hagana Company (3 sites)
•	Material mobilization for irrigation pump installation in three sites in West Galabat (Bandigeaw Administrative Unit) has reached approximately 75%.
</t>
    </r>
    <r>
      <rPr>
        <b/>
        <sz val="11"/>
        <color rgb="FF000000"/>
        <rFont val="Aptos Narrow"/>
        <scheme val="minor"/>
      </rPr>
      <t xml:space="preserve">•	EAA Project – Solar Irrigation - Kassala
</t>
    </r>
    <r>
      <rPr>
        <sz val="11"/>
        <color rgb="FF000000"/>
        <rFont val="Aptos Narrow"/>
        <scheme val="minor"/>
      </rPr>
      <t xml:space="preserve">o	Three solar irrigation systems are under installation in Kassala town (progress ranging from 20–40%).
o	Pumps and solar accessories are expected to be delivered within two days, with completion anticipated this week.
</t>
    </r>
    <r>
      <rPr>
        <b/>
        <sz val="11"/>
        <color rgb="FF000000"/>
        <rFont val="Aptos Narrow"/>
        <scheme val="minor"/>
      </rPr>
      <t xml:space="preserve">•             Solarized Irrigation pumps (Hagana Co.) - River Nile
</t>
    </r>
    <r>
      <rPr>
        <sz val="11"/>
        <color rgb="FF000000"/>
        <rFont val="Aptos Narrow"/>
        <scheme val="minor"/>
      </rPr>
      <t xml:space="preserve">•                The remaining Two solarized irrigation pumps will be handed over this week
</t>
    </r>
  </si>
  <si>
    <t>28th Dec to 31st Dec</t>
  </si>
  <si>
    <t>•	BRDO - No update</t>
  </si>
  <si>
    <t>•	PA - M&amp;E HAC-led follow-up and evaluation visits conducted in New Halfa (Jaber, Village 16, Dar Al-Salam)</t>
  </si>
  <si>
    <t>•	SAHARI - A 1.1.3 - Registration completed of 2 farmer groups; 19 members in Bagdad; 22 members Umsenibra
•	SAHARI - A 1.1.3 -  Total of 7 farmer associations officially registered.</t>
  </si>
  <si>
    <t>•	ZENAB - A1.1.3 - 5 Agricultural associations successfully registered in Al-Saraf, Wad Kakbrous, Al-Kanara, Wad Al-Halangi, Sabrana (West Galabat Locality)
•	ZENAB - A1.1.4 - FFS in 10 villages reaching 160 farmers in West Galabat and 140 farmers in Al-Fashga
•	ZENAB - A2.1.1 - Planned 2 micro-grants targeting vulnerable groups and associations with approximately 60 members.</t>
  </si>
  <si>
    <r>
      <rPr>
        <b/>
        <sz val="11"/>
        <color rgb="FF000000"/>
        <rFont val="Aptos Narrow"/>
        <scheme val="minor"/>
      </rPr>
      <t xml:space="preserve">Contractor: Hajana Company (3 sites) - Gedaref
</t>
    </r>
    <r>
      <rPr>
        <sz val="11"/>
        <color rgb="FF000000"/>
        <rFont val="Aptos Narrow"/>
        <scheme val="minor"/>
      </rPr>
      <t xml:space="preserve">•	Approximately 80% of the installation works for irrigation pumps and solar systems have been completed in West Galabat locality (Bandigeaw Administrative Unit).
•	Installation of PV panels is currently ongoing.
</t>
    </r>
    <r>
      <rPr>
        <b/>
        <sz val="11"/>
        <color rgb="FF000000"/>
        <rFont val="Aptos Narrow"/>
        <scheme val="minor"/>
      </rPr>
      <t xml:space="preserve">EAA Fund - Solar &amp; Water Infrastructure - Kassala
</t>
    </r>
    <r>
      <rPr>
        <sz val="11"/>
        <color rgb="FF000000"/>
        <rFont val="Aptos Narrow"/>
        <scheme val="minor"/>
      </rPr>
      <t xml:space="preserve">•	Solar Irrigation Pumps:
o	Kassala: Installation 70% complete across three sites.
•	Water Yards Rehabilitation:
o	Preparations underway for site handover in Village 6 (Halfa) and Dar Al-Salam (Girba).
</t>
    </r>
    <r>
      <rPr>
        <b/>
        <sz val="11"/>
        <color rgb="FF000000"/>
        <rFont val="Aptos Narrow"/>
        <scheme val="minor"/>
      </rPr>
      <t xml:space="preserve">EAA Project - River Nile
</t>
    </r>
    <r>
      <rPr>
        <sz val="11"/>
        <color rgb="FF000000"/>
        <rFont val="Aptos Narrow"/>
        <scheme val="minor"/>
      </rPr>
      <t xml:space="preserve">•	Solarized Irrigation pumps (Hagana Co.):
•	The remaining two solar-powered irrigation pumps were handed over this week. This marks the completion of all four pumps under the Hagana contract in River Nile State
</t>
    </r>
  </si>
  <si>
    <t>4th Jan to 8th Jan</t>
  </si>
  <si>
    <t xml:space="preserve">
•	BRDO- Activity 2.1.2  - Coverage: 5 male associations (150 members) and 1 women’s association (40 members). 
</t>
  </si>
  <si>
    <t>•	PA - Activity 2.1.1  - Sewing groups; food processing; grain mills - progressing and promising</t>
  </si>
  <si>
    <t xml:space="preserve">•	SAHARI - Activity 1.1.6 - Distribution of 40 goats, in Wasat Gedaref locality.
•	SAHARI - Activity 1.1.1 - Distribution of winter-season vegetable seeds to 162 youth.
</t>
  </si>
  <si>
    <t xml:space="preserve">•	ZENAB -Activity 2.1.3 - Finalization of CfW activities.
</t>
  </si>
  <si>
    <t>•              CAFA -  Preparation of the beneficiaries  lists</t>
  </si>
  <si>
    <r>
      <rPr>
        <b/>
        <sz val="11"/>
        <color rgb="FF000000"/>
        <rFont val="Aptos Narrow"/>
        <scheme val="minor"/>
      </rPr>
      <t xml:space="preserve">Contractor: Hajana Company (3 sites) - Gedaref
</t>
    </r>
    <r>
      <rPr>
        <sz val="11"/>
        <color rgb="FF000000"/>
        <rFont val="Aptos Narrow"/>
        <scheme val="minor"/>
      </rPr>
      <t xml:space="preserve">•	95% completion of irrigation pump and solar system installations in West Galabat locality (Bandigeaw Administrative Unit). Systems are operational and ready for handover.
</t>
    </r>
    <r>
      <rPr>
        <b/>
        <sz val="11"/>
        <color rgb="FF000000"/>
        <rFont val="Aptos Narrow"/>
        <scheme val="minor"/>
      </rPr>
      <t xml:space="preserve">EAA Fund Items – Solar Irrigation Pumps- Contract Ref: 10439946 – Installation of 10 solarized irrigation pumps - Kassala
</t>
    </r>
    <r>
      <rPr>
        <sz val="11"/>
        <color rgb="FF000000"/>
        <rFont val="Aptos Narrow"/>
        <scheme val="minor"/>
      </rPr>
      <t xml:space="preserve">(3 Gedaref, 3 Kassala, 4 River Nile) – Contractor: Hagana for Development Supply
•	Kassala: 70% completion of pump and solar system installation at the three sites.
</t>
    </r>
    <r>
      <rPr>
        <b/>
        <sz val="11"/>
        <color rgb="FF000000"/>
        <rFont val="Aptos Narrow"/>
        <scheme val="minor"/>
      </rPr>
      <t xml:space="preserve">EAA Project  - Solarized Irrigation pumps (Hagana Co.- River Nile State
</t>
    </r>
    <r>
      <rPr>
        <sz val="11"/>
        <color rgb="FF000000"/>
        <rFont val="Aptos Narrow"/>
        <scheme val="minor"/>
      </rPr>
      <t xml:space="preserve">•               100% Completion and handover of all four solarized irrigation pumps under the Hagan contract in River Nile State. 
</t>
    </r>
  </si>
  <si>
    <t>11th Jan to 15th Jan</t>
  </si>
  <si>
    <t xml:space="preserve">
•	BRDO - Activity 1.1.1 - Seeds distributed to women farmers (50 in South Swagi, 25 in Kurmta, and 25 in North Swagi).</t>
  </si>
  <si>
    <t>•	PA - Activity 2.1.1 - Follow-up visits to micro-grant activities in Wad Al-Hilio Locality (Village 9).
•	PA - Activity 1.1.2 - Monitoring demonstration farm in Halfa Locality (Village 16) showed positive progress. The farm, cultivated by 35 women (ages 18–35), is performing well</t>
  </si>
  <si>
    <t>•	SAHARI - Activity 1.1.6 - Distribution of 40 female goats to 20 beneficiary households, including 17 women and 3 men.
•	SAHARI - Activity 1.1.1  - Distribution of vegetable seeds to 150 beneficiaries in Abonaja West, Abonaja North, and Abonaja Atujmu’a.</t>
  </si>
  <si>
    <t xml:space="preserve">ZENAB
•	No activities conducted this week.
</t>
  </si>
  <si>
    <t xml:space="preserve">Contractor: Hajana Company (3 sites) - Gedaref
•	Work 95% of installation of irrigation pumps and solar system in 3 locations in West Galabat locality 
o	Bandigeaw admin unit. Operation and ready to handover. 
o	Umsalala community
o	Afrush Tobak Community
EAA Fund Items – Solar Irrigation Pumps
Contract Ref: 10439946 – Installation of 10 solarized irrigation pumps
(3 Gedaref, 3 Kassala, 4 River Nile) – Contractor: Hagana for Development Supply
•	Kassala: 90% completion of pump and solar system installation at the three sites.
Contract Ref: 10493677 – Rehabilitation of Village 6 (Halfa) &amp; Darelsalam (Girba) Water Yards
Contractor: Hewa for Water Drilling
•	2 sites are handed over to the contractor.
EAA Project - River Nile
Solarized Irrigation pumps (Hagana Co.):
•               100% Completion and handover of all four solarized irrigation pumps under the Hagan contract in River Nile State. 
</t>
  </si>
  <si>
    <t>18th Jan to 22nd Jan</t>
  </si>
  <si>
    <t xml:space="preserve">•	BRDO - Activity 1.1.1 -1.1.2 - Continued distribution &amp; agricultural extension sessions targeting women farmers - South Swagi (50 participants), Bant (25), Kurmta (25)
</t>
  </si>
  <si>
    <t xml:space="preserve">•	PA - Activity 2.1.1 - 15 women received sewing machines under micro-grant projects; 5 women are now actively producing school uniforms, reducing household costs and travel time.
•	PA - Activity 2.1.2 - In Halfa Locality, confirmed that 5 VSLAs (15 women each, aged 18–35) remain active, with regular savings and lending.
</t>
  </si>
  <si>
    <t xml:space="preserve">•	SAHARI - Continued monitoring and evaluation of ongoing project activities.
</t>
  </si>
  <si>
    <t xml:space="preserve">•	ZENAB - Activity 2.1.1 - Initiation of the grant proposal screening process.
</t>
  </si>
  <si>
    <r>
      <rPr>
        <sz val="11"/>
        <color rgb="FF000000"/>
        <rFont val="Aptos Narrow"/>
        <scheme val="minor"/>
      </rPr>
      <t xml:space="preserve">Hajana Company (West Galabat – 3 Sites) - Gedaref
•	Installation of irrigation pumps &amp; solar systems reached 95% across all sites. 
o	Bandigeaw Administrative Unit: Operational and ready for handover.
o	Umsalala Community: 95% completed.
o	Afrush Tobak Community: 95% completed.
Hewa – Water Drilling (West Galabat)
•	Sites handed over for implementation: 
o	Rehabilitation of Bandigeaw Girls’ School mini water yard (Part 2 1).
o	Rehabilitation of Eldelaib area mini water yard (Part 2 2).
EAA infrastructure works in Kassala -
progressed with 90% completion of solar irrigation pump installations in Kassala and handover of sites in Village 6 (Halfa) and Darelsalam (Girba). Seed warehouse construction sites are scheduled for handover next week.
</t>
    </r>
    <r>
      <rPr>
        <b/>
        <sz val="11"/>
        <color rgb="FF00B050"/>
        <rFont val="Aptos Narrow"/>
        <scheme val="minor"/>
      </rPr>
      <t>Solarized Irrigation pumps (Hagana Co.): - Kassala
•               100% Completion and handover of all four solarized irrigation pumps under the Hagan contract in River Nile State</t>
    </r>
  </si>
  <si>
    <t>25th Jan to 29th Jan</t>
  </si>
  <si>
    <t>•	BRDO - Activity 1.1.4 - Conducted agricultural extension sessions for 100 women in Swagi Ganobia (50), Kurmta (25), and Bant (25).
•	Kurmta women’s farms expected to be ready for harvesting and marketing next week.</t>
  </si>
  <si>
    <t xml:space="preserve">•	PA - Activity 2.1.1  - In Jaber Village New Halfa, a women’s group (20 women) supported with two Dukwah processing machines started production and sold 18 kg in the local market.
•	PA - Activity 1.1.1 - Follow-up on lentil cultivation showed successful harvesting after six months: 5 feddans cultivated, producing 30 sacks.
•	PA - Activity 1.1.6 -  In Village 16, monitoring of 10 female goats distributed to households showed 3 births (2 males, 1 female); newborn goats will be redistributed per the asset transfer plan.
</t>
  </si>
  <si>
    <t xml:space="preserve">SAHARI
•	Ther is some change in SAHARI staff and new project manager has been appointed.
•	A review meeting was conducted with the project staff.
</t>
  </si>
  <si>
    <t xml:space="preserve">•	ZENAB - Activity 2.1.1 - 5 proposals had been identified as qualified for selecting from within.
</t>
  </si>
  <si>
    <t xml:space="preserve">EAA Project - Gedaref :
Contractor:  Hajana Company (3 sites – West Galabat Locality)
• The company made some comments on the installation of irrigation pumps and solar systems.
• Locations are:
o Bandigeaw Administrative Unit – operational and ready for handover.
o Umsalala Community.
o Afrush Tobak Community.
Contractor: Hewa (Water Drilling) – West Galabat
• The following sites have been handed over for implementation:
o Rehabilitation of Bandigeaw Girls’ School mini water yard (Part 2-1).
o Rehabilitation of Eldelaib area mini water yard (Part 2-2).
• Contractor starts positioning material in the project location.
EAA Kassala:
Contractor:  Hajana Company (3 sites – Kassala)
• Locations are:
o Kassala – Al Bustan
o Kassala – Al Sabeel
o Kassala – North Swagi
EAA Project - River Nile
Solarized Irrigation pumps (Hagana Co.):
• 100% Completion and handover of all four solarized irrigation pumps under the Hagan contract in River Nile State
Construction of Community Seeds Warehouses (KSM For ENGINEERING AND CONTRACTING) 
• The site has been handed over to the contractor.
</t>
  </si>
  <si>
    <t xml:space="preserve">•	BRDO conducted a joint mission with the UNDP team for a programmatic spot check at Bant Women Farm, engaging 17 female participants in a group discussion. A similar session was also held in Swagi Shamalia with 17 female participants.
•	BRDO organized a training session for community animal health workers and veterinary technicians, with a total of 23 participants (including 17 females). The training focused on improving knowledge in vaccination and animal production practices.
•	BRDO established two Community Management Committees (CMCs): one in Hafrat village (11 male members) and another in Kalhoot village (10 male members).
</t>
  </si>
  <si>
    <t xml:space="preserve">•	A total of 51 beneficiaries attended, including 9 men and 42 women were sensitized on goat restocking and animal health in Wedel Helew and New Halfa Localities.
•	Follow-up sessions of the Farmer Field Schools (FFS) were carried out in Halfa and Wad El Hilew localities on Production and application of organic fertilizer, pest and disease management for a total of 124 participants (87 women and 37 men).
•	In Dar Alsalam village, general assemblies were convened in the presence of a legal advisor from Halfa locality, leading to the formation of executive committees for the establishment of one agricultural association 100 member (60M, 40F). The registration process will be finalized by the Agricultural Extension Office in Halfa, the mandated body responsible for registering agricultural associations in the locality
</t>
  </si>
  <si>
    <t xml:space="preserve">•	Providing extension service to the farmers is on going
•	Distributed 14 goats to 7 households in Wadwidaida.
•	14 Youth Community Animal health Workers (CAHWs) get refresh training.
•	Monitoring project activities is ongoing.
</t>
  </si>
  <si>
    <t>•	Distributed 10 lactating goats and 5 male goats in Wadalhalagi .
•	Distributed 4 male goats in Alkanara village.
•	Distributed 10 lactated goats with 5 male goats in Sabana  
•	10 feddan sprayed with liquid fertilizer t in Alremela .</t>
  </si>
  <si>
    <t xml:space="preserve">•	Agricultural Inputs Distribution:
-	Distributed agriculture seeds to 144 farmers in Aldamar locality.
-	Distributed 125 agricultural tools to 125 farmers in Barabar locality.
</t>
  </si>
  <si>
    <t xml:space="preserve">•	Established three Community Management Committees (CMCs): two in Rural Al-Girba locality (Al Munba: 15 participants – 6 females, 9 males; Al Shagrap: 40 participants – 20 females, 20 males) and one in Kassala locality (Al Kurmta: 9 males). 
•	Conducted FFS training sessions in Al Munba (9 males) and Al Shagrap (12 males) villages in Rural Al-Girba, and in Al Kurmta (13 females) in Kassala locality. The training covered various agricultural topics, including improved and climate-smart agricultural practices. 
</t>
  </si>
  <si>
    <t xml:space="preserve">•	Conducted training sessions for Community Management Committees (CMCs) established earlier in the project across New Halfa and Wad Al Hilew localities, targeting 100 youth (40 females and 60 males). 
•	Continued implementation of Farmer Field Schools (FFS) activities in both localities, focusing on community-based agricultural extension services. A total of 120 farmers (40 women and 80 men) participated in the ongoing sessions. 
</t>
  </si>
  <si>
    <t xml:space="preserve">•	Extension services to farmers are ongoing.
•	Project activities continue to be monitored.
•	Drafting of two success stories is in progress.
</t>
  </si>
  <si>
    <t xml:space="preserve">•	The organization observed a closure period in condolence for the loss of the Finance Officer.
•	Government counterparts continue supporting farmers at the field level.
</t>
  </si>
  <si>
    <t xml:space="preserve">•	Agricultural Inputs Distribution:
-	Distributed agriculture seeds (vegetables) to 100 farmers in Aldamar locality.
-	Facilitate additional land access for 160 farmers in Um Saial Village in Aldamar locality.
</t>
  </si>
  <si>
    <t xml:space="preserve">•	Farmer Field Schools (FFS): Conducted in collaboration with the Ministry of Agriculture to train small farmers on improved and climate-smart agricultural practices. Targeted 22 farmers , 12 females (Swagi Shamalia) and 10 males (Kalhoot village, Kassala locality).
•	Training for Community Animal Workers (CAWs) and Para-Veterinary Workers: Conducted in Shagrap, Rural Girba locality with participation of 35 females. The training focused on animal health and production, including vaccination, disease control, and livestock management.
•	Establishment and Sensitization of Producer Associations: Farmers and livestock producers were selected and oriented on forming and registering small producer associations. A total of 163 participants were guided on the requirements and formalities for official registration,  including 110 males from Kalhoot, 37 participants (21 males and 16 females) from Hafrat, and 16 participants (11 males and 5 females) from Almunba, all located in Rural Girba locality.
</t>
  </si>
  <si>
    <t xml:space="preserve">•	Establishment of Savings and Lending Schemes: Six Savings and Credit Associations were established and  received comprehensive training and linked to microfinance institutions (4 in Halfa and 2 in Wad Al-Hilo), comprising 150 members (126 female, 24 male), with 85% women participation.
•	Community-Based Agricultural Extension Services (FFS): Ongoing Farmer Field School (FFS) activities continued in Halfa and Wad Al-Hilo. Targeting 120 farmers (40 women, 80 men).
</t>
  </si>
  <si>
    <t>This week, SAHARI teams continued their dedicated support to local farmers through ongoing agricultural extension services, ensuring that farmers receive the guidance they need during this critical stage of the season. Meanwhile, project monitoring activities are actively taking place across all sites to track progress and address emerging challenges. The team is also documenting two inspiring success stories that reflect the positive change the project is bringing to rural communities.</t>
  </si>
  <si>
    <t>Farmers in the Farmer Field Schools continued to receive hands-on training and technical advice from extension agents. A key milestone was reached with the successful completion of liquid fertilizer distribution, providing farmers with the necessary inputs to boost crop productivity.</t>
  </si>
  <si>
    <r>
      <rPr>
        <sz val="11"/>
        <color rgb="FF000000"/>
        <rFont val="Aptos Narrow"/>
        <scheme val="minor"/>
      </rPr>
      <t xml:space="preserve">
</t>
    </r>
    <r>
      <rPr>
        <sz val="11"/>
        <color rgb="FF000000"/>
        <rFont val="Aptos Narrow"/>
        <scheme val="minor"/>
      </rPr>
      <t xml:space="preserve">•	Held a follow-up meeting with CAFA to discuss the progress and challenges.
</t>
    </r>
  </si>
  <si>
    <t xml:space="preserve">•	Training of Trainers (TOT) on Rainwater Harvesting – Wad El Hilew:
Conducted in Village 9 with 30 young farmers (18 male, 12 female, aged 18–35). The sessions covered water harvesting concepts, design, maintenance, and field demonstrations.
•	Farmer Field Schools (FFS): Sessions held in Halfa and Wad El Hilew, engaging 65 farmers (32 male youth, 26 female youth, 4 adults). Topics included environmental analysis, post-harvest handling, and storage. Crop monitoring showed sorghum, sesame, and lentil at the grain-filling stage, with promising yields due to improved seeds and recommended agronomic practices.
•	Challenges:
High farmer interest led to requests for broader participation in the TOT sessions. The number of trainees was expanded after consultation.
</t>
  </si>
  <si>
    <t xml:space="preserve">•	Providing extension service to the farmers is on going
•	Monitoring project activities is ongoing.
</t>
  </si>
  <si>
    <t xml:space="preserve">Develop clear eligibility criteria for small grants, focusing on:
•	Household size (priority to large households with limited income).
•	Vulnerability level (female-headed, persons with disabilities, elderly dependents, IDPs, returnees, or poor host households).
•	Income diversification potential, giving priority to vulnerable households that include youth.
Involve Community Management Committees (CMCs) in the household-level data collection process, covering:
•	Household composition (number of members, gender, age distribution).
•	Income sources and current livelihood activities.
•	Household assets and available livelihood tools or resources.
•	Youth engagement in ongoing or potential income-generating activities.
•	Interest and willingness to participate in income diversification initiatives.
</t>
  </si>
  <si>
    <t>•	(UNDP) Solarized Irrigation Pumps:  The sites have been handed over to the contractor.</t>
  </si>
  <si>
    <t xml:space="preserve">•	Farmer Field Schools (FFS): Continuous on conduct practical training sessions in collaboration with the Ministry of Agriculture covered multiple topics . with total 100 female participants from, Swagi Shamalia – 22 females, Banat – 20 females, Kurmta – 18 females, Hafrat – 30 females, Kalhoot – 19 males.
•	Demonstration Plot: One plot (2 feddans) established in Kalhoot with 25 direct participants and 100 indirect beneficiaries. The plot serves as a site for applying best agricultural practices. 
</t>
  </si>
  <si>
    <t xml:space="preserve">•	Registration of Agricultural Associations: Four out of five targeted associations in Halfa and Wad Alhliew localities have completed registration through the Agricultural Associations Registration Department. Total Members: 300 (180 male, 120 female; majority youth aged 18–35).
•	Community-Based Agricultural Extension (FFS): Final FFS sessions conducted in Halfa and Wad Alhliew, focusing on marketing and value chain development. Participants: 79 farmers (40 male youth, 35 female youth, 4 adults).  
</t>
  </si>
  <si>
    <t xml:space="preserve">•	A training session was conducted under the title “Post-Harvest Loss Reduction and Crop Quality Improvement.”
•	A total of 28 trainees attended the training — 5 women and 23 men.
•	Among them, 25 trainees were youth aged between 18 and 35 years..
</t>
  </si>
  <si>
    <t xml:space="preserve">•	The facilitator and the TOR have been identified. The selection of beneficiaries was made from among the youth who received goats.
•	The Cash-for-Work program in Sabarna has been initiated to cover the labor costs for the rehabilitation of the youth center.
•	Other activities are awaiting the issuance of the monthly movement permit for 10 youth groups.
</t>
  </si>
  <si>
    <t xml:space="preserve">•	(UNDP) Solarized Irrigation Pumps: 
	The contractor has mobilized the installation team to the sites and commenced work as scheduled.
	The civil works for the four sites have been completed.
</t>
  </si>
  <si>
    <t xml:space="preserve">Challenges (PA):
•	Farmers’ engagement in cultivation and harvest preparation delayed some activities, including association registration.
•	Participants’ expectations of higher financial incentives required careful communication and transparency.
•	These challenges were mitigated through clear explanation of available resources and maintaining trust among stakeholders.
</t>
  </si>
  <si>
    <t xml:space="preserve">•	Demonstration Farm, Hafrat area: One demonstration plot (2 feddans) established participations are  32 males farmers. 
•	Savings and Lending Schemes: Five community groups established across Swagi Shamalia, Bant, Kalhoot, Hafrat, and Almanba areas (30 females per group; 150 members total) to promote voluntary savings, small grants, and income-generating ventures.
</t>
  </si>
  <si>
    <r>
      <rPr>
        <sz val="11"/>
        <color rgb="FF000000"/>
        <rFont val="Aptos Narrow"/>
        <scheme val="minor"/>
      </rPr>
      <t xml:space="preserve">•	Micro-Grants Distribution: Support continued for 90 beneficiaries (76 female) in Halfa and Wad El-Hilew through capacity building on project and financial management. Selected IGAs include sewing machines, spice grinders, and peanut butter-making machines.
•	Beneficiary Breakdown: Halfa: 3 groups (20 members each) in Dar Alsalam, Gaber, Kubri 5 Villages. Wad El-Hilew: 2 groups (15 members each) in Village 9
</t>
    </r>
    <r>
      <rPr>
        <b/>
        <sz val="11"/>
        <color rgb="FF000000"/>
        <rFont val="Aptos Narrow"/>
        <scheme val="minor"/>
      </rPr>
      <t>PA - Challenges</t>
    </r>
    <r>
      <rPr>
        <sz val="11"/>
        <color rgb="FF000000"/>
        <rFont val="Aptos Narrow"/>
        <scheme val="minor"/>
      </rPr>
      <t xml:space="preserve">: Some communities initially expected wider distribution of IGAs. Following community consultations, the approach was clarified to target vulnerable groups, ensuring transparency and alignment with project objectives.
</t>
    </r>
  </si>
  <si>
    <t xml:space="preserve">•	Training Preparation:
Preparations for conducting training sessions on the Savings and Internal Lending Communities (SILC) methodology have been successfully completed. This will enable effective capacity-building among the targeted saving groups.
•	Documentation of Success Stories:
Successfully facilitated the collection and documentation of Success Stories of Change in Abunaja West in collaboration with UNDP staff. These stories will serve as valuable evidence of project impact and community transformation.
•	Linkage to Financial Institutions:
Progress is ongoing in establishing linkages between grant recipient groups and formal financial institutions. This initiative aims to enhance the groups’ access to sustainable financial services and promote long-term economic inclusion.
</t>
  </si>
  <si>
    <r>
      <rPr>
        <sz val="11"/>
        <color rgb="FF000000"/>
        <rFont val="Aptos Narrow"/>
        <scheme val="minor"/>
      </rPr>
      <t xml:space="preserve">•	Establishment of Savings and Lending Associations (Al-Fashqa Locality):
Five Savings and Lending Associations (SLAs) have been successfully established—one in each of the five targeted villages. </t>
    </r>
    <r>
      <rPr>
        <b/>
        <sz val="11"/>
        <color rgb="FFFF0000"/>
        <rFont val="Aptos Narrow"/>
        <scheme val="minor"/>
      </rPr>
      <t>Each association comprises 30 women, bringing the total membership to 150 participants.</t>
    </r>
    <r>
      <rPr>
        <sz val="11"/>
        <color rgb="FF000000"/>
        <rFont val="Aptos Narrow"/>
        <scheme val="minor"/>
      </rPr>
      <t xml:space="preserve"> These groups form the foundation for forthcoming capacity-building activities focused on community savings, financial literacy, and micro-lending initiatives.
•	Veterinary Assistant Training (Al-Fashqa and Western Qalabat Localities):
A total of 20 trainees (two representatives from each of the ten targeted villages) have been selected for the Veterinary Assistant Training Program. The selection was conducted through local community committees to ensure transparency, community engagement, and alignment with local needs. The training aims to strengthen community-based animal health services and promote sustainable livestock management practices.
</t>
    </r>
  </si>
  <si>
    <t xml:space="preserve">Coordination was carried out with the following government entities to advance project implementation:
o	Ministry of Agriculture (Associations Department) : Coordination was completed regarding the formation of 5 agriculture associations.
o	Ministry of Agriculture: Further coordination took place to nominate potential association for assessment &amp; selection of 3 association to receive Micro-Grant support.
</t>
  </si>
  <si>
    <t xml:space="preserve">3/ EAA
Contractor: Hajana Company (3 sites)
•	Three sites for irrigation pumps have been handed over to the contractor in West Galabat locality/ Bandigeaw admin unit.
Challenges:
Bad road condition remains the major challenge to access Alshaga and Nur Elhuda in Al Mafaza locality.
Procurement Updates:
•	Contract Ref: 10439946 – Solarized Irrigation Pumps including 3 pumps for Kassala: Preparations for sides handover is ongoing.
•	Rehabilitation of Two Water Projects (Kassala): Technical documents finalized; requisition pending fund availability.
•	Community Warehouses: Four warehouse designs (including one in Kassala) completed; procurement to proceed once funds are confirmed.
•	Contract Ref: 10439946: Solarized Irrigation Pumps: 4 for River Nile State - -contractor: Hagana For development Supply.
	The civil works in one site (Om agaga) has been completed. 
	Completion 70% of the civil work in Almatama site.
</t>
  </si>
  <si>
    <t xml:space="preserve">•	BRDO is currently preparing for the disbursement of Three (3) Small Grant to three selected groups in the State.
•	The legal registration of new smallholder associations are ongoing in Kalahoot, Banat, Hafrat, and Almunba, bringing together around 305 members.
•	A training session on governance, management, bookkeeping, communication, and advocacy is ongoing for associations.
</t>
  </si>
  <si>
    <r>
      <rPr>
        <b/>
        <sz val="11"/>
        <color rgb="FFFF0000"/>
        <rFont val="Aptos Narrow"/>
        <scheme val="minor"/>
      </rPr>
      <t xml:space="preserve">•	Agricultural Inputs (Winter Seeds): Distributed winter vegetable seeds in Halfa locality through a demonstration plot with 30 women farmers. Similar distribution planned in Wadlhliew targeting 170 farmers.
</t>
    </r>
    <r>
      <rPr>
        <sz val="11"/>
        <color rgb="FF000000"/>
        <rFont val="Aptos Narrow"/>
        <scheme val="minor"/>
      </rPr>
      <t xml:space="preserve">•	Livestock Support (CAWs Training): Conducted refresher training for Community Animal Workers in Halfa in collaboration with Livestock Administration involving 15 participants of which
•	Improved Goat Distribution: Distribution of improved male goats started; 35 households reached in Halfa and Wadlhliew (revised from 40 due to budget constraints). beneficiaries are female.
•	Challenges noted: Budget limitations affected goat procurement; lower-than-expected attendance in CAWs training.
</t>
    </r>
  </si>
  <si>
    <t xml:space="preserve">•	Linking of micro finance groups with financial institution is going on
•	Delay in process of travel permit, affected the implementation of planned activities.
</t>
  </si>
  <si>
    <r>
      <rPr>
        <sz val="11"/>
        <color rgb="FF000000"/>
        <rFont val="Aptos Narrow"/>
        <scheme val="minor"/>
      </rPr>
      <t xml:space="preserve">•	</t>
    </r>
    <r>
      <rPr>
        <b/>
        <sz val="11"/>
        <color rgb="FFFF0000"/>
        <rFont val="Aptos Narrow"/>
        <scheme val="minor"/>
      </rPr>
      <t>Preparation for the savings and lending training of 25 participants from 5 committees is complete; the facilitator contract signed, and training begins next week</t>
    </r>
    <r>
      <rPr>
        <sz val="11"/>
        <color rgb="FF000000"/>
        <rFont val="Aptos Narrow"/>
        <scheme val="minor"/>
      </rPr>
      <t xml:space="preserve">.
•	CAHW training for 20 participants (2 from each of 10 villages in East Galabat and Alfashaga) started today.
•	Five files from five East Al Galabat associations were completed and submitted to the agricultural registrar for review; a meeting is scheduled to finalize certificate registration.
</t>
    </r>
  </si>
  <si>
    <t xml:space="preserve">Cash for Work Activity
During this week, coordination was carried out with Health Unit of Berber Locality regarding the implementation of the CFW activity.
•	The activity requirement was identified.
•	The scope of work was defined in collaboration with local health authorities.
•	Registration of beneficiaries has commenced.
Establish Associations
In coordination with MoA (Associations Department), three agricultural associations were selected in Berber Locality. The process of formal registration &amp; validation is ongoing in collaboration with MoA. Associations are: 
•	Al-Wihda association in Berber admin unit, membership 68, and total area for cultivation 237 Feddans.
•	Umm Tamer association in Al-Obaidiya admin unit, membership 30, and total area for cultivation 202 Feddans.
•	Al-wadi Al-akhder association in Al-Bawga admin unit, membership 30, and total area for cultivation 287 Feddans.
Micro-Grants Activity
•	Three Female Associations in Berber locality have been nominated to submit proposals for small-scale projects to be funded under the micro-grants’ activity
Farmer Felid School (FFS)
•	Coordination has been initiated with MoA to organize the FFS activity in tow localities (Berber &amp; Al-damer)
Expected Risk / Challenges
•	Low participation rate among youth in CFW registration process has been observed
</t>
  </si>
  <si>
    <t xml:space="preserve">Contractor: Hajana Company (3 sites)
•	Three sites for irrigation pumps have been handed over to the contractor in West Galabat locality/ Bandigeaw admin unit.
Challenges:
Bad road condition remains the major challenge to access Alshaga and Nur Elhuda in Al Mafaza locality.
•	Contract Ref: 10439946: (Hagana Company) 4 Solarized Irrigation Pumps: 
	The civil works for one site has been completed. 
	Completion % of the civil work for the remaining 3 sites is 40%, 50% and 90% for Berber, Al-Ketyab and Al-Matama respectively. 
</t>
  </si>
  <si>
    <t xml:space="preserve">BRDO Organization
•	Micro-grants Distribution: Three micro-grant projects were supported for 3 vulnerable women’s groups consisting of 90 female members across Bant, Sawagil West, and Hafrat villages to support small businesses and income-generating activities.
•	Formation of Agricultural Associations: Four (4) new agricultural associations have been established in target villages, bringing together 245 (M215/F30) members to promote collective action, improve agricultural productivity and improve market access
</t>
  </si>
  <si>
    <t xml:space="preserve">Practical Action Organization
•	Distribution of Improved Male Goats: Continued distribution activities in Wad Al-Hilew locality. A total of 15 beneficiaries (12 women and 3 men, aged 18–35) received improved-breed male goats to improve the goat stock. All beneficiaries received advisory and guidance on animal health care and husbandry.
•	Training for Community Animal Workers (CAWs) and Para-Veterinary Workers: Five-day training successfully completed for 15 participants (12 men, 3 women, ages 18–35)
in the Halfa Locality. Initially, 20 people enrolled but 5 dropped out. Key recommendation is that future trainings should be planned for 7 days.
</t>
  </si>
  <si>
    <t xml:space="preserve">1.	SAHARI Organization:
Capacity building training workshop for farmers association attended 20 participants (7 Female, 13 Male) the training covered the following topics 
•	Capacity Building &amp; Organization Strengthening
•	Governance training: Build farmers’ capacity in leadership, record-keeping, and financial management.
•	Business planning sessions: Help Farmers develop crop production and marketing plans.
•	and how to link with financial institution (National worker’s Bank), facilitated by deputy director of National worker’ Bank.
Expected Results of the Training sessions
•	Improved access to finance for target groups 
•	Strengthened compliance and transparency.
•	Enhanced investment opportunities.
</t>
  </si>
  <si>
    <t xml:space="preserve">2.	ZENAB Organization:
Animal Health Training Workshop:
A training workshop in animal health was successfully conducted for 20 trainees (13 male, 7 female), with two participants selected from each of the ten targeted villages across the two localities.
 Savings and Lending Associations – Al-Fashqa Locality
Community sensitization sessions were held in the five targeted villages. As a result, executive offices for the savings and lending associations were formed, each comprising a president, vice president, secretary general, deputy secretary general, and treasurer.
Youth Engagement in Cash-for-Work Activities
Youth groups in the targeted villages were informed about the cash-for-work system. They were guided to identify and choose community-beneficial activities that will be carried out by the youth themselves in exchange for fair payment.
Challenges
•	A significant number of beneficiaries particularly those in the villages of Al-Fashqa locality face challenges stemming from illiteracy, limited formal education, and a general lack of awareness about the purpose, structure, and advantages of establishing savings and lending groups, as well as agricultural associations. These factors have slowed the progress of community mobilization and the formation of organized groups.
•	Seasonal Absence Due to Agricultural Commitments Many beneficiaries are currently occupied with harvest season activities, leading to irregular attendance in the villages, especially during morning hours. This has affected the scheduling and participation in meetings, trainings, and awareness-raising sessions.
</t>
  </si>
  <si>
    <t xml:space="preserve">3.	CAFA Organization:
Establish Agricultural Associations:
•	All required document for the three agricultural associations selected in Barber (as referenced in the previous update) have
•	been collected &amp; compiled. Verification of the document &amp; eligibility assessment of the associations in currently underway in preparation for the next steps.
Micro-Grants:
•	The application criteria for micro-grants have been developed
•	Two out of the three targeted associations in Barber have submitted their project proposals, while the third association is still in the process of completing its submission.
Farmer Extension Field Schools:
•	The site for the FEFS in Barber has been fully identified &amp; all required materials &amp; inputs have been listed.
•	The procurement process is currently underway to secure the necessary tools &amp; supplies as part of the logistical preparations for establishing the school.
•	In Al-damer, coordination continues with the relevant authorities &amp; stakeholders to finalize arrangements before implementation.
</t>
  </si>
  <si>
    <t xml:space="preserve">
</t>
  </si>
  <si>
    <t xml:space="preserve">BRDO:
•	BRDO conducted a Joint monitoring missions with HAC in project target areas.
•	Follow-up on micro-grants process to vulnerable groups and as well the onion harvesting at the Bant women’s farm.
</t>
  </si>
  <si>
    <t xml:space="preserve">Practical Action 
Field Farmers’ Schools – New Halfa:
•	Monitoring was conducted at the winter vegetable demonstration plot in Village 16, New Halfa.
•	30 women (ages 18–35) prepared and planted area approximately 1 acre (≈ 0.96 feddan) with okra, onion, chili, and arugula  using improved techniques supported by the Agricultural Extension Department.
Goat Distribution Follow-up
•	20 male goats were distributed to 20 households across 5 villages.
•	Follow-up monitoring was conducted to ensure proper animal care and management.
•	Meetings were held with Community Management Committees (CMCs), with 10 participants (5 men and 5 women, aged 18–35) to strengthen reporting on animal health and sustainability.
Key Challenge
•	Communities requested increasing the number of male goats to cover all villages in Halfa locality.
</t>
  </si>
  <si>
    <t xml:space="preserve">SAHARI:
•	The registration of the agricultural association with the General Registrar of Agricultural and Animal Professions is progressing smoothly.
•	A field visit to Abunaja was conducted to meet with selected entrepreneurs.
</t>
  </si>
  <si>
    <r>
      <rPr>
        <sz val="11"/>
        <color rgb="FF000000"/>
        <rFont val="Aptos Narrow"/>
        <scheme val="minor"/>
      </rPr>
      <t xml:space="preserve">Zenab:
•	Saving and lending activities have been completed.
</t>
    </r>
    <r>
      <rPr>
        <b/>
        <sz val="11"/>
        <color rgb="FFFF0000"/>
        <rFont val="Aptos Narrow"/>
        <scheme val="minor"/>
      </rPr>
      <t xml:space="preserve">•	Ongoing monitoring and evaluation of project activities continue.
</t>
    </r>
  </si>
  <si>
    <t xml:space="preserve">CAFA Organization 
•              Established Farmer Field Schools in ALdamer &amp; Berber Localities:
-	The Farmer Field Schools were launched in Aldamer and Berber localities.  Toolkits, supplies and Saks were distributed. the sessions were attended by approximately 60 farmers representing their communities and associations. 
</t>
  </si>
  <si>
    <t xml:space="preserve">II. BRDO
•	Continued follow-up on registration of agricultural associations.
•	Monitored three groups that received micro-grants in communities of Sawagi South, Banat, and Hafarat.
</t>
  </si>
  <si>
    <r>
      <rPr>
        <sz val="11"/>
        <color rgb="FF000000"/>
        <rFont val="Aptos Narrow"/>
        <scheme val="minor"/>
      </rPr>
      <t xml:space="preserve">Practical Action – Micro-Grants Activity
Field preparations were completed in Halfa and Wadalhliew in preparation for small grant distribution. In Wadalhliew, a group of 30 women (ages 18–35) who previously received training in small business management finalized their project selections.
•	15 women received grain mills with accessories
•	15 women received 2 sewing machines with accessories (threads, scissors, etc.)
The Community Management Committee will oversee and monitor project implementation.
</t>
    </r>
    <r>
      <rPr>
        <b/>
        <sz val="11"/>
        <color rgb="FFFF0000"/>
        <rFont val="Aptos Narrow"/>
        <scheme val="minor"/>
      </rPr>
      <t xml:space="preserve">Key Challenges:
•	Local administration interference: Attempted redirection of grants to non-targeted groups required additional coordination.
•	High expectations: Some community members expected wider coverage, causing misunderstandings about targeting criteria.
UNDP Community mobilizer conducted joint field mission with Practical Action to the Wedel Helew Locality
</t>
    </r>
  </si>
  <si>
    <t>SAHARI
•	One farmer group has been officially registered under the General Registrar of Agricultural and Animal Professions at the state level, as shown below:
#	Village	Farmer Group	HH	Youth M	Youth F	Total
1	Sharif Ala Ageb	1	2	0	0	40</t>
  </si>
  <si>
    <t xml:space="preserve">Zenab
•	Coordination meetings were held with the General Registrar of Agricultural Associations in Al-Sarraf, Wad-Kabrous, and Al-Kanara.
•	Discussions focused on completing official registration procedures for the associations.
•	Executive board members were elected through general assemblies.
•	Association names were selected and endorsed by the assemblies.
•	Participants agreed to begin the process for obtaining ownership certificates to ensure legal and operational recognition.
</t>
  </si>
  <si>
    <t xml:space="preserve">BRDO Org:
•	Conducted field visits to Bant Farm and Swagi, including women’s vegetable harvesting and a small crop exhibition (30 female participants). And as well joint BRDO–UNDP follow-up visits conducted in Hafrat villages.
</t>
  </si>
  <si>
    <t xml:space="preserve">Practical Action Org
•	Continued micro-grant supported small livelihood equipment in New-Halfa locality to women and youth groups following business and financial management training (3 sewing machines and 5 legume-grinding machines) across five villages, targeting 80 mainly women aged 18–35 and 2 men.
•	Conducted follow-up on small ruminant restocking (female goats) with community leaders and committees to ensure sustainability and awareness of offspring transfer mechanisms (20 participants; mixed gender).
</t>
  </si>
  <si>
    <t xml:space="preserve">Zenab
Savings and Lending Associations – Al-Fashqa Locality
•	Five Savings and Lending Associations (SLAs) have been formed, one in each of the five targeted villages.
•	Each SLA has 30 women members, totaling 150 women across the locality.
Three-Day Capacity-Building Training for SLA Women Leaders
•	Location: Al-Fashqa Locality – Alamara Wad-Elzain Village
•	Participants: 25 women leaders from the five SLAs
•	Duration: Three consecutive days
•	Training Areas:
o	Day 1: Organizational leadership and team coordination
o	Day 2: Financial recordkeeping, accountability, and reporting
o	Day 3: Basics of project planning, implementation, and monitoring
</t>
  </si>
  <si>
    <t xml:space="preserve">CAFA Organization
•                Establishment of agriculture associations: a meeting was held with MOA to facilitate the registration process of the three agriculture associations in Berber locality. 
</t>
  </si>
  <si>
    <t xml:space="preserve">BRDO Org;
•	Continued follow-up with women farmers in Bant – Swagi Shamlia, focusing on women-led vegetable production and marketing activities.
</t>
  </si>
  <si>
    <t xml:space="preserve">1. Practical Action Org;
•	Monitoring visits were conducted in Wad Al-Hiliew and New Halfa localities, focusing on micro-grant (small grant) income-generating activities. The projects are operational or at start-up phases, the community showed their ownership, and engagement from CMCs that has reflected in land allocation to this small grant groups such as grinding mill, and swing machines.
Key Challenge
•	The six-month project duration limits the ability to adequately assess sustainability and long-term performance of income-generating activities.
</t>
  </si>
  <si>
    <t xml:space="preserve">SAHARI
Registration of 2 farmers group under General Registrar of Agricultural and Animal Professions at state level 
</t>
  </si>
  <si>
    <t xml:space="preserve"> Zenab
Youth Engagement and Agricultural Monitoring
•	Youth Cash-for-Work Activities
o	Youth groups mobilized in all targeted villages in Western Galabat locality and in three villages in Al-Fashga locality.
o	Key activities implemented:
	Village cleanliness and environmental sanitation.
	Cleaning and maintenance of schools and health centers.
	Waste burning and proper disposal.
o	Participating youth demonstrated strong community commitment and pledged to sustain environmental sanitation efforts.
o	Increased awareness among youth on the role of sanitation in disease prevention and control of vectors such as mosquitoes and flies.
•	Harvest Monitoring
o	Crop cutting activities completed.
o	Harvesting activities ongoing.
o	Community management committees collaborated to estimate expected yields.
o	Final yield figures to be confirmed upon completion of the harvest.
</t>
  </si>
  <si>
    <t xml:space="preserve">CAFA Organization
•    Completed the establishment of 5 agriculture associations in Berber and Ad-Damer localities. 
</t>
  </si>
  <si>
    <r>
      <rPr>
        <b/>
        <sz val="11"/>
        <color rgb="FF000000"/>
        <rFont val="Aptos Narrow"/>
        <scheme val="minor"/>
      </rPr>
      <t xml:space="preserve">Contractor: Hagana Company (3 sites)-Gedaref
</t>
    </r>
    <r>
      <rPr>
        <sz val="11"/>
        <color rgb="FF000000"/>
        <rFont val="Aptos Narrow"/>
        <scheme val="minor"/>
      </rPr>
      <t xml:space="preserve">•	Material mobilization for the installation of irrigation pumps in three sites in West Galabat (Bandigeaw Administrative Unit) is complete.
•	All materials are on-site, and progress has reached 70%.
</t>
    </r>
    <r>
      <rPr>
        <b/>
        <sz val="11"/>
        <color rgb="FF000000"/>
        <rFont val="Aptos Narrow"/>
        <scheme val="minor"/>
      </rPr>
      <t xml:space="preserve">•	EAA Project – Solar Irrigation - Kassala
</t>
    </r>
    <r>
      <rPr>
        <sz val="11"/>
        <color rgb="FF000000"/>
        <rFont val="Aptos Narrow"/>
        <scheme val="minor"/>
      </rPr>
      <t xml:space="preserve">o	</t>
    </r>
    <r>
      <rPr>
        <b/>
        <sz val="11"/>
        <color rgb="FFFF0000"/>
        <rFont val="Aptos Narrow"/>
        <scheme val="minor"/>
      </rPr>
      <t xml:space="preserve">Three solar irrigation systems under installation in Kassala town (progress: 20–40%). The pumps and solar accessories expected to deliver within two days; the completion anticipated this week.
</t>
    </r>
    <r>
      <rPr>
        <b/>
        <sz val="11"/>
        <color rgb="FF000000"/>
        <rFont val="Aptos Narrow"/>
        <scheme val="minor"/>
      </rPr>
      <t xml:space="preserve">•	 EAA Project (Hagana Co.) -River Nile State:
</t>
    </r>
    <r>
      <rPr>
        <sz val="11"/>
        <color rgb="FF000000"/>
        <rFont val="Aptos Narrow"/>
        <scheme val="minor"/>
      </rPr>
      <t xml:space="preserve">•    The remaining Two solarized irrigation pumps have been tested and commissioned in Ad-Damer and Al-Mattama. 
</t>
    </r>
  </si>
  <si>
    <r>
      <rPr>
        <sz val="11"/>
        <color rgb="FF000000"/>
        <rFont val="Aptos Narrow"/>
        <scheme val="minor"/>
      </rPr>
      <t xml:space="preserve">BRDO
•	BRDO conducted a follow up field visits to newly registered associations in Kalhoot and North Swagi. </t>
    </r>
    <r>
      <rPr>
        <b/>
        <sz val="11"/>
        <color rgb="FF00B050"/>
        <rFont val="Aptos Narrow"/>
        <scheme val="minor"/>
      </rPr>
      <t xml:space="preserve">The visits aimed to activate linkages with financial institutions, banks, and private companies.
</t>
    </r>
    <r>
      <rPr>
        <sz val="11"/>
        <color rgb="FF000000"/>
        <rFont val="Aptos Narrow"/>
        <scheme val="minor"/>
      </rPr>
      <t xml:space="preserve">•	Participation included:
o	North Swagi: 14 female participants
o	Kalhoot: 45 participants (36 male, 9 female)
</t>
    </r>
  </si>
  <si>
    <r>
      <rPr>
        <sz val="11"/>
        <color rgb="FF000000"/>
        <rFont val="Aptos Narrow"/>
        <scheme val="minor"/>
      </rPr>
      <t xml:space="preserve">Practical Action (PA)
•	A follow-up activities are have been organized to support effective implementation and monitor outcomes, the follow up covered:
o	A community awareness meeting was conducted in Halfa and Wadalhliew localities, engaging 30 community members (18 women and 12 men). The session focused on the benefits of improved male goats for genetic enhancement and sustainable livestock production.
</t>
    </r>
    <r>
      <rPr>
        <b/>
        <sz val="11"/>
        <color rgb="FFFF0000"/>
        <rFont val="Aptos Narrow"/>
        <scheme val="minor"/>
      </rPr>
      <t xml:space="preserve">o	Communities were briefed on the project end date and sustainability measures to ensure continuity beyond the project lifecycle.
</t>
    </r>
    <r>
      <rPr>
        <sz val="11"/>
        <color rgb="FF000000"/>
        <rFont val="Aptos Narrow"/>
        <scheme val="minor"/>
      </rPr>
      <t xml:space="preserve">•	35 improved buck goats were distributed across the two localities using a community-based rotational breeding approach.
Challenges:
•	Limited availability of veterinary services, which may affect the long-term health and productivity of the improved goats if not addressed.
</t>
    </r>
  </si>
  <si>
    <t xml:space="preserve">SAHARI
•	Procurement of winter season seeds is ongoing.
•	Registration of two farmer groups with the General Registrar of Agricultural and Animal Professions is in progress, alongside facilitation of bank account opening for both groups.
</t>
  </si>
  <si>
    <t xml:space="preserve">ZENAB – Youth Engagement &amp; Agricultural Monitoring
•	Youth Cash-for-Work: Activities continued in the remaining two villages in West Galabat.
•	Harvest Monitoring: Collection of final yield data has commenced using the developed monitoring form.
</t>
  </si>
  <si>
    <t xml:space="preserve">RPA: CAFA Organization 
•            One association has been selected to participate in the Micro Grant Program in Berber Locality.
CAFA Organization
•    Completed the establishment of 5 agriculture associations in Berber and Ad-Damer localities. 
</t>
  </si>
  <si>
    <r>
      <rPr>
        <b/>
        <sz val="11"/>
        <color rgb="FF000000"/>
        <rFont val="Aptos Narrow"/>
        <scheme val="minor"/>
      </rPr>
      <t xml:space="preserve">•	Procurement Activities - Gedaref
</t>
    </r>
    <r>
      <rPr>
        <sz val="11"/>
        <color rgb="FF000000"/>
        <rFont val="Aptos Narrow"/>
        <scheme val="minor"/>
      </rPr>
      <t xml:space="preserve">Contractor: Hagana Company (3 sites)
•	Material mobilization for irrigation pump installation in three sites in West Galabat (Bandigeaw Administrative Unit) has reached approximately 75%.
</t>
    </r>
    <r>
      <rPr>
        <b/>
        <sz val="11"/>
        <color rgb="FF000000"/>
        <rFont val="Aptos Narrow"/>
        <scheme val="minor"/>
      </rPr>
      <t xml:space="preserve">•	EAA Project – Solar Irrigation - Kassala
</t>
    </r>
    <r>
      <rPr>
        <sz val="11"/>
        <color rgb="FF000000"/>
        <rFont val="Aptos Narrow"/>
        <scheme val="minor"/>
      </rPr>
      <t xml:space="preserve">o	Three solar irrigation systems are under installation in Kassala town (progress ranging from 20–40%).
</t>
    </r>
    <r>
      <rPr>
        <b/>
        <sz val="11"/>
        <color rgb="FFFF0000"/>
        <rFont val="Aptos Narrow"/>
        <scheme val="minor"/>
      </rPr>
      <t xml:space="preserve">o	Pumps and solar accessories are expected to be delivered within two days, with completion anticipated this week.
</t>
    </r>
    <r>
      <rPr>
        <b/>
        <sz val="11"/>
        <color rgb="FF000000"/>
        <rFont val="Aptos Narrow"/>
        <scheme val="minor"/>
      </rPr>
      <t xml:space="preserve">•             Solarized Irrigation pumps (Hagana Co.) - River Nile
</t>
    </r>
    <r>
      <rPr>
        <sz val="11"/>
        <color rgb="FF000000"/>
        <rFont val="Aptos Narrow"/>
        <scheme val="minor"/>
      </rPr>
      <t xml:space="preserve">•                The remaining Two solarized irrigation pumps will be handed over this week
</t>
    </r>
  </si>
  <si>
    <t xml:space="preserve">2. BRDO
•	No update received during the reporting period.
</t>
  </si>
  <si>
    <t xml:space="preserve">1. Practical Action – Key Updates
•	Monitoring &amp; Evaluation: HAC-led follow-up and evaluation visits conducted in New Halfa (Jaber, Village 16, Dar Al-Salam), covering micro-grants, livestock distribution (female/male goats), Cash for Work, and crop activities. The findings are Lentil crops observed at optimal maturity; sorghum harvest successfully completed.  
•	Key Challenge: Limited capacity of some Community Management Committees in documentation and activity management, indicating the need for targeted capacity-building support.
</t>
  </si>
  <si>
    <t>SAHARI
•	Registration of two farmer groups was successfully completed, as detailed below:
#	Village	Farmer Groups	HH (M)	HH (F)	Youth (M)	Youth (F)	Total
1	Bagdad	1	5	2	6	6	19
2	Umsenibra	1	0	6	6	10	22
•	With this achievement, a total of seven farmer associations have now been officially registered.</t>
  </si>
  <si>
    <r>
      <rPr>
        <sz val="11"/>
        <color rgb="FF000000"/>
        <rFont val="Aptos Narrow"/>
        <scheme val="minor"/>
      </rPr>
      <t xml:space="preserve">ZENAB
1.	Agricultural Associations – West Galabat Locality
•	Agricultural associations were successfully registered in five targeted villages:
o	Al-Saraf
o	Wad Kakbrous
o	Al-Kanara
o	Wad Al-Halangi
o	Sabrana
•	Each association received an official registration certificate from the General Registrar of Agricultural and Animal Production Professions.
•	This milestone contributes to:
o	Formalizing community-based agricultural governance
o	Improving access to institutional support and agricultural services
2.	Farmer Field Schools (FFS) – West Galabat and Al-Fashga Localities
•	Farmer Field School sessions were conducted in ten targeted villages across West Galabat and Al-Fashga.
•	Training focused on reducing post-harvest losses through:
o	Proper crop cutting techniques
o	Improved drying methods
o	Crop separation
o	Safe and effective storage practices
•	Beneficiaries included:
o	160 farmers in West Galabat
o	140 farmers in Al-Fashga
•	Expected outcomes include improved food security, better crop quality preservation, and enhanced resilience of smallholder farmers.
3.	Micro-Grants for Vulnerable Groups and Associations
•	Planned provision of two micro-grants targeting vulnerable groups and associations with approximately 60 members.
•	The grants aim to support small businesses and promote income-generating activities.
</t>
    </r>
    <r>
      <rPr>
        <b/>
        <sz val="11"/>
        <color rgb="FFFF0000"/>
        <rFont val="Aptos Narrow"/>
        <scheme val="minor"/>
      </rPr>
      <t xml:space="preserve">Grant Orientation and Community-Led Project Selection
•	Orientation sessions were conducted to introduce beneficiaries to the micro-grant opportunity, explain the application process, and guide them on using the grant manual.
•	Transparency and community ownership were ensured through a competitive selection process, resulting in the selection of two projects based on:
o	Community-wide benefits
o	Potential for sustainable income generation
</t>
    </r>
    <r>
      <rPr>
        <sz val="11"/>
        <color rgb="FF000000"/>
        <rFont val="Aptos Narrow"/>
        <scheme val="minor"/>
      </rPr>
      <t xml:space="preserve">•	The initiative is expected to contribute to local economic development and strengthen community-level economic resilience.
</t>
    </r>
  </si>
  <si>
    <r>
      <rPr>
        <sz val="11"/>
        <color rgb="FF000000"/>
        <rFont val="Aptos Narrow"/>
        <scheme val="minor"/>
      </rPr>
      <t xml:space="preserve">2. BRDO 
Weekly Update 
BRDO continued follow-up with newly formed small producer associations, providing training and technical assistance on saving practices, resource mobilization, and asset utilization (e.g., using equipment as collateral). 
•	Coverage: 5 male associations (150 members) and 1 women’s association (40 members). 
</t>
    </r>
    <r>
      <rPr>
        <b/>
        <sz val="11"/>
        <color rgb="FFFF0000"/>
        <rFont val="Aptos Narrow"/>
        <scheme val="minor"/>
      </rPr>
      <t xml:space="preserve">Key Issues 
Under Sudanese law, small producers must be organized in registered associations to access loans. However, even registered groups face significant barriers, as banks and private sector actors are often reluctant to provide financing. Associations also have limited advocacy and negotiation capacity, and there are no formal platforms that bring together associations, banks, and the private sector to address constraints and explore joint solutions. 
</t>
    </r>
  </si>
  <si>
    <t xml:space="preserve">1. Practical Action 
This week focused on follow-up of micro-grant activities in Halfa locality, particularly group-based income-generating projects. 
•	Sewing groups: Women’s groups trained on garment production have begun operating within their neighborhoods. A field visit was conducted in Koubri 5 Village, covering 20 women (ages 18–35). 
•	Food processing: Beneficiaries of peanut butter (dukwa) machines have started production, with products already entering local markets. Marketing opportunities are promising in Halfa market and nearby neighborhoods, especially ahead of Ramadan. Plans are also underway to introduce chickpea grinding due to high seasonal demand. 
•	Grain mills: A monitoring visit was conducted in Jaber Village, covering 20 women (ages 18–35). 
Challenges 
Despite positive progress, beneficiary groups face limited market access and strong dependence on seasonal demand. Weak marketing capacity and market linkages may affect the sustainability and scalability of these women-led initiatives unless addressed through targeted technical and business development support. </t>
  </si>
  <si>
    <t xml:space="preserve">SAHARI
•	Distribution of 40 goats to the most vulnerable households in Wasat Gedaref locality.
•	Distribution of assorted winter-season vegetable seeds to 162 youth.
</t>
  </si>
  <si>
    <t xml:space="preserve">ZENAB
•	Finalization of Cash-for-Work activities.
</t>
  </si>
  <si>
    <t xml:space="preserve">CAFA Organization 
•                Preparation of the beneficiaries  lists for recently implemented activities under the second quarter of the project.
</t>
  </si>
  <si>
    <r>
      <rPr>
        <sz val="11"/>
        <color rgb="FF000000"/>
        <rFont val="Aptos Narrow"/>
        <scheme val="minor"/>
      </rPr>
      <t xml:space="preserve">BRDO
•	Seeds and seedlings were distributed to women farmers (50 in South Swagi, 25 in Kurmta, and 25 in North Swagi).
•	And the beneficiaries received agricultural awareness sessions on the nutritional value of vegetables and fruits, the importance of dietary diversity, and best practices for home gardening.
•	Extension sessions covered crop-specific technical packages, including planting methods (timing, spacing, seed rate, depth), weeding, and pest control (mechanical, chemical, and biological). </t>
    </r>
    <r>
      <rPr>
        <b/>
        <sz val="11"/>
        <color rgb="FFFF0000"/>
        <rFont val="Aptos Narrow"/>
        <scheme val="minor"/>
      </rPr>
      <t>Beneficiaries’ questions and concerns were addressed through group discussions.</t>
    </r>
  </si>
  <si>
    <t>Practical Action
•	Follow-up visits to micro-grant activities in Wad Al-Hilio Locality (Village 9). A grain milling machine was handed over to the community and is now managed by the Village Management Committee established under the project. The electricity has been successfully connected, and the grain machine is fully operational. It is currently used for grinding sorghum for household consumption and for preparing traditional Ramadan beverages.
•	Monitoring of the demonstration farm in Halfa Locality (Village 16) showed positive progress. The farm, cultivated by 35 women (ages 18–35), is performing well, with healthy vegetable growth.
Challenge:
•	Limited availability of agricultural inputs may affect the sustainability and scaling of farming activities in the coming period.</t>
  </si>
  <si>
    <t xml:space="preserve">SAHARI
•	Distribution of 40 female goats to 20 beneficiary households, including 17 women and 3 men.
•	Distribution of vegetable seeds to 150 beneficiaries in Abonaja West, Abonaja North, and Abonaja Atujmu’a.
Next Plan:
1.	Linking agricultural associations with banking institutions.
2.	Continued monitoring and evaluation of project activities.
</t>
  </si>
  <si>
    <t xml:space="preserve">BRDO Org:
Continued seedling distribution and agricultural extension sessions targeting women farmers: communities (South Swagi (50 participants), Bant (25), Kurmta (25)
</t>
  </si>
  <si>
    <t xml:space="preserve">Practical Action Org:
•	Follow-up activities were conducted in Village 9, Wad Al-Hileu Locality to ensure sustainability of livelihoods interventions.
•	15 women received sewing machines under micro-grant projects; 5 women are now actively producing school uniforms, reducing household costs and travel time.
•	Training continues through community-led efforts with village committees.
•	The newly installed grain mill is fully operational, significantly improving local access to milling services.
•	In Halfa Locality, follow-up visits confirmed that five Savings and Loan Groups (15 women each, aged 18–35) remain active, with regular savings and lending.
</t>
  </si>
  <si>
    <t xml:space="preserve">SAHARI
•	Continued monitoring and evaluation of ongoing project activities.
</t>
  </si>
  <si>
    <t xml:space="preserve">ZENAB
•	Initiation of the grant proposal screening process.
</t>
  </si>
  <si>
    <t xml:space="preserve">Kassala - Contract Ref: 10439946 – Installation of 10 Solarized Irrigation Pumps
(3 Gedaref, 3 Kassala, 4 River Nile)
•	Kassala: 90% completion of pump and solar system installation at three sites.
Contract Ref: 10493677 – Rehabilitation of Village 6 (Halfa) &amp; Darelsalam (Girba) Water Yards
•	Two sites handed over to the contractor.
Contract Ref: 10493955 – Construction of Community Seed Warehouses
Site scheduled for handover next week.
</t>
  </si>
  <si>
    <t xml:space="preserve">BRDO Organization
•	Conducted agricultural extension sessions for 100 women in Swagi Ganobia (50), Kurmta (25), and Bant (25).
•	Kurmta women’s farms expected to be ready for harvesting and marketing next week.
</t>
  </si>
  <si>
    <t xml:space="preserve">Practical Action Organization; monitoring
•	In Jaber Village New Halfa, a women’s group (20 women) supported with two Dukwah processing machines started production and sold 18 kg in the local market.
•	Follow-up on lentil cultivation showed successful harvesting after six months: 5 feddans cultivated, producing 30 sacks.
•	In Village 16, monitoring of 10 female goats distributed to households showed 3 births (2 males, 1 female); newborn goats will be redistributed per the asset transfer plan.
Challenge: Limited Dukwah production capacity due to few machines.
Mitigation: Production scheduling in place and plans to reinvest sales revenue to purchase additional machines.
</t>
  </si>
  <si>
    <t xml:space="preserve">ZENAB
•	5 proposals had been identified as qualified for selecting from within.
</t>
  </si>
  <si>
    <t xml:space="preserve">Contractor: Hajana Company (3 sites – West Galabat Locality)
•	The company made some comments on the installation of irrigation pumps and solar systems.
•	Locations are:
o	Bandigeaw Administrative Unit – operational and ready for handover.
o	Umsalala Community.
o	Afrush Tobak Community.
Contractor: Hewa (Water Drilling) – West Galabat
•	The following sites have been handed over for implementation:
o	Rehabilitation of Bandigeaw Girls’ School mini water yard (Part 2-1).
o	Rehabilitation of Eldelaib area mini water yard (Part 2-2).
•	Contractor starts positioning material in the project location.
EAA Project - River Nile
Solarized Irrigation pumps (Hagana Co.):
•               100% Completion and handover of all four solarized irrigation pumps under the Hagan contract in River Nile State
Construction of Community Seeds Warehouses (KSM For ENGINEERING AND CONTRACTING) 
•	The site has been handed over to the contractor.
</t>
  </si>
  <si>
    <t>1st Feb to 5th Feb</t>
  </si>
  <si>
    <t xml:space="preserve">A. BRDO Org: 
•	Continued support to women farmers in Bant–Swagi Shamlia through follow-up on vegetable production and marketing, agricultural extension sessions.   BRDO distributed agricultural hand tools to 50 women across Kurmta and Swagi Ganobia.
</t>
  </si>
  <si>
    <t>Practical Action Org: No updates reported during the period.</t>
  </si>
  <si>
    <t xml:space="preserve">SAHARI
•	Project review meeting conducted.
•	No activity conducted last Week
</t>
  </si>
  <si>
    <t xml:space="preserve">ZENAB
•	No activity conducted last week.
•	Project review meeting postponed for next week.
</t>
  </si>
  <si>
    <t xml:space="preserve">CAFA
•	Project review meeting conducted.
</t>
  </si>
  <si>
    <t xml:space="preserve">. Procurement Activities - Gedaref
Contractor: Hajana Company (3 sites – West Galabat Locality)
•	Project 98% completed and ready for handover in:
o	Bandigeaw Administrative Unit.
o	Umsalala Community.
o	Afrush Tobak Community.
Contractor: Hewa (Water Drilling) – West Galabat
•	Project reached 10% in:
o	Rehabilitation of Bandigeaw Girls’ School mini water yard (Part 2-1).
o	Rehabilitation of Eldelaib area mini water yard (Part 2-2).
EAA Project - River Nile
•	Construction of Community Seeds Warehouses (KSM For ENGINEERING AND CONTRACTING) 
•	The site has been handed over to the contractor and started preparation of the site and materials delivery.
•	Solarized Irrigation pumps (Hagana Co.):
•	100% Completion and handover of all four solarized irrigation pumps under the Hagan contract in River Nile State
</t>
  </si>
  <si>
    <t>8th Feb to 12th Feb</t>
  </si>
  <si>
    <t xml:space="preserve">BRDO Org: (Kassala &amp; Girba Localities)
•	No updates received.
</t>
  </si>
  <si>
    <r>
      <rPr>
        <sz val="11"/>
        <color rgb="FF000000"/>
        <rFont val="Aptos Narrow"/>
        <scheme val="minor"/>
      </rPr>
      <t xml:space="preserve">Practical Action Org: (New Halfa &amp; Wad elheliew Localities)
•	VSLA activities progressing well in Halfa and Wad Al-Hilu; savings ongoing and 3 women started small businesses through loans.
•	UNDP conducted monitoring visits to Wad El Helew Locality; observations include:
•	Micro-grants showing positive impact:
	Sorghum grinding mill operational and generating income for women’s group.
	15 women using sewing machines for tailoring ahead of Eid.
	50 goats distributed: all healthy, some reproduced offsprings. Transfer to second group underway.
	</t>
    </r>
    <r>
      <rPr>
        <b/>
        <sz val="11"/>
        <color rgb="FF7030A0"/>
        <rFont val="Aptos Narrow"/>
        <scheme val="minor"/>
      </rPr>
      <t xml:space="preserve">Distribution of improved seeds resulted in improved yield; from 300kg per feddan to 500kg per feddan.
</t>
    </r>
    <r>
      <rPr>
        <sz val="11"/>
        <color rgb="FF000000"/>
        <rFont val="Aptos Narrow"/>
        <scheme val="minor"/>
      </rPr>
      <t xml:space="preserve">•	Key Challenge: Sustainability due to limited financial management and market access. Planned support includes training, mentoring, market linkages, and reinvestment funds.
</t>
    </r>
  </si>
  <si>
    <t xml:space="preserve">SAHARI
•	A meeting for COM’s site visit preparation conducted.
•	 Site visit confirmed to be on 15th Feb. 2025
</t>
  </si>
  <si>
    <t xml:space="preserve">ZENAB
•	COMs site visit conducted to Alfashaga.
•	Project review meeting postponed by the IP request.
</t>
  </si>
  <si>
    <t>•	Alharfiat Multipurpose Cooperative Association, which has been selected for the micro grant in Berber, has begun their activities focusing on the production and marketing of traditional juice for the upcoming holy month.</t>
  </si>
  <si>
    <t xml:space="preserve">EAA Fund
•	10 solar irrigation pumps installed (100% completed in Kassala).
•	2 water yard rehabilitation sites handed over and work has begun.
•	Community seed warehouse construction initiated.
</t>
  </si>
  <si>
    <t xml:space="preserve">Procurement Activities -Gedaref
Contractor: Hajana Company (3 sites – West Galabat Locality)
•	Project 99% completed and ready for handover in:
o	Bandigeaw Administrative Unit.
o	Umsalala Community.
o	Afrush Tobak Community.
Contractor: Hewa (Water Drilling) – West Galabat
•	Project reached 15% in:
o	Rehabilitation of Bandigeaw Girls’ School mini water yard (Part 2-1).
o	Rehabilitation of Eldelaib area mini water yard (Part 2-2).
Contractor: Hewa (Solar System) – Wasat Gedaref
•	Project reached 15% in:
o	Solar system for existing 15 HP pump in Abuelnaj Area- Wasat El-Gadref Town Locality-Gedaref State (Part 2-3) 
Contractor: KSM Construction of Community warehoused in Galaa Alnahal and Gedaref
•	Project reached 10% in both sites
</t>
  </si>
  <si>
    <t>15th Feb to 19th Feb</t>
  </si>
  <si>
    <t xml:space="preserve">BRDO Org: follow up continuous.
•	Women in Hafrat produced handicrafts; women in Al-Sawaqi Al-Ganoubi initiated spice grinding and local marketing.
•	Women’s savings groups in Hafrat accumulated 500,000 SDG, demonstrating improved financial inclusion.
</t>
  </si>
  <si>
    <t xml:space="preserve">Practical Action Org: 
•	Completed refresher training for 5 veterinary assistants (aged18 - 35) in Wad Al-Haliu, achieving the full target of 20 trained participants.
•	Making a new core structured veterinary training initiative in the locality, contributing to youth employment and improved access to animal healthcare in a high-livestock area.
•	Challenges: Limited transportation and logistical capacity may affect veterinary outreach to remote areas.
</t>
  </si>
  <si>
    <r>
      <rPr>
        <sz val="11"/>
        <color rgb="FF000000"/>
        <rFont val="Aptos Narrow"/>
        <scheme val="minor"/>
      </rPr>
      <t xml:space="preserve">SAHARI
•	Conducted a COMM site visit to Abulnaga.
•	Completed the registration of seven agricultural associations.
•	</t>
    </r>
    <r>
      <rPr>
        <sz val="11"/>
        <color rgb="FFFF0000"/>
        <rFont val="Aptos Narrow"/>
        <scheme val="minor"/>
      </rPr>
      <t xml:space="preserve">Implemented the second round of Cash-for-Work (CFW) activities to achieve the project targets.
</t>
    </r>
    <r>
      <rPr>
        <sz val="11"/>
        <color rgb="FF000000"/>
        <rFont val="Aptos Narrow"/>
        <scheme val="minor"/>
      </rPr>
      <t xml:space="preserve">•	</t>
    </r>
    <r>
      <rPr>
        <sz val="11"/>
        <color rgb="FFFF0000"/>
        <rFont val="Aptos Narrow"/>
        <scheme val="minor"/>
      </rPr>
      <t xml:space="preserve">Engaged 232 beneficiaries in the activities, who agreed to contribute part of their wages as shares in their respective associations
</t>
    </r>
  </si>
  <si>
    <t xml:space="preserve">ZENAB
•	Report not sent.
</t>
  </si>
  <si>
    <t xml:space="preserve">•    CAFA launched the Micro-grant initiative for two associations in Al-Damer locality. </t>
  </si>
  <si>
    <t xml:space="preserve">  EAA Project - River Nile
•                Community seed warehouses at 30% progress. KSM for engineering. Co. 
</t>
  </si>
  <si>
    <r>
      <rPr>
        <sz val="11"/>
        <color rgb="FF000000"/>
        <rFont val="Aptos Narrow"/>
        <scheme val="minor"/>
      </rPr>
      <t xml:space="preserve">Procurement Activities
Contractor: Hajana Company (3 sites)
</t>
    </r>
    <r>
      <rPr>
        <b/>
        <sz val="11"/>
        <color rgb="FF7030A0"/>
        <rFont val="Aptos Narrow"/>
        <scheme val="minor"/>
      </rPr>
      <t xml:space="preserve">Work 97% of installation of irrigation pumps and solar system in 3 locations in West Galabat locality ready for handover
</t>
    </r>
    <r>
      <rPr>
        <sz val="11"/>
        <color rgb="FF000000"/>
        <rFont val="Aptos Narrow"/>
        <scheme val="minor"/>
      </rPr>
      <t xml:space="preserve">•	Bandigeaw admin unit. 
•	Umsalala community
•	Afrush Tobak Community
Comments have been cleared to proceed to testing and commissioning stage, and subsequently the handover.
Contractor: Hewa for water drilling has received the following sites to start implementation in West Galabat,
•	Part 2-1: Rehabilitation of Bandigeaw Girls school mini water yard. 25%
•	Part 2-2: Rehabilitation of Eldelaib area mini water yard. 25%
•	Rehabilitation of Eldelaib area mini water yard (Part 2-2).
Hewa for water drilling has received the following sites to start implementation in Gadaref
•	Solar system and steel fence in Abuelnaja Area, 20%Solar system for existing 15 HP pump in Abuelnaj Area- Wasat El-Gadref Town Locality-Gedaref State (Part 2-3) 
KSM For Engineering &amp; Contracting Has received the following sites and start implementation in Gadaref State 
•	Construction of community warehouses in Gadaref. 15%
•	Construction of community warehouses in Gala Elnahal. 15%
</t>
    </r>
  </si>
  <si>
    <t>22nd Feb to 26th Feb</t>
  </si>
  <si>
    <t xml:space="preserve">BRDO
•	No updates during the reporting period (no field missions conducted).
</t>
  </si>
  <si>
    <t xml:space="preserve">1. Practical Action
Key Updates:
•	Follow-up conducted with 15 women beneficiaries (Village 9) under the Women’s Micro-Grant Project. Beneficiaries, previously trained in tailoring and provided with sewing machines, are actively producing garments and benefiting from increased demand ahead of Eid Al-Fitr.
•	Five youth trained as Veterinary Assistants (Wad Al-Hilu Locality) have now been officially appointed, addressing gaps in livestock service delivery.
Key Challenge:
•	Women beneficiaries face limited access to sustainable markets beyond the village level, restricting long-term income growth after the seasonal Eid demand. Strengthening market linkages remains essential.
</t>
  </si>
  <si>
    <t xml:space="preserve">SAHARI
•	Bank accounts were successfully opened for four Farmer Associations (FAs), while the remaining two associations are still in process and are being closely followed up.
•	Cash for Work (CFW) wages were transferred to the bank accounts of two associations.
•	The remaining two transfers will be completed next week, after which the final closure report will be prepared.
</t>
  </si>
  <si>
    <t xml:space="preserve">2. Procurement Activities - Gedaref
Contractor: Hajana Company (3 sites)
Work 99% of installation of irrigation pumps and solar system in 3 locations in West Galabat locality ready for handover
•	Bandigeaw admin unit. 
•	Umsalala community
•	Afrush Tobak Community
Comments have been cleared to proceed to testing and commissioning stage, and subsequently the handover.
Contractor: Hewa for water drilling has received the following sites to start implementation in West Galabat,
•	Part 2-1: Rehabilitation of Bandigeaw Girls school mini water yard. 30%
•	Part 2-2: Rehabilitation of Eldelaib area mini water yard. 30%
•	Solar system and steel fence in Abuelnaja Area, handed over to contarctor 
KSM For Engineering &amp; Contracting Has received the following sites and start implementation in Gadaref State 
•	Construction of community warehouses in Gadaref. 20%
•	Construction of community warehouses in Gala Elnahal. 20%
</t>
  </si>
  <si>
    <t>1st Mar to 5th Mar</t>
  </si>
  <si>
    <t xml:space="preserve">2.	BRDO Organization:
Due to Ramadan, the BRDO team continued communication with women’s groups in North Swagi, Kurmuta, Bant, and Swagi Ganobia through WhatsApp, sharing extension messages and receiving feedback on activities.
</t>
  </si>
  <si>
    <t xml:space="preserve">1.	Practical Action Organization:
A follow-up visits to the Savings and Loan Group in Village 9, Wad Al Hileu Locality (30 young women aged 18–35) showed regular savings contributions and proper financial record keeping. The group has initiated its internal lending cycle, with three members receiving loans to purchase sorghum for seasonal resale, reflecting good market awareness. Overall, the group demonstrates effective management, and transparent decision-making.
Key Challenge
Limited working capital restricts the number and size of loans available for members.
</t>
  </si>
  <si>
    <t xml:space="preserve">SAHARI
•	During the reporting period, Cash for Work (CFW) amounts were deposited to six (6) out of seven Farmers’ Associations.
•	One Farmers’ Association has not yet completed the bank account opening process.
•	The remaining (7th) Farmers’ Association is expected to finalize bank account opening procedures next week.
•	Upon completion, the CFW amount will be transferred immediately.
•	This will enable full disbursement and formal project closure..
</t>
  </si>
  <si>
    <t xml:space="preserve">RPA – CAFA:
•	Preparation for establishing the Savings and Lending activity, along with coordination with the Ministry of Agriculture and the Locality authorities to agree on the implementation approach, is currently underway.
</t>
  </si>
  <si>
    <r>
      <rPr>
        <sz val="11"/>
        <color rgb="FF000000"/>
        <rFont val="Aptos Narrow"/>
        <scheme val="minor"/>
      </rPr>
      <t xml:space="preserve">EAA Fund
•	Installation of 3 solar irrigation pumps in Kassala locality – 100% completed.
•	Community seed warehouse construction in New Halfa (Village 1) – 10% completed.
</t>
    </r>
    <r>
      <rPr>
        <b/>
        <sz val="11"/>
        <color rgb="FF000000"/>
        <rFont val="Aptos Narrow"/>
        <scheme val="minor"/>
      </rPr>
      <t xml:space="preserve">Direct Procurement:
</t>
    </r>
    <r>
      <rPr>
        <sz val="11"/>
        <color rgb="FF000000"/>
        <rFont val="Aptos Narrow"/>
        <scheme val="minor"/>
      </rPr>
      <t xml:space="preserve">•	Construction of Community seed warehouses KSM Engineering: 40% progress: The foundation has been completed, and structural and grade beam works are currently underway.
</t>
    </r>
  </si>
  <si>
    <t>8th Mar to 12th Mar</t>
  </si>
  <si>
    <t xml:space="preserve">BRDO Organization: No updates were reported during the week. </t>
  </si>
  <si>
    <r>
      <rPr>
        <b/>
        <sz val="11"/>
        <color rgb="FF000000"/>
        <rFont val="Aptos Narrow"/>
        <scheme val="minor"/>
      </rPr>
      <t>Practical Action Organization</t>
    </r>
    <r>
      <rPr>
        <sz val="11"/>
        <color rgb="FF000000"/>
        <rFont val="Aptos Narrow"/>
        <scheme val="minor"/>
      </rPr>
      <t xml:space="preserve">: 
Refresher training was conducted for members of the Community Management Committee (CMC) in Halfa locality. The initial training was attended by 72 out of 100 members, therefore a one-day refresher session was organized for the remaining 28 members to ensure full participation and consistent understanding of community management roles. 
Challenge 
Limited training time, as multiple topics were covered within a one-day refresher session. 
Recommendation 
Conduct follow-up capacity-building sessions to reinforce learning and strengthen skills. 
</t>
    </r>
  </si>
  <si>
    <t xml:space="preserve">SAHARI
•	During the reporting period, Cash for Work (CFW) amounts were deposited at six (6) out of seven Farmers’ Associations.
•	One Farmers’ Association has not yet completed the bank account opening process.
•	The remaining (7th) Farmers’ Association is expected to finalize bank account opening procedures next week.
•	Upon completion, the CFW amount will be transferred immediately.
•	This will enable full disbursement and formal project closure.
</t>
  </si>
  <si>
    <r>
      <rPr>
        <sz val="11"/>
        <color rgb="FF000000"/>
        <rFont val="Aptos Narrow"/>
        <scheme val="minor"/>
      </rPr>
      <t xml:space="preserve">2. Procurement Activities
Contractor: Hajana Company (3 sites)
Work 100% of installation of irrigation pumps and solar system in 3 locations in West Galabat locality ready for handover
•	Bandigeaw admin unit. 
•	Umsalala community
•	Afrush Tobak Community
</t>
    </r>
    <r>
      <rPr>
        <b/>
        <sz val="11"/>
        <color rgb="FFA02B93"/>
        <rFont val="Aptos Narrow"/>
        <scheme val="minor"/>
      </rPr>
      <t xml:space="preserve">EAA Fund: 
</t>
    </r>
    <r>
      <rPr>
        <sz val="11"/>
        <color rgb="FF000000"/>
        <rFont val="Aptos Narrow"/>
        <scheme val="minor"/>
      </rPr>
      <t xml:space="preserve">•	Installation of 3 solar irrigation pumps in Kassala locality – 100% completed. 
•	Rehabilitation of two water yards: 
o	Village 6, New Halfa – 70% completed. 
o	Daralsalam Village – 5% completed (contractor mobilized material). 
•	Community seed warehouse construction in New Halfa (Village 1) – 10% completed. 
</t>
    </r>
  </si>
  <si>
    <t>15th Mar to 19th Mar</t>
  </si>
  <si>
    <r>
      <rPr>
        <b/>
        <sz val="11"/>
        <color rgb="FF000000"/>
        <rFont val="Aptos Narrow"/>
        <scheme val="minor"/>
      </rPr>
      <t xml:space="preserve">Practical Action Organization:
</t>
    </r>
    <r>
      <rPr>
        <sz val="11"/>
        <color rgb="FF000000"/>
        <rFont val="Aptos Narrow"/>
        <scheme val="minor"/>
      </rPr>
      <t xml:space="preserve">Activities in New Halfa and Wad Elhilaiw focused on agricultural harvesting and agro-processing. Economic activities increased due to seasonal demand linked to Ramadan and the upcoming Eid period.
•	In New Halfa, harvesting of peanuts and lentils has been completed for 200 out of 400 beneficiaries, 40% women, while harvesting for the remaining beneficiaries is still ongoing. Overall, about 50% of the cultivated area has been harvested. The average yield is around 10 sacks per feddan, indicating moderate productivity. Market prices have reached approximately 480,000 SDG per 150 kg.
•	Micro-Grant Activities: monitoring of 20 members female in Jaber village showed increased use of peanut grinding machines, driven by higher demand for peanut products during Ramadan and Eid.
Key Challenge: Increasing prices of key commodities, especially lentils, may limit food access for vulnerable households.
Recommendations:
•	Continue monitoring yields and market prices to identify early signs of supply shortages or inflation.
•	Provide technical support to small-scale processors to enhance efficiency and sustainability.
•	Improve post-harvest handling and storage to reduce losses and stabilize
</t>
    </r>
  </si>
  <si>
    <t xml:space="preserve">SAHARI: 
•	During the reporting period, Cash for Work (CFW) amounts were deposited at six (6) out of seven Farmers’ Associations.
•	One Farmers’ Association has not yet completed the bank account opening process.
•	The remaining (7th) Farmers’ Association is expected to finalize bank account opening procedures next week.
•	Upon completion, the CFW amount will be transferred immediately.
•	This will enable full disbursement and formal project closure.
</t>
  </si>
  <si>
    <r>
      <rPr>
        <sz val="11"/>
        <color rgb="FF000000"/>
        <rFont val="Aptos Narrow"/>
        <scheme val="minor"/>
      </rPr>
      <t xml:space="preserve">Procurement Activities:
•	Contractor: Hajana Company (3 sites)
•	Work 100% of installation of irrigation pumps and solar system in 3 locations in West Galabat locality ready for handover: Bandigeaw admin unit,  Umsalala community and Afrush Tobak Community
•	Comments have been cleared to proceed to testing and commissioning stage, and subsequently the handover.
•	Contractor: Hewa for water drilling has received the following sites to start implementation in West Galabat,
•	Part 2-1: Rehabilitation of Bandigeaw Girls school mini water yard. 45%
•	Part 2-2: Rehabilitation of Eldelaib area mini water yard. 45%
•	Solar system and steel fence in Abuelnaja Area, 35% 
</t>
    </r>
    <r>
      <rPr>
        <b/>
        <sz val="11"/>
        <color rgb="FF000000"/>
        <rFont val="Aptos Narrow"/>
        <scheme val="minor"/>
      </rPr>
      <t xml:space="preserve">EAA Fund: 
</t>
    </r>
    <r>
      <rPr>
        <sz val="11"/>
        <color rgb="FF000000"/>
        <rFont val="Aptos Narrow"/>
        <scheme val="minor"/>
      </rPr>
      <t xml:space="preserve">•	Installation of 3 solar irrigation pumps in Kassala locality – 100% completed and handed over. 
•	Rehabilitation of two water yards in New Halfa:	 
	1-Village 6, -  70% completed. 
	2-Daralsalam Village – 5% completed (contractor mobilized material). 
                3-Community warehouse construction in New Halfa (Village 1) – 10% completed. 
</t>
    </r>
  </si>
  <si>
    <t>22nd Mar to 26th Mar</t>
  </si>
  <si>
    <t xml:space="preserve">2. BRDO Organization: No updates received during the reporting period.
During the current week, the partner carried out limited monitoring activities:
•	In Hafrat village, women’s group invested their grant in small-scale food production. They produced significant quantities of biscuits and cakes, which were strategically marketed during the Eid holiday period of high consumer demand.
•	In the Kalahoot Neighborhood, women group invested their grant into equipment for event management and rentals. They purchased essential items used for social gatherings such as weddings and celebrations and successfully rented them out during the Eid season.
</t>
  </si>
  <si>
    <t xml:space="preserve">Practical Action Organization
•	No inputs received
</t>
  </si>
  <si>
    <t>B. RPA – CAFA: No updates were reported during the week</t>
  </si>
  <si>
    <r>
      <rPr>
        <sz val="11"/>
        <color rgb="FF000000"/>
        <rFont val="Aptos Narrow"/>
        <scheme val="minor"/>
      </rPr>
      <t xml:space="preserve">A. Direct Procurement: 
•                Construction of Community seed warehouses KSM Engineering: 50% progress: grade beam works and casting the long columns has been completed.
</t>
    </r>
    <r>
      <rPr>
        <b/>
        <sz val="11"/>
        <color rgb="FF000000"/>
        <rFont val="Aptos Narrow"/>
        <scheme val="minor"/>
      </rPr>
      <t xml:space="preserve">EAA Civil Works:
</t>
    </r>
    <r>
      <rPr>
        <sz val="11"/>
        <color rgb="FF000000"/>
        <rFont val="Aptos Narrow"/>
        <scheme val="minor"/>
      </rPr>
      <t xml:space="preserve">1.Contract Ref: 10439946 – Installation of 3 solarized irrigation pumps 
(3 Kassala, – Contractor: Hagana for Development Supply; 100% completed of pump and solar system installation at the three sites.
2.	Contract Ref: 10493677 – Rehabilitation of Village 6 (Halfa) &amp; Darelsalam (Girba) Water Yards; Contractor: Hewa for Water Drilling; Village 6 : 98% completed of Rehabilitation. 
•	Dar Alsalam: - 20% completed of Rehabilitation
3.Contract Ref: 10493955– Construction of Community Seeds Warehouses; 
Contractor: KSM; 30% completion of Construction of Community Seeds Warehouse in Village 1 in New Halfa Locality 
</t>
    </r>
  </si>
  <si>
    <t>29th Mar to 2nd Apr</t>
  </si>
  <si>
    <t xml:space="preserve"> BRDO Organization: No updates received during the reporting period.
•	No input received.
</t>
  </si>
  <si>
    <t xml:space="preserve"> Practical Action Organization
•	In coordination with the Agricultural Extension Departments in Halfa and Wad Al-Hileu field visits were organized to monitor lentil harvesting currently on-going.
•	Community Management Committees (CMCs) were engaged in project closure meetings in each community, with joint development of post-project sustainability plans, particularly for Micro-Grant activities. These include community-led monitoring, reporting, and accountability systems. 
•	Follow-up mechanisms were established for 135 previously distributed goats (35 male, 100 female), focusing on animal health, reproduction, and productivity. A pass-on scheme will extend benefits to 100 additional households. 
•	Veterinary support is being provided through 20 trained CAHWs (15 in Halfa, 5 in Wad Al-Hileu), delivering basic services, disease surveillance, vaccinations, and awareness on livestock management.
</t>
  </si>
  <si>
    <r>
      <rPr>
        <sz val="11"/>
        <color rgb="FF000000"/>
        <rFont val="Aptos Narrow"/>
        <scheme val="minor"/>
      </rPr>
      <t xml:space="preserve">SAHARI
•	The cost extension for the second round of the project has been duly signed. 
•	</t>
    </r>
    <r>
      <rPr>
        <b/>
        <sz val="11"/>
        <color rgb="FF00B050"/>
        <rFont val="Aptos Narrow"/>
        <scheme val="minor"/>
      </rPr>
      <t xml:space="preserve">SAHARI will share the detailed implementation plans (weekly, monthly, and quarterly) by 5 April 2026. 
</t>
    </r>
    <r>
      <rPr>
        <sz val="11"/>
        <color rgb="FF000000"/>
        <rFont val="Aptos Narrow"/>
        <scheme val="minor"/>
      </rPr>
      <t xml:space="preserve">•	Standard reporting formats will be shared with IPs to ensure consistency in reporting and alignment with the central system. 
</t>
    </r>
  </si>
  <si>
    <r>
      <rPr>
        <sz val="11"/>
        <color rgb="FF000000"/>
        <rFont val="Aptos Narrow"/>
        <scheme val="minor"/>
      </rPr>
      <t xml:space="preserve">ZENAB
•	A brief meeting was held with the IP management team regarding project closure. 
•	</t>
    </r>
    <r>
      <rPr>
        <b/>
        <sz val="11"/>
        <color rgb="FFFF0000"/>
        <rFont val="Aptos Narrow"/>
        <scheme val="minor"/>
      </rPr>
      <t>It was agreed that all pending/unpaid activity documents will be submitted for review and clearance by 6 April 2026.</t>
    </r>
    <r>
      <rPr>
        <b/>
        <sz val="11"/>
        <color rgb="FF00B050"/>
        <rFont val="Aptos Narrow"/>
        <scheme val="minor"/>
      </rPr>
      <t xml:space="preserve"> 
</t>
    </r>
    <r>
      <rPr>
        <sz val="11"/>
        <color rgb="FF000000"/>
        <rFont val="Aptos Narrow"/>
        <scheme val="minor"/>
      </rPr>
      <t xml:space="preserve">•	The team was requested to finalize project reports and address any outstanding issues within two weeks. 
•	</t>
    </r>
    <r>
      <rPr>
        <b/>
        <sz val="11"/>
        <color rgb="FFFF0000"/>
        <rFont val="Aptos Narrow"/>
        <scheme val="minor"/>
      </rPr>
      <t xml:space="preserve">Draft financial and program reports are expected by 9 April 2026. 
</t>
    </r>
  </si>
  <si>
    <r>
      <rPr>
        <sz val="11"/>
        <color rgb="FF000000"/>
        <rFont val="Aptos Narrow"/>
        <scheme val="minor"/>
      </rPr>
      <t xml:space="preserve">EAA Project - Kassala:
•	Construction of Community seed warehouses KSM Engineering: 
                   60% progress: brick works are ongoing
EAA Civil Works:
1.Contract Ref: 10439946 – Installation of 3 solarized irrigation pumps 
(3 Kassala, – Contractor: Hagana for Development Supply; 100% completed of pump and solar system installation at the three sites.
•	Contract Ref: 10493677 – Rehabilitation of Village 6 (Halfa) &amp; Darelsalam (Girba) Water Yards; Contractor: Hewa for Water Drilling; Village 6: almost 100% completed 
•	Dar Alsalam: - 30% completed.
•	3.Contract Ref: 10493955– Construction of Community Seeds Warehouses. 
Contractor: KSM; about 60% completion of Construction of Community Seeds Warehouse in Village 1 in New Halfa Locality 
</t>
    </r>
    <r>
      <rPr>
        <b/>
        <sz val="11"/>
        <color rgb="FF4EA72E"/>
        <rFont val="Aptos Narrow"/>
        <scheme val="minor"/>
      </rPr>
      <t xml:space="preserve">Procurement Activities - GEDAREF
</t>
    </r>
    <r>
      <rPr>
        <sz val="11"/>
        <color rgb="FF000000"/>
        <rFont val="Aptos Narrow"/>
        <scheme val="minor"/>
      </rPr>
      <t xml:space="preserve">Contractor: Hajana Company (West Galabat – 3 Sites)
•	Installation of irrigation pumps and solar systems has reached 100% completion. 
•	Handover is planned during next week’s training to: 
o	Bandigeaw Administrative Unit.
o	Umsalala Community.
o	Afrush Tobak Community.
Contractor: Hewa for Water Drilling (West Galabat)
•	Bandigeaw Girls’ School mini water yard rehabilitation: 50% completed.
•	El Delaib area mini water yard rehabilitation: 50% completed.
•	Abu Elnaja solar system and steel fence: 60% completed.
Contractor: KSM for Engineering &amp; Contracting (Gedaref State)
•	Community warehouses in Gedaref: 60% completed.
•	Community warehouses in Gala El Nahal: 60% completed.
</t>
    </r>
  </si>
  <si>
    <t xml:space="preserve">Activity type/tools </t>
  </si>
  <si>
    <t>Target audience</t>
  </si>
  <si>
    <t>Specific objectives for each target group</t>
  </si>
  <si>
    <t>Measuring success</t>
  </si>
  <si>
    <t>Achieved</t>
  </si>
  <si>
    <t>Planned Frequency</t>
  </si>
  <si>
    <t>Progress Update</t>
  </si>
  <si>
    <t>What type of activities do you anticipate delivering throughout the life of the project?</t>
  </si>
  <si>
    <t>Who do you wish this item to influence?</t>
  </si>
  <si>
    <t>Please provide objectives for each audience type linked to the specific activity.</t>
  </si>
  <si>
    <t>How will you know if this activity has been successful and how will you measure that?</t>
  </si>
  <si>
    <t>Main Activities</t>
  </si>
  <si>
    <t>Interview - Radio/TV</t>
  </si>
  <si>
    <t>Government authorities, Other Donors, Affected populations, General Public</t>
  </si>
  <si>
    <r>
      <t>•</t>
    </r>
    <r>
      <rPr>
        <sz val="11"/>
        <color rgb="FF000000"/>
        <rFont val="Aptos Narrow"/>
        <scheme val="minor"/>
      </rPr>
      <t>To raise awareness and acknowledge the financial contribution of EAA.</t>
    </r>
  </si>
  <si>
    <t>•Number of radio stations/newspapers announcing the contribution
•Number of people attending the event</t>
  </si>
  <si>
    <t>Project kick-off and during key events on rolling basis</t>
  </si>
  <si>
    <t>Suggested interviews with beneficiaries in podcast format – “Moments that matter”</t>
  </si>
  <si>
    <t>Mention in traditional media and official websites</t>
  </si>
  <si>
    <t>Local and regional media</t>
  </si>
  <si>
    <r>
      <t>•</t>
    </r>
    <r>
      <rPr>
        <sz val="11"/>
        <color rgb="FF000000"/>
        <rFont val="Aptos Narrow"/>
        <scheme val="minor"/>
      </rPr>
      <t>To engage the media in the programmatic vision of this partnership</t>
    </r>
  </si>
  <si>
    <r>
      <t>•</t>
    </r>
    <r>
      <rPr>
        <sz val="11"/>
        <color rgb="FF000000"/>
        <rFont val="Aptos Narrow"/>
        <scheme val="minor"/>
      </rPr>
      <t>Media coverage reports</t>
    </r>
  </si>
  <si>
    <t>Project kick-off and rolling</t>
  </si>
  <si>
    <t xml:space="preserve">*https://web.facebook.com/100071151424922/posts/861018679613172/?rdid=IhiAd6RYXWK0wWWQ
*https://web.facebook.com/reel/837262912022624 </t>
  </si>
  <si>
    <t>Digital</t>
  </si>
  <si>
    <t>Website/Webpage</t>
  </si>
  <si>
    <t>Website Visitors, Online followers, Donors, general public.</t>
  </si>
  <si>
    <r>
      <t>•</t>
    </r>
    <r>
      <rPr>
        <sz val="11"/>
        <color rgb="FF000000"/>
        <rFont val="Aptos Narrow"/>
        <scheme val="minor"/>
      </rPr>
      <t>To raise awareness about the about project and its activities and achievements</t>
    </r>
  </si>
  <si>
    <r>
      <t>•</t>
    </r>
    <r>
      <rPr>
        <sz val="11"/>
        <color rgb="FF000000"/>
        <rFont val="Aptos Narrow"/>
        <scheme val="minor"/>
      </rPr>
      <t>Page views, average time on page</t>
    </r>
  </si>
  <si>
    <t>Quarterly updates</t>
  </si>
  <si>
    <t>As above</t>
  </si>
  <si>
    <t>Social media</t>
  </si>
  <si>
    <t>UNDP and EAA Website Visitors, Online followers, Donors, general public.</t>
  </si>
  <si>
    <t>•To raise awareness about the about project and its activities and achievements</t>
  </si>
  <si>
    <t>•Number of Likes and shares project posts</t>
  </si>
  <si>
    <t>Monthly posts</t>
  </si>
  <si>
    <t>*https://x.com/UNDP_Sudan/status/1975530642319548833
*https://www.linkedin.com/feed/update/urn:li:activity:7381298178874245120
*https://www.facebook.com/share/p/171yKbZt21/
*https://x.com/UNDP_Sudan/status/1981320517832360291
*https://www.linkedin.com/feed/update/urn:li:activity:7387087792956145664
*https://www.facebook.com/share/p/1DJ5SyjBjd/</t>
  </si>
  <si>
    <t>Human interest/Success story</t>
  </si>
  <si>
    <t>Media, Government, other donors, general public</t>
  </si>
  <si>
    <r>
      <t>•</t>
    </r>
    <r>
      <rPr>
        <sz val="11"/>
        <color rgb="FF000000"/>
        <rFont val="Aptos Narrow"/>
        <scheme val="minor"/>
      </rPr>
      <t>Communication of key results, marketing the project, additional fundraising, reporting, media, and blogpost  content.</t>
    </r>
  </si>
  <si>
    <t>12 stories yearly</t>
  </si>
  <si>
    <t>2 are currently in review from Gedaref and 1 from Kassala</t>
  </si>
  <si>
    <t>Blog</t>
  </si>
  <si>
    <t>EAA, UNDP Site and Social media followers; General public</t>
  </si>
  <si>
    <r>
      <t>•</t>
    </r>
    <r>
      <rPr>
        <sz val="11"/>
        <color rgb="FF000000"/>
        <rFont val="Aptos Narrow"/>
        <scheme val="minor"/>
      </rPr>
      <t>To highlight achievements, successes and unique features about the project in championing change in human condition and in implementing proven approaches.</t>
    </r>
  </si>
  <si>
    <r>
      <t>•</t>
    </r>
    <r>
      <rPr>
        <sz val="11"/>
        <color rgb="FF000000"/>
        <rFont val="Aptos Narrow"/>
        <scheme val="minor"/>
      </rPr>
      <t>Overall blog visit, page views</t>
    </r>
  </si>
  <si>
    <t>Biannually (Every 6 months)</t>
  </si>
  <si>
    <t>*https://www.undp.org/sudan/blog/empowering-sudanese-youth-pathways-peace-stability-and-prosperity</t>
  </si>
  <si>
    <t xml:space="preserve">Project wrap up achievements and figures </t>
  </si>
  <si>
    <t xml:space="preserve">Media, Government, other donors, general public, Youth, </t>
  </si>
  <si>
    <r>
      <t>•</t>
    </r>
    <r>
      <rPr>
        <sz val="11"/>
        <color rgb="FF000000"/>
        <rFont val="Aptos Narrow"/>
        <scheme val="minor"/>
      </rPr>
      <t>Showcase success stories of youth employment</t>
    </r>
  </si>
  <si>
    <t>Project ending (one-time)</t>
  </si>
  <si>
    <t>Yet to start</t>
  </si>
  <si>
    <t>Print</t>
  </si>
  <si>
    <t>Sign Boards</t>
  </si>
  <si>
    <t>Local Authorities, target communities, other partners</t>
  </si>
  <si>
    <r>
      <t>•</t>
    </r>
    <r>
      <rPr>
        <sz val="11"/>
        <color rgb="FF000000"/>
        <rFont val="Aptos Narrow"/>
        <scheme val="minor"/>
      </rPr>
      <t>To inform communities, local authorities and other stakeholders about project investments.</t>
    </r>
  </si>
  <si>
    <r>
      <t>•</t>
    </r>
    <r>
      <rPr>
        <sz val="11"/>
        <color rgb="FF000000"/>
        <rFont val="Aptos Narrow"/>
        <scheme val="minor"/>
      </rPr>
      <t>Number of assets or sites with sign boards</t>
    </r>
  </si>
  <si>
    <t>Rolling basis</t>
  </si>
  <si>
    <t>Done</t>
  </si>
  <si>
    <t>Leaflets/information sheets/fact sheets</t>
  </si>
  <si>
    <t>Local authorities, visitors, other development partners</t>
  </si>
  <si>
    <r>
      <t>•</t>
    </r>
    <r>
      <rPr>
        <sz val="11"/>
        <color rgb="FF000000"/>
        <rFont val="Aptos Narrow"/>
        <scheme val="minor"/>
      </rPr>
      <t>To inform all stakeholders about the key fact and information about the project.</t>
    </r>
  </si>
  <si>
    <r>
      <t>•</t>
    </r>
    <r>
      <rPr>
        <sz val="11"/>
        <color rgb="FF000000"/>
        <rFont val="Aptos Narrow"/>
        <scheme val="minor"/>
      </rPr>
      <t>Number of people receiving leaflets/information sheets/fact sheets</t>
    </r>
  </si>
  <si>
    <t>Project factsheet in review</t>
  </si>
  <si>
    <t>Banner</t>
  </si>
  <si>
    <t>Participants of works and key events</t>
  </si>
  <si>
    <r>
      <t>•</t>
    </r>
    <r>
      <rPr>
        <sz val="11"/>
        <color rgb="FF000000"/>
        <rFont val="Aptos Narrow"/>
        <scheme val="minor"/>
      </rPr>
      <t>To inform participants about the project organising the event and the donor of the project</t>
    </r>
  </si>
  <si>
    <r>
      <t>•</t>
    </r>
    <r>
      <rPr>
        <sz val="11"/>
        <color rgb="FF000000"/>
        <rFont val="Aptos Narrow"/>
        <scheme val="minor"/>
      </rPr>
      <t>Number of events with a banner</t>
    </r>
  </si>
  <si>
    <t>Events</t>
  </si>
  <si>
    <t>Government, Participants and partners</t>
  </si>
  <si>
    <t>To build awareness of Local authorities, Partners and beneficiaries about the project</t>
  </si>
  <si>
    <r>
      <t>•</t>
    </r>
    <r>
      <rPr>
        <sz val="11"/>
        <color rgb="FF000000"/>
        <rFont val="Aptos Narrow"/>
        <scheme val="minor"/>
      </rPr>
      <t>Number of workshops documented with good visibility materials (banners)</t>
    </r>
  </si>
  <si>
    <t>Key Federal and State Government representatives engaged during tractor handover and association registrations.</t>
  </si>
  <si>
    <t>High level visit</t>
  </si>
  <si>
    <t>Donor and high-level Government delegations</t>
  </si>
  <si>
    <r>
      <t>•</t>
    </r>
    <r>
      <rPr>
        <sz val="11"/>
        <color rgb="FF000000"/>
        <rFont val="Aptos Narrow"/>
        <scheme val="minor"/>
      </rPr>
      <t>Inform delegation of project results, facilitate interaction between donor and beneficiaries</t>
    </r>
  </si>
  <si>
    <r>
      <t>•</t>
    </r>
    <r>
      <rPr>
        <sz val="11"/>
        <color rgb="FF000000"/>
        <rFont val="Aptos Narrow"/>
        <scheme val="minor"/>
      </rPr>
      <t>Number of high-level visits documented</t>
    </r>
  </si>
  <si>
    <t>Starting from project inception</t>
  </si>
  <si>
    <t>Project branding &amp; visual identity</t>
  </si>
  <si>
    <t>Merchandise/promotional item</t>
  </si>
  <si>
    <t>All project stakeholders</t>
  </si>
  <si>
    <r>
      <t>•</t>
    </r>
    <r>
      <rPr>
        <sz val="11"/>
        <color rgb="FF000000"/>
        <rFont val="Aptos Narrow"/>
        <scheme val="minor"/>
      </rPr>
      <t xml:space="preserve">To increase visibility of the project among internal and external  stakeholders </t>
    </r>
  </si>
  <si>
    <r>
      <t>•</t>
    </r>
    <r>
      <rPr>
        <sz val="11"/>
        <color rgb="FF000000"/>
        <rFont val="Aptos Narrow"/>
        <scheme val="minor"/>
      </rPr>
      <t>Number of Merchandise/promotional items produced;</t>
    </r>
  </si>
  <si>
    <t>One-off production</t>
  </si>
  <si>
    <t xml:space="preserve">At the final stage to procure. </t>
  </si>
  <si>
    <t>Our People</t>
  </si>
  <si>
    <t>Training &amp; capacity building</t>
  </si>
  <si>
    <t>Training participants</t>
  </si>
  <si>
    <r>
      <t>•</t>
    </r>
    <r>
      <rPr>
        <sz val="11"/>
        <color rgb="FF000000"/>
        <rFont val="Aptos Narrow"/>
        <scheme val="minor"/>
      </rPr>
      <t xml:space="preserve">To increase awareness on the project among internal and external  stakeholders </t>
    </r>
  </si>
  <si>
    <r>
      <t>•</t>
    </r>
    <r>
      <rPr>
        <sz val="11"/>
        <color rgb="FF000000"/>
        <rFont val="Aptos Narrow"/>
        <scheme val="minor"/>
      </rPr>
      <t>Number of training activities with adequate donor visibility</t>
    </r>
  </si>
  <si>
    <t>Standard banners developed for all training workshops including by implementing partners</t>
  </si>
  <si>
    <t xml:space="preserve">Community mobilization </t>
  </si>
  <si>
    <t>Community members and local leaders</t>
  </si>
  <si>
    <r>
      <t>•</t>
    </r>
    <r>
      <rPr>
        <sz val="11"/>
        <color rgb="FF000000"/>
        <rFont val="Aptos Narrow"/>
        <scheme val="minor"/>
      </rPr>
      <t>To increase awareness of the project and the donor</t>
    </r>
  </si>
  <si>
    <r>
      <t>•</t>
    </r>
    <r>
      <rPr>
        <sz val="11"/>
        <color rgb="FF000000"/>
        <rFont val="Aptos Narrow"/>
        <scheme val="minor"/>
      </rPr>
      <t>Number of community mobilization sessions wiy</t>
    </r>
  </si>
  <si>
    <t>So far, 12 community mobilization sessions have been organized; Silatech/EAA were acknowledged as the donor of this project</t>
  </si>
  <si>
    <t>Totals</t>
  </si>
  <si>
    <t xml:space="preserve">State </t>
  </si>
  <si>
    <t>Locality</t>
  </si>
  <si>
    <t>Targeted area/Community</t>
  </si>
  <si>
    <t>Type of Water Intervention</t>
  </si>
  <si>
    <t>Site Coordinates</t>
  </si>
  <si>
    <t>Expected Drawdown (m)</t>
  </si>
  <si>
    <t>Pumping Setting Depth (F)</t>
  </si>
  <si>
    <t>Pump Selection Type &amp; Model</t>
  </si>
  <si>
    <t>Nominal Power (kW)</t>
  </si>
  <si>
    <t>Number of Panels</t>
  </si>
  <si>
    <t>N. of hours it operates on solar system for borehole</t>
  </si>
  <si>
    <t>Water production rate per hour</t>
  </si>
  <si>
    <t>Water productivity rate (m³/day) of the borehole</t>
  </si>
  <si>
    <t>Water productivity per liter/day</t>
  </si>
  <si>
    <t>Number of beneficiaries of water stations (persons)</t>
  </si>
  <si>
    <t>Status</t>
  </si>
  <si>
    <t>Ready for Handover</t>
  </si>
  <si>
    <t>Handed Over</t>
  </si>
  <si>
    <t>Handover Date</t>
  </si>
  <si>
    <t>Khasm-ElGirba</t>
  </si>
  <si>
    <t>Dar-Elsalam</t>
  </si>
  <si>
    <t>Rehabilitaion of Existing Water Project</t>
  </si>
  <si>
    <t>N:15.015792      E:35.816696</t>
  </si>
  <si>
    <t>New Halfa</t>
  </si>
  <si>
    <t>Village 6 Arab</t>
  </si>
  <si>
    <t>15°18'15.8"N 35°28'16.2"E</t>
  </si>
  <si>
    <t>West Galabat</t>
  </si>
  <si>
    <t>Bandigeaw Area</t>
  </si>
  <si>
    <t>Upgrading of hand Pump to Mini water yard</t>
  </si>
  <si>
    <t>12°50'12.8"N 35°14'03.7"E</t>
  </si>
  <si>
    <t>Eldelaib Area</t>
  </si>
  <si>
    <t>Rehabilitation of existing borehole</t>
  </si>
  <si>
    <t>12°45'03.8"N 35°20'42.9"E</t>
  </si>
  <si>
    <t>Abu-Elnaja</t>
  </si>
  <si>
    <t>13°58'38.45''N 35°15'53.9''E</t>
  </si>
  <si>
    <t>No.</t>
  </si>
  <si>
    <t>Contractor</t>
  </si>
  <si>
    <t>Locality /Site Name/ Association</t>
  </si>
  <si>
    <t>Irrigated Area</t>
  </si>
  <si>
    <t>Scope of Work</t>
  </si>
  <si>
    <t>GPS coordinates</t>
  </si>
  <si>
    <t>Beneficiaries</t>
  </si>
  <si>
    <t>Progress of Work up to date</t>
  </si>
  <si>
    <t>HandedOver</t>
  </si>
  <si>
    <r>
      <rPr>
        <b/>
        <sz val="11"/>
        <color rgb="FF000000"/>
        <rFont val="Aptos"/>
      </rPr>
      <t>Kassala</t>
    </r>
    <r>
      <rPr>
        <sz val="11"/>
        <color rgb="FF000000"/>
        <rFont val="Aptos"/>
      </rPr>
      <t xml:space="preserve"> / Bustan Specialized Agricultural Association</t>
    </r>
  </si>
  <si>
    <t>20 Feddan/ 8.4 Hectares</t>
  </si>
  <si>
    <t>•  15 HP pump                        
• Solar system.
• Fence.
• Signboard.</t>
  </si>
  <si>
    <t>15°23'48.2"N 36°23'10.0"E</t>
  </si>
  <si>
    <r>
      <rPr>
        <b/>
        <sz val="11"/>
        <color rgb="FF000000"/>
        <rFont val="Aptos"/>
      </rPr>
      <t>Kassala</t>
    </r>
    <r>
      <rPr>
        <sz val="11"/>
        <color rgb="FF000000"/>
        <rFont val="Aptos"/>
      </rPr>
      <t xml:space="preserve"> / AlSabeel Al humadab Cooperative Agricultural Association</t>
    </r>
  </si>
  <si>
    <t>15°22'03.08"N 36°24'23.6"E</t>
  </si>
  <si>
    <r>
      <rPr>
        <b/>
        <sz val="11"/>
        <color rgb="FF000000"/>
        <rFont val="Aptos"/>
      </rPr>
      <t>Kassala</t>
    </r>
    <r>
      <rPr>
        <sz val="11"/>
        <color rgb="FF000000"/>
        <rFont val="Aptos"/>
      </rPr>
      <t xml:space="preserve"> / North Sawagi Cooperative Association multi-purpose</t>
    </r>
  </si>
  <si>
    <t>15°23'02.3"N 36°24'07.2"E</t>
  </si>
  <si>
    <r>
      <t>West Galabat</t>
    </r>
    <r>
      <rPr>
        <sz val="11"/>
        <color rgb="FF000000"/>
        <rFont val="Aptos"/>
        <family val="2"/>
        <charset val="1"/>
      </rPr>
      <t>/ Bandigewa Association</t>
    </r>
  </si>
  <si>
    <t>•  15 HP pump                       
• Solar system.
•  Fence.
•  Signboard.</t>
  </si>
  <si>
    <t>12°50'01.8"N, 35°12'11.3"E</t>
  </si>
  <si>
    <r>
      <t>West Galabat</t>
    </r>
    <r>
      <rPr>
        <sz val="11"/>
        <color rgb="FF000000"/>
        <rFont val="Aptos"/>
        <family val="2"/>
        <charset val="1"/>
      </rPr>
      <t xml:space="preserve"> / Afrush Tobak Association</t>
    </r>
  </si>
  <si>
    <t>12°47'29.5"N 35°14'06.3"E</t>
  </si>
  <si>
    <r>
      <t>West Galabat</t>
    </r>
    <r>
      <rPr>
        <sz val="11"/>
        <color rgb="FF000000"/>
        <rFont val="Aptos"/>
        <family val="2"/>
        <charset val="1"/>
      </rPr>
      <t xml:space="preserve"> / Um Salala Association</t>
    </r>
  </si>
  <si>
    <t>12°51'45.0"N, 35°10'19.2"E</t>
  </si>
  <si>
    <t xml:space="preserve"> River Nile</t>
  </si>
  <si>
    <r>
      <rPr>
        <b/>
        <sz val="11"/>
        <color rgb="FF000000"/>
        <rFont val="Aptos"/>
      </rPr>
      <t xml:space="preserve">El Damer Locality / </t>
    </r>
    <r>
      <rPr>
        <sz val="11"/>
        <color rgb="FF000000"/>
        <rFont val="Aptos"/>
      </rPr>
      <t>Um Agaga Area/</t>
    </r>
  </si>
  <si>
    <t>15 HP pump                       
• Solar system.
• Fence.
• Signboard.</t>
  </si>
  <si>
    <t>17° 39'57.7"N 34°01'47.3"E</t>
  </si>
  <si>
    <t>Alnahda  Association</t>
  </si>
  <si>
    <r>
      <t xml:space="preserve">El Damer Locality </t>
    </r>
    <r>
      <rPr>
        <sz val="11"/>
        <color rgb="FF000000"/>
        <rFont val="Aptos"/>
        <family val="2"/>
        <charset val="1"/>
      </rPr>
      <t>/ Kitiab/</t>
    </r>
  </si>
  <si>
    <t>17° 10'06.1"N 33°43'31.3"E</t>
  </si>
  <si>
    <t>Private Projects Owners  Association</t>
  </si>
  <si>
    <r>
      <t>El Damer Locality /</t>
    </r>
    <r>
      <rPr>
        <sz val="11"/>
        <color rgb="FF000000"/>
        <rFont val="Aptos"/>
        <family val="2"/>
        <charset val="1"/>
      </rPr>
      <t>Nagazo/</t>
    </r>
  </si>
  <si>
    <t>18° 05'08.6"N 33°57'58.8"E</t>
  </si>
  <si>
    <t>Alamal Al Akhdar  Association</t>
  </si>
  <si>
    <r>
      <t xml:space="preserve">Almatma Locality / </t>
    </r>
    <r>
      <rPr>
        <sz val="11"/>
        <color rgb="FF000000"/>
        <rFont val="Aptos"/>
        <family val="2"/>
        <charset val="1"/>
      </rPr>
      <t>Wd Hamid/</t>
    </r>
  </si>
  <si>
    <t>16° 28'31.3"N 32°48'40.5"E</t>
  </si>
  <si>
    <t>Shobra  Association</t>
  </si>
  <si>
    <t xml:space="preserve">River Nile </t>
  </si>
  <si>
    <t>Ad-Damer</t>
  </si>
  <si>
    <t>KSM</t>
  </si>
  <si>
    <t xml:space="preserve">Construction of seeds warehouse </t>
  </si>
  <si>
    <t>Aldurra Association</t>
  </si>
  <si>
    <t xml:space="preserve">Completed </t>
  </si>
  <si>
    <t xml:space="preserve">Handedover </t>
  </si>
  <si>
    <t>29/07/2026</t>
  </si>
  <si>
    <t>Town</t>
  </si>
  <si>
    <t>Alkanara</t>
  </si>
  <si>
    <t>Wad Elhalangi</t>
  </si>
  <si>
    <t>Wad Karboose</t>
  </si>
  <si>
    <t>Alsaaraf</t>
  </si>
  <si>
    <t>Sabarna</t>
  </si>
  <si>
    <t>El Saraf</t>
  </si>
  <si>
    <t>Central Gedaref</t>
  </si>
  <si>
    <t>Abu Alnaja West</t>
  </si>
  <si>
    <t>Abu Alnaja Altajamow</t>
  </si>
  <si>
    <t>Abu Al Naja North</t>
  </si>
  <si>
    <t>Wad Wadida</t>
  </si>
  <si>
    <t>Gregana</t>
  </si>
  <si>
    <t>Um Sinabra</t>
  </si>
  <si>
    <t>Al-Fashaga</t>
  </si>
  <si>
    <t>Al-Murabba</t>
  </si>
  <si>
    <t>Wad-Albaishir</t>
  </si>
  <si>
    <t>Alamara</t>
  </si>
  <si>
    <t>Aburaid</t>
  </si>
  <si>
    <t>Al-Remaila</t>
  </si>
  <si>
    <t>Kassala Rural</t>
  </si>
  <si>
    <t>Village 26 Refugees</t>
  </si>
  <si>
    <t>Almunabba</t>
  </si>
  <si>
    <t>Elshagrab West</t>
  </si>
  <si>
    <t>Hafarat</t>
  </si>
  <si>
    <t>Kalahoot</t>
  </si>
  <si>
    <t>Kurmota</t>
  </si>
  <si>
    <t>Village 6 Eskan</t>
  </si>
  <si>
    <t>Kobri 5</t>
  </si>
  <si>
    <t>Gabir Village.</t>
  </si>
  <si>
    <t>Dar Elsalam</t>
  </si>
  <si>
    <t>Wedel Helew</t>
  </si>
  <si>
    <t>Village 9</t>
  </si>
  <si>
    <t>Village 10</t>
  </si>
  <si>
    <t>El Damar</t>
  </si>
  <si>
    <t>Sidoon Community Villages</t>
  </si>
  <si>
    <t>Berber</t>
  </si>
  <si>
    <t>Albawga</t>
  </si>
  <si>
    <t>West Barbar.</t>
  </si>
  <si>
    <t>Alebaydia</t>
  </si>
  <si>
    <t>UNDP_RR</t>
  </si>
  <si>
    <t>Bustan Specialized Agricultural Association</t>
  </si>
  <si>
    <t>AlSabeel Al humadab Cooperative Agricultural Association</t>
  </si>
  <si>
    <t>North Sawagi Cooperative Association multi-purpose</t>
  </si>
  <si>
    <t>Bandigewa Association</t>
  </si>
  <si>
    <t>Afrush Tobak Association</t>
  </si>
  <si>
    <t>Um Salala Association</t>
  </si>
  <si>
    <t>Um Agaga Area/ Alnahda  Association</t>
  </si>
  <si>
    <t>Kitiab/ Private Projects Owners  Association</t>
  </si>
  <si>
    <t>Nagazo/ Alamal Al Akhdar  Association</t>
  </si>
  <si>
    <t>Al-Matma</t>
  </si>
  <si>
    <t>Wd Hamid/ Shobra  Association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</si>
</sst>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3" formatCode="_(* #,##0.00_);_(* \(#,##0.00\);_(* &quot;-&quot;??_);_(@_)"/>
  </numFmts>
  <fonts count="50">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Aptos Narrow"/>
      <family val="2"/>
      <scheme val="minor"/>
    </font>
    <font>
      <sz val="12"/>
      <color theme="1"/>
      <name val="Aptos Narrow"/>
      <family val="2"/>
      <scheme val="minor"/>
    </font>
    <font>
      <sz val="11"/>
      <name val="Aptos Narrow"/>
      <family val="2"/>
      <scheme val="minor"/>
    </font>
    <font>
      <sz val="10"/>
      <color theme="1"/>
      <name val="Aptos"/>
      <family val="2"/>
    </font>
    <font>
      <b/>
      <sz val="10"/>
      <color theme="1"/>
      <name val="Aptos"/>
      <family val="2"/>
    </font>
    <font>
      <sz val="10"/>
      <color rgb="FF444444"/>
      <name val="Aptos"/>
      <family val="2"/>
    </font>
    <font>
      <b/>
      <sz val="10"/>
      <name val="Aptos"/>
      <family val="2"/>
    </font>
    <font>
      <sz val="10"/>
      <name val="Aptos"/>
      <family val="2"/>
    </font>
    <font>
      <b/>
      <sz val="10"/>
      <color theme="0"/>
      <name val="Aptos"/>
      <family val="2"/>
    </font>
    <font>
      <sz val="10"/>
      <color rgb="FF000000"/>
      <name val="Aptos"/>
      <family val="2"/>
    </font>
    <font>
      <b/>
      <sz val="10"/>
      <color rgb="FF000000"/>
      <name val="Aptos"/>
      <family val="2"/>
    </font>
    <font>
      <sz val="10"/>
      <color rgb="FFFF0000"/>
      <name val="Aptos"/>
      <family val="2"/>
    </font>
    <font>
      <b/>
      <i/>
      <sz val="10"/>
      <color theme="1"/>
      <name val="Aptos"/>
      <family val="2"/>
    </font>
    <font>
      <b/>
      <sz val="10"/>
      <color rgb="FFC00000"/>
      <name val="Aptos"/>
      <family val="2"/>
    </font>
    <font>
      <b/>
      <sz val="12"/>
      <color theme="1"/>
      <name val="Aptos Narrow"/>
      <family val="2"/>
      <scheme val="minor"/>
    </font>
    <font>
      <b/>
      <sz val="10"/>
      <color rgb="FFFF0000"/>
      <name val="Aptos"/>
      <family val="2"/>
    </font>
    <font>
      <b/>
      <sz val="11"/>
      <color rgb="FFFF0000"/>
      <name val="Aptos Narrow"/>
      <family val="2"/>
      <scheme val="minor"/>
    </font>
    <font>
      <b/>
      <sz val="11"/>
      <color theme="4"/>
      <name val="Aptos Narrow"/>
      <family val="2"/>
      <scheme val="minor"/>
    </font>
    <font>
      <sz val="11"/>
      <color rgb="FF000000"/>
      <name val="Aptos Narrow"/>
      <scheme val="minor"/>
    </font>
    <font>
      <b/>
      <sz val="11"/>
      <color rgb="FFFF0000"/>
      <name val="Aptos Narrow"/>
      <scheme val="minor"/>
    </font>
    <font>
      <sz val="11"/>
      <color theme="1"/>
      <name val="Aptos Narrow"/>
      <scheme val="minor"/>
    </font>
    <font>
      <b/>
      <sz val="12"/>
      <color rgb="FFFF0000"/>
      <name val="Aptos"/>
      <family val="2"/>
    </font>
    <font>
      <b/>
      <sz val="11"/>
      <color rgb="FF000000"/>
      <name val="Aptos Narrow"/>
      <scheme val="minor"/>
    </font>
    <font>
      <sz val="11"/>
      <color rgb="FF000000"/>
      <name val="Aptos Narrow"/>
      <family val="2"/>
      <scheme val="minor"/>
    </font>
    <font>
      <sz val="11"/>
      <color rgb="FFFF0000"/>
      <name val="Aptos Narrow"/>
      <family val="2"/>
      <scheme val="minor"/>
    </font>
    <font>
      <b/>
      <strike/>
      <sz val="11"/>
      <color rgb="FFFF0000"/>
      <name val="Aptos Narrow"/>
      <scheme val="minor"/>
    </font>
    <font>
      <u/>
      <sz val="11"/>
      <color theme="10"/>
      <name val="Aptos Narrow"/>
      <family val="2"/>
      <scheme val="minor"/>
    </font>
    <font>
      <sz val="11"/>
      <name val="Aptos Narrow"/>
      <scheme val="minor"/>
    </font>
    <font>
      <u/>
      <sz val="11"/>
      <color theme="10"/>
      <name val="Aptos Narrow"/>
      <scheme val="minor"/>
    </font>
    <font>
      <b/>
      <sz val="11"/>
      <color rgb="FFFFFFFF"/>
      <name val="Aptos Narrow"/>
      <scheme val="minor"/>
    </font>
    <font>
      <sz val="11"/>
      <color rgb="FF000000"/>
      <name val="Aptos Narrow"/>
      <family val="2"/>
    </font>
    <font>
      <b/>
      <sz val="11"/>
      <color rgb="FF000000"/>
      <name val="Aptos Narrow"/>
      <family val="2"/>
    </font>
    <font>
      <b/>
      <sz val="11"/>
      <color rgb="FF00B050"/>
      <name val="Aptos Narrow"/>
      <scheme val="minor"/>
    </font>
    <font>
      <b/>
      <sz val="11"/>
      <color rgb="FF7030A0"/>
      <name val="Aptos Narrow"/>
      <scheme val="minor"/>
    </font>
    <font>
      <sz val="11"/>
      <color rgb="FFFF0000"/>
      <name val="Aptos Narrow"/>
      <scheme val="minor"/>
    </font>
    <font>
      <b/>
      <sz val="11"/>
      <color rgb="FFA02B93"/>
      <name val="Aptos Narrow"/>
      <scheme val="minor"/>
    </font>
    <font>
      <b/>
      <sz val="11"/>
      <color rgb="FF4EA72E"/>
      <name val="Aptos Narrow"/>
      <scheme val="minor"/>
    </font>
    <font>
      <b/>
      <sz val="11"/>
      <name val="Aptos Narrow"/>
      <scheme val="minor"/>
    </font>
    <font>
      <b/>
      <sz val="11"/>
      <color theme="1"/>
      <name val="Aptos Narrow"/>
      <scheme val="minor"/>
    </font>
    <font>
      <b/>
      <sz val="11"/>
      <color rgb="FF000000"/>
      <name val="Aptos Light"/>
      <charset val="1"/>
    </font>
    <font>
      <sz val="11"/>
      <color rgb="FF000000"/>
      <name val="Aptos Light"/>
      <charset val="1"/>
    </font>
    <font>
      <b/>
      <sz val="11"/>
      <color rgb="FF000000"/>
      <name val="Aptos"/>
      <family val="2"/>
      <charset val="1"/>
    </font>
    <font>
      <sz val="11"/>
      <color rgb="FF000000"/>
      <name val="Aptos"/>
      <family val="2"/>
      <charset val="1"/>
    </font>
    <font>
      <sz val="11"/>
      <color theme="1"/>
      <name val="Aptos"/>
      <family val="2"/>
      <charset val="1"/>
    </font>
    <font>
      <b/>
      <sz val="11"/>
      <color rgb="FF000000"/>
      <name val="Aptos"/>
    </font>
    <font>
      <sz val="11"/>
      <color rgb="FF000000"/>
      <name val="Aptos"/>
    </font>
    <font>
      <sz val="11"/>
      <color rgb="FF000000"/>
      <name val="Aptos Narrow"/>
      <family val="2"/>
      <charset val="1"/>
    </font>
  </fonts>
  <fills count="33">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theme="4"/>
        <bgColor indexed="64"/>
      </patternFill>
    </fill>
    <fill>
      <patternFill patternType="solid">
        <fgColor rgb="FFFFFF00"/>
        <bgColor rgb="FF000000"/>
      </patternFill>
    </fill>
    <fill>
      <patternFill patternType="solid">
        <fgColor theme="0" tint="-0.249977111117893"/>
        <bgColor indexed="64"/>
      </patternFill>
    </fill>
    <fill>
      <patternFill patternType="solid">
        <fgColor theme="2"/>
        <bgColor indexed="64"/>
      </patternFill>
    </fill>
    <fill>
      <patternFill patternType="solid">
        <fgColor theme="8"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F0000"/>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196B24"/>
        <bgColor rgb="FF000000"/>
      </patternFill>
    </fill>
    <fill>
      <patternFill patternType="solid">
        <fgColor rgb="FFCCD4CC"/>
        <bgColor rgb="FF000000"/>
      </patternFill>
    </fill>
    <fill>
      <patternFill patternType="solid">
        <fgColor rgb="FFE7EBE8"/>
        <bgColor rgb="FF000000"/>
      </patternFill>
    </fill>
    <fill>
      <patternFill patternType="solid">
        <fgColor rgb="FFFFFFFF"/>
        <bgColor rgb="FF000000"/>
      </patternFill>
    </fill>
    <fill>
      <patternFill patternType="solid">
        <fgColor rgb="FFDAE9F8"/>
        <bgColor rgb="FF000000"/>
      </patternFill>
    </fill>
    <fill>
      <patternFill patternType="solid">
        <fgColor rgb="FF92D050"/>
        <bgColor indexed="64"/>
      </patternFill>
    </fill>
    <fill>
      <patternFill patternType="solid">
        <fgColor rgb="FF9BBB59"/>
        <bgColor indexed="64"/>
      </patternFill>
    </fill>
    <fill>
      <patternFill patternType="solid">
        <fgColor rgb="FFF2DCDB"/>
        <bgColor indexed="64"/>
      </patternFill>
    </fill>
    <fill>
      <patternFill patternType="solid">
        <fgColor rgb="FFC5D9F1"/>
        <bgColor indexed="64"/>
      </patternFill>
    </fill>
    <fill>
      <patternFill patternType="solid">
        <fgColor rgb="FFFAE2D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rgb="FF757171"/>
      </left>
      <right style="thin">
        <color rgb="FF757171"/>
      </right>
      <top style="thin">
        <color rgb="FF757171"/>
      </top>
      <bottom style="thin">
        <color rgb="FF757171"/>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right/>
      <top/>
      <bottom style="thin">
        <color indexed="64"/>
      </bottom>
      <diagonal/>
    </border>
    <border>
      <left style="thin">
        <color rgb="FF747474"/>
      </left>
      <right style="thin">
        <color rgb="FF747474"/>
      </right>
      <top style="thin">
        <color rgb="FF747474"/>
      </top>
      <bottom style="thin">
        <color rgb="FF747474"/>
      </bottom>
      <diagonal/>
    </border>
    <border>
      <left style="thin">
        <color rgb="FF747474"/>
      </left>
      <right style="thin">
        <color rgb="FF747474"/>
      </right>
      <top/>
      <bottom style="thin">
        <color rgb="FF74747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FFFFFF"/>
      </left>
      <right style="medium">
        <color rgb="FFFFFFFF"/>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top/>
      <bottom style="medium">
        <color rgb="FFFFFFFF"/>
      </bottom>
      <diagonal/>
    </border>
    <border>
      <left/>
      <right/>
      <top/>
      <bottom style="medium">
        <color rgb="FFFFFFFF"/>
      </bottom>
      <diagonal/>
    </border>
    <border>
      <left style="medium">
        <color rgb="FFFFFFFF"/>
      </left>
      <right style="medium">
        <color rgb="FFFFFFFF"/>
      </right>
      <top/>
      <bottom/>
      <diagonal/>
    </border>
    <border>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style="medium">
        <color rgb="FFFFFFFF"/>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top style="thick">
        <color rgb="FFFFFFFF"/>
      </top>
      <bottom style="medium">
        <color rgb="FFFFFFFF"/>
      </bottom>
      <diagonal/>
    </border>
    <border>
      <left/>
      <right/>
      <top style="thick">
        <color rgb="FFFFFFFF"/>
      </top>
      <bottom style="medium">
        <color rgb="FFFFFFFF"/>
      </bottom>
      <diagonal/>
    </border>
    <border>
      <left/>
      <right style="medium">
        <color rgb="FFFFFFFF"/>
      </right>
      <top style="thick">
        <color rgb="FFFFFFFF"/>
      </top>
      <bottom style="medium">
        <color rgb="FFFFFFFF"/>
      </bottom>
      <diagonal/>
    </border>
    <border>
      <left style="thin">
        <color rgb="FFADADAD"/>
      </left>
      <right style="thin">
        <color rgb="FFADADAD"/>
      </right>
      <top style="thin">
        <color rgb="FFADADAD"/>
      </top>
      <bottom style="thin">
        <color rgb="FFADADAD"/>
      </bottom>
      <diagonal/>
    </border>
    <border>
      <left style="thin">
        <color rgb="FFADADAD"/>
      </left>
      <right style="thin">
        <color rgb="FFADADAD"/>
      </right>
      <top style="thin">
        <color rgb="FFADADAD"/>
      </top>
      <bottom/>
      <diagonal/>
    </border>
    <border>
      <left style="thin">
        <color rgb="FFADADAD"/>
      </left>
      <right style="thin">
        <color rgb="FFADADAD"/>
      </right>
      <top/>
      <bottom style="thin">
        <color rgb="FFADADAD"/>
      </bottom>
      <diagonal/>
    </border>
    <border>
      <left style="thin">
        <color rgb="FFADADAD"/>
      </left>
      <right/>
      <top/>
      <bottom/>
      <diagonal/>
    </border>
    <border>
      <left/>
      <right style="thin">
        <color rgb="FFADADAD"/>
      </right>
      <top style="thin">
        <color rgb="FFADADAD"/>
      </top>
      <bottom style="thin">
        <color rgb="FFADADAD"/>
      </bottom>
      <diagonal/>
    </border>
    <border>
      <left/>
      <right/>
      <top style="thin">
        <color rgb="FFADADAD"/>
      </top>
      <bottom style="thin">
        <color rgb="FFADADAD"/>
      </bottom>
      <diagonal/>
    </border>
    <border>
      <left/>
      <right style="thin">
        <color rgb="FFADADAD"/>
      </right>
      <top/>
      <bottom style="thin">
        <color rgb="FFADADAD"/>
      </bottom>
      <diagonal/>
    </border>
    <border>
      <left style="thin">
        <color rgb="FFADADAD"/>
      </left>
      <right style="thin">
        <color rgb="FFADADAD"/>
      </right>
      <top/>
      <bottom/>
      <diagonal/>
    </border>
    <border>
      <left/>
      <right/>
      <top/>
      <bottom style="thin">
        <color rgb="FFADADAD"/>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4">
    <xf numFmtId="0" fontId="0" fillId="0" borderId="0"/>
    <xf numFmtId="0" fontId="4" fillId="0" borderId="0"/>
    <xf numFmtId="43" fontId="1" fillId="0" borderId="0" applyFont="0" applyFill="0" applyBorder="0" applyAlignment="0" applyProtection="0"/>
    <xf numFmtId="0" fontId="29" fillId="0" borderId="0" applyNumberFormat="0" applyFill="0" applyBorder="0" applyAlignment="0" applyProtection="0"/>
  </cellStyleXfs>
  <cellXfs count="308">
    <xf numFmtId="0" fontId="0" fillId="0" borderId="0" xfId="0"/>
    <xf numFmtId="0" fontId="3" fillId="0" borderId="0" xfId="0" applyFont="1"/>
    <xf numFmtId="0" fontId="2" fillId="2" borderId="1" xfId="0" applyFont="1" applyFill="1" applyBorder="1" applyAlignment="1">
      <alignment vertical="center"/>
    </xf>
    <xf numFmtId="0" fontId="2" fillId="2" borderId="1" xfId="0" applyFont="1" applyFill="1" applyBorder="1" applyAlignment="1">
      <alignment vertical="center" wrapText="1"/>
    </xf>
    <xf numFmtId="0" fontId="1" fillId="3" borderId="2" xfId="1" applyFont="1" applyFill="1" applyBorder="1" applyAlignment="1">
      <alignment vertical="top" wrapText="1"/>
    </xf>
    <xf numFmtId="0" fontId="0" fillId="0" borderId="0" xfId="0" applyAlignment="1">
      <alignment wrapText="1"/>
    </xf>
    <xf numFmtId="0" fontId="1" fillId="0" borderId="2" xfId="1" applyFont="1" applyBorder="1" applyAlignment="1">
      <alignment vertical="top" wrapText="1"/>
    </xf>
    <xf numFmtId="0" fontId="5" fillId="3" borderId="2" xfId="1" applyFont="1" applyFill="1" applyBorder="1" applyAlignment="1">
      <alignment vertical="top" wrapText="1"/>
    </xf>
    <xf numFmtId="0" fontId="0" fillId="0" borderId="2" xfId="1" applyFont="1" applyBorder="1" applyAlignment="1">
      <alignment vertical="top" wrapText="1"/>
    </xf>
    <xf numFmtId="0" fontId="0" fillId="3" borderId="2" xfId="1" applyFont="1" applyFill="1" applyBorder="1" applyAlignment="1">
      <alignment vertical="top" wrapText="1"/>
    </xf>
    <xf numFmtId="0" fontId="1" fillId="0" borderId="2" xfId="1" applyFont="1" applyBorder="1" applyAlignment="1">
      <alignment horizontal="left" vertical="top" wrapText="1"/>
    </xf>
    <xf numFmtId="0" fontId="5" fillId="3" borderId="3" xfId="1" applyFont="1" applyFill="1" applyBorder="1" applyAlignment="1">
      <alignment vertical="top" wrapText="1"/>
    </xf>
    <xf numFmtId="0" fontId="6" fillId="4" borderId="4" xfId="0" applyFont="1" applyFill="1" applyBorder="1" applyAlignment="1">
      <alignment horizontal="left" vertical="top"/>
    </xf>
    <xf numFmtId="0" fontId="7" fillId="4" borderId="4" xfId="0" applyFont="1" applyFill="1" applyBorder="1" applyAlignment="1">
      <alignment vertical="top"/>
    </xf>
    <xf numFmtId="0" fontId="6" fillId="0" borderId="0" xfId="0" applyFont="1" applyAlignment="1">
      <alignment vertical="top"/>
    </xf>
    <xf numFmtId="14" fontId="6" fillId="5" borderId="4" xfId="0" applyNumberFormat="1" applyFont="1" applyFill="1" applyBorder="1" applyAlignment="1">
      <alignment horizontal="left" vertical="top"/>
    </xf>
    <xf numFmtId="0" fontId="6" fillId="6" borderId="4" xfId="0" applyFont="1" applyFill="1" applyBorder="1" applyAlignment="1">
      <alignment vertical="top" wrapText="1"/>
    </xf>
    <xf numFmtId="0" fontId="9" fillId="5" borderId="4" xfId="0" applyFont="1" applyFill="1" applyBorder="1" applyAlignment="1">
      <alignment vertical="top"/>
    </xf>
    <xf numFmtId="0" fontId="9" fillId="5" borderId="4" xfId="0" applyFont="1" applyFill="1" applyBorder="1" applyAlignment="1">
      <alignment horizontal="center" vertical="top"/>
    </xf>
    <xf numFmtId="0" fontId="9" fillId="5" borderId="4" xfId="0" applyFont="1" applyFill="1" applyBorder="1" applyAlignment="1">
      <alignment horizontal="left" vertical="top" textRotation="90" wrapText="1"/>
    </xf>
    <xf numFmtId="0" fontId="9" fillId="5" borderId="4" xfId="0" applyFont="1" applyFill="1" applyBorder="1" applyAlignment="1">
      <alignment horizontal="left" vertical="top"/>
    </xf>
    <xf numFmtId="0" fontId="10" fillId="5" borderId="4" xfId="0" applyFont="1" applyFill="1" applyBorder="1" applyAlignment="1">
      <alignment horizontal="left" vertical="top"/>
    </xf>
    <xf numFmtId="0" fontId="6" fillId="0" borderId="0" xfId="0" applyFont="1" applyAlignment="1">
      <alignment horizontal="left" vertical="top"/>
    </xf>
    <xf numFmtId="0" fontId="11" fillId="7" borderId="4" xfId="0" applyFont="1" applyFill="1" applyBorder="1" applyAlignment="1">
      <alignment vertical="top"/>
    </xf>
    <xf numFmtId="0" fontId="6" fillId="0" borderId="4" xfId="0" applyFont="1" applyBorder="1" applyAlignment="1">
      <alignment vertical="top"/>
    </xf>
    <xf numFmtId="0" fontId="8" fillId="0" borderId="4" xfId="0" applyFont="1" applyBorder="1" applyAlignment="1">
      <alignment horizontal="left" vertical="top" wrapText="1"/>
    </xf>
    <xf numFmtId="0" fontId="6" fillId="0" borderId="4" xfId="0" applyFont="1" applyBorder="1" applyAlignment="1">
      <alignment horizontal="left" vertical="top" wrapText="1"/>
    </xf>
    <xf numFmtId="0" fontId="6" fillId="0" borderId="4" xfId="0" applyFont="1" applyBorder="1" applyAlignment="1">
      <alignment horizontal="left" vertical="top"/>
    </xf>
    <xf numFmtId="0" fontId="12" fillId="0" borderId="4" xfId="0" applyFont="1" applyBorder="1" applyAlignment="1">
      <alignment horizontal="left" vertical="top" wrapText="1"/>
    </xf>
    <xf numFmtId="0" fontId="6" fillId="8" borderId="4" xfId="0" applyFont="1" applyFill="1" applyBorder="1" applyAlignment="1">
      <alignment horizontal="left" vertical="top"/>
    </xf>
    <xf numFmtId="0" fontId="11" fillId="9" borderId="4" xfId="0" applyFont="1" applyFill="1" applyBorder="1" applyAlignment="1">
      <alignment horizontal="left" vertical="top"/>
    </xf>
    <xf numFmtId="0" fontId="8" fillId="0" borderId="4" xfId="0" applyFont="1" applyBorder="1" applyAlignment="1">
      <alignment horizontal="left" vertical="top"/>
    </xf>
    <xf numFmtId="0" fontId="8" fillId="0" borderId="7" xfId="0" applyFont="1" applyBorder="1" applyAlignment="1">
      <alignment horizontal="left" vertical="top"/>
    </xf>
    <xf numFmtId="0" fontId="10" fillId="3" borderId="7" xfId="0" applyFont="1" applyFill="1" applyBorder="1" applyAlignment="1">
      <alignment horizontal="left" vertical="top"/>
    </xf>
    <xf numFmtId="0" fontId="10" fillId="3" borderId="6" xfId="0" applyFont="1" applyFill="1" applyBorder="1" applyAlignment="1">
      <alignment horizontal="left" vertical="top" wrapText="1"/>
    </xf>
    <xf numFmtId="0" fontId="10" fillId="0" borderId="4" xfId="0" applyFont="1" applyBorder="1" applyAlignment="1">
      <alignment horizontal="left" vertical="top" wrapText="1"/>
    </xf>
    <xf numFmtId="0" fontId="10" fillId="0" borderId="4" xfId="0" applyFont="1" applyBorder="1" applyAlignment="1">
      <alignment horizontal="left" vertical="top"/>
    </xf>
    <xf numFmtId="3" fontId="12" fillId="0" borderId="8" xfId="0" applyNumberFormat="1" applyFont="1" applyBorder="1" applyAlignment="1">
      <alignment horizontal="left" vertical="top" wrapText="1"/>
    </xf>
    <xf numFmtId="3" fontId="14" fillId="0" borderId="4" xfId="0" applyNumberFormat="1" applyFont="1" applyBorder="1" applyAlignment="1">
      <alignment horizontal="left" vertical="top"/>
    </xf>
    <xf numFmtId="0" fontId="14" fillId="0" borderId="0" xfId="0" applyFont="1" applyAlignment="1">
      <alignment vertical="top"/>
    </xf>
    <xf numFmtId="0" fontId="10" fillId="3" borderId="9" xfId="0" applyFont="1" applyFill="1" applyBorder="1" applyAlignment="1">
      <alignment horizontal="left" vertical="top"/>
    </xf>
    <xf numFmtId="0" fontId="6" fillId="11" borderId="6" xfId="0" applyFont="1" applyFill="1" applyBorder="1" applyAlignment="1">
      <alignment horizontal="left" vertical="center" wrapText="1"/>
    </xf>
    <xf numFmtId="0" fontId="14" fillId="0" borderId="4" xfId="0" applyFont="1" applyBorder="1" applyAlignment="1">
      <alignment horizontal="left" vertical="top"/>
    </xf>
    <xf numFmtId="0" fontId="15" fillId="12" borderId="6" xfId="0" applyFont="1" applyFill="1" applyBorder="1" applyAlignment="1">
      <alignment horizontal="left" vertical="center" wrapText="1"/>
    </xf>
    <xf numFmtId="0" fontId="12" fillId="0" borderId="8" xfId="0" applyFont="1" applyBorder="1" applyAlignment="1">
      <alignment horizontal="left" vertical="top" wrapText="1"/>
    </xf>
    <xf numFmtId="0" fontId="6" fillId="0" borderId="6" xfId="0" applyFont="1" applyBorder="1" applyAlignment="1">
      <alignment horizontal="left" vertical="center" wrapText="1"/>
    </xf>
    <xf numFmtId="3" fontId="6" fillId="0" borderId="4" xfId="0" applyNumberFormat="1" applyFont="1" applyBorder="1" applyAlignment="1">
      <alignment horizontal="left" vertical="top" wrapText="1"/>
    </xf>
    <xf numFmtId="0" fontId="16" fillId="0" borderId="6" xfId="0" applyFont="1" applyBorder="1" applyAlignment="1">
      <alignment horizontal="left" vertical="center" wrapText="1"/>
    </xf>
    <xf numFmtId="3" fontId="12" fillId="0" borderId="4" xfId="0" applyNumberFormat="1" applyFont="1" applyBorder="1" applyAlignment="1">
      <alignment horizontal="left" vertical="top" wrapText="1"/>
    </xf>
    <xf numFmtId="0" fontId="10" fillId="3" borderId="10" xfId="0" applyFont="1" applyFill="1" applyBorder="1" applyAlignment="1">
      <alignment horizontal="left" vertical="top"/>
    </xf>
    <xf numFmtId="0" fontId="6" fillId="13" borderId="9" xfId="0" applyFont="1" applyFill="1" applyBorder="1" applyAlignment="1">
      <alignment horizontal="left" vertical="top"/>
    </xf>
    <xf numFmtId="0" fontId="7" fillId="13" borderId="4" xfId="0" applyFont="1" applyFill="1" applyBorder="1" applyAlignment="1">
      <alignment horizontal="left" vertical="top"/>
    </xf>
    <xf numFmtId="0" fontId="6" fillId="13" borderId="4" xfId="0" applyFont="1" applyFill="1" applyBorder="1" applyAlignment="1">
      <alignment horizontal="left" vertical="top"/>
    </xf>
    <xf numFmtId="0" fontId="8" fillId="3" borderId="7" xfId="0" applyFont="1" applyFill="1" applyBorder="1" applyAlignment="1">
      <alignment horizontal="left" vertical="top"/>
    </xf>
    <xf numFmtId="3" fontId="6" fillId="0" borderId="4" xfId="0" applyNumberFormat="1" applyFont="1" applyBorder="1" applyAlignment="1">
      <alignment horizontal="left" vertical="top"/>
    </xf>
    <xf numFmtId="0" fontId="12" fillId="3" borderId="7" xfId="0" applyFont="1" applyFill="1" applyBorder="1" applyAlignment="1">
      <alignment horizontal="left" vertical="top"/>
    </xf>
    <xf numFmtId="0" fontId="6" fillId="13" borderId="10" xfId="0" applyFont="1" applyFill="1" applyBorder="1" applyAlignment="1">
      <alignment horizontal="left" vertical="top"/>
    </xf>
    <xf numFmtId="0" fontId="10" fillId="3" borderId="4" xfId="0" applyFont="1" applyFill="1" applyBorder="1" applyAlignment="1">
      <alignment horizontal="left" vertical="top" wrapText="1"/>
    </xf>
    <xf numFmtId="0" fontId="12" fillId="0" borderId="4" xfId="0" applyFont="1" applyBorder="1" applyAlignment="1">
      <alignment horizontal="left" vertical="top"/>
    </xf>
    <xf numFmtId="0" fontId="11" fillId="8" borderId="4" xfId="0" applyFont="1" applyFill="1" applyBorder="1" applyAlignment="1">
      <alignment horizontal="left" vertical="top"/>
    </xf>
    <xf numFmtId="0" fontId="12" fillId="0" borderId="7" xfId="0" applyFont="1" applyBorder="1" applyAlignment="1">
      <alignment horizontal="left" vertical="top" wrapText="1"/>
    </xf>
    <xf numFmtId="0" fontId="6" fillId="3" borderId="4" xfId="0" applyFont="1" applyFill="1" applyBorder="1" applyAlignment="1">
      <alignment horizontal="left" vertical="top" wrapText="1"/>
    </xf>
    <xf numFmtId="0" fontId="8" fillId="0" borderId="9" xfId="0" applyFont="1" applyBorder="1" applyAlignment="1">
      <alignment horizontal="left" vertical="top" wrapText="1"/>
    </xf>
    <xf numFmtId="0" fontId="12" fillId="3" borderId="7" xfId="0" applyFont="1" applyFill="1" applyBorder="1" applyAlignment="1">
      <alignment horizontal="left" vertical="top" wrapText="1"/>
    </xf>
    <xf numFmtId="0" fontId="10" fillId="0" borderId="6" xfId="0" applyFont="1" applyBorder="1" applyAlignment="1">
      <alignment horizontal="left" vertical="top" wrapText="1"/>
    </xf>
    <xf numFmtId="0" fontId="12" fillId="3" borderId="9" xfId="0" applyFont="1" applyFill="1" applyBorder="1" applyAlignment="1">
      <alignment horizontal="left" vertical="top" wrapText="1"/>
    </xf>
    <xf numFmtId="0" fontId="6" fillId="0" borderId="7" xfId="0" applyFont="1" applyBorder="1" applyAlignment="1">
      <alignment horizontal="left" vertical="top" wrapText="1"/>
    </xf>
    <xf numFmtId="0" fontId="6" fillId="3" borderId="7" xfId="0" applyFont="1" applyFill="1" applyBorder="1" applyAlignment="1">
      <alignment horizontal="left" vertical="top" wrapText="1"/>
    </xf>
    <xf numFmtId="0" fontId="6" fillId="0" borderId="6" xfId="0" applyFont="1" applyBorder="1" applyAlignment="1">
      <alignment horizontal="left" vertical="top" wrapText="1"/>
    </xf>
    <xf numFmtId="0" fontId="6" fillId="3" borderId="9" xfId="0" applyFont="1" applyFill="1" applyBorder="1" applyAlignment="1">
      <alignment horizontal="left" vertical="top" wrapText="1"/>
    </xf>
    <xf numFmtId="0" fontId="6" fillId="3" borderId="10" xfId="0" applyFont="1" applyFill="1" applyBorder="1" applyAlignment="1">
      <alignment horizontal="left" vertical="top" wrapText="1"/>
    </xf>
    <xf numFmtId="0" fontId="6" fillId="0" borderId="9" xfId="0" applyFont="1" applyBorder="1" applyAlignment="1">
      <alignment horizontal="left" vertical="top" wrapText="1"/>
    </xf>
    <xf numFmtId="0" fontId="8" fillId="3" borderId="7" xfId="0" applyFont="1" applyFill="1" applyBorder="1" applyAlignment="1">
      <alignment horizontal="left" vertical="top" wrapText="1"/>
    </xf>
    <xf numFmtId="0" fontId="12" fillId="0" borderId="8" xfId="0" applyFont="1" applyBorder="1" applyAlignment="1">
      <alignment horizontal="left" vertical="top"/>
    </xf>
    <xf numFmtId="0" fontId="8" fillId="3" borderId="9" xfId="0" applyFont="1" applyFill="1" applyBorder="1" applyAlignment="1">
      <alignment horizontal="left" vertical="top" wrapText="1"/>
    </xf>
    <xf numFmtId="0" fontId="8" fillId="3" borderId="10" xfId="0" applyFont="1" applyFill="1" applyBorder="1" applyAlignment="1">
      <alignment horizontal="left" vertical="top" wrapText="1"/>
    </xf>
    <xf numFmtId="0" fontId="6" fillId="0" borderId="10" xfId="0" applyFont="1" applyBorder="1" applyAlignment="1">
      <alignment horizontal="left" vertical="top" wrapText="1"/>
    </xf>
    <xf numFmtId="9" fontId="12" fillId="0" borderId="4" xfId="0" applyNumberFormat="1" applyFont="1" applyBorder="1" applyAlignment="1">
      <alignment horizontal="left" vertical="top" wrapText="1"/>
    </xf>
    <xf numFmtId="0" fontId="17" fillId="0" borderId="0" xfId="0" applyFont="1" applyAlignment="1">
      <alignment wrapText="1"/>
    </xf>
    <xf numFmtId="0" fontId="9" fillId="14" borderId="4" xfId="0" applyFont="1" applyFill="1" applyBorder="1" applyAlignment="1">
      <alignment horizontal="left" vertical="top" textRotation="90" wrapText="1"/>
    </xf>
    <xf numFmtId="0" fontId="6" fillId="14" borderId="4" xfId="0" applyFont="1" applyFill="1" applyBorder="1" applyAlignment="1">
      <alignment horizontal="left" vertical="top" wrapText="1"/>
    </xf>
    <xf numFmtId="0" fontId="12" fillId="14" borderId="8" xfId="0" applyFont="1" applyFill="1" applyBorder="1" applyAlignment="1">
      <alignment horizontal="left" vertical="top" wrapText="1"/>
    </xf>
    <xf numFmtId="0" fontId="9" fillId="15" borderId="1" xfId="0" applyFont="1" applyFill="1" applyBorder="1" applyAlignment="1">
      <alignment horizontal="center"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1" fontId="12" fillId="14" borderId="8" xfId="2" applyNumberFormat="1" applyFont="1" applyFill="1" applyBorder="1" applyAlignment="1">
      <alignment horizontal="left" vertical="top"/>
    </xf>
    <xf numFmtId="3" fontId="12" fillId="14" borderId="8" xfId="0" applyNumberFormat="1" applyFont="1" applyFill="1" applyBorder="1" applyAlignment="1">
      <alignment horizontal="left" vertical="top" wrapText="1"/>
    </xf>
    <xf numFmtId="3" fontId="12" fillId="14" borderId="8" xfId="0" applyNumberFormat="1" applyFont="1" applyFill="1" applyBorder="1" applyAlignment="1">
      <alignment horizontal="left" vertical="top"/>
    </xf>
    <xf numFmtId="0" fontId="12" fillId="14" borderId="8" xfId="0" applyFont="1" applyFill="1" applyBorder="1" applyAlignment="1">
      <alignment horizontal="left" vertical="top"/>
    </xf>
    <xf numFmtId="0" fontId="12" fillId="14" borderId="4" xfId="0" applyFont="1" applyFill="1" applyBorder="1" applyAlignment="1">
      <alignment horizontal="left" vertical="top" wrapText="1"/>
    </xf>
    <xf numFmtId="3" fontId="6" fillId="14" borderId="4" xfId="0" applyNumberFormat="1" applyFont="1" applyFill="1" applyBorder="1" applyAlignment="1">
      <alignment horizontal="left" vertical="top" wrapText="1"/>
    </xf>
    <xf numFmtId="6" fontId="0" fillId="0" borderId="0" xfId="0" applyNumberFormat="1" applyAlignment="1">
      <alignment horizontal="left"/>
    </xf>
    <xf numFmtId="15" fontId="0" fillId="0" borderId="0" xfId="0" applyNumberFormat="1" applyAlignment="1">
      <alignment horizontal="left"/>
    </xf>
    <xf numFmtId="0" fontId="13" fillId="10" borderId="13" xfId="0" applyFont="1" applyFill="1" applyBorder="1" applyAlignment="1">
      <alignment wrapText="1"/>
    </xf>
    <xf numFmtId="0" fontId="1" fillId="3" borderId="3" xfId="1" applyFont="1" applyFill="1" applyBorder="1" applyAlignment="1">
      <alignment vertical="top" wrapText="1"/>
    </xf>
    <xf numFmtId="0" fontId="2" fillId="2" borderId="15" xfId="0" applyFont="1" applyFill="1" applyBorder="1" applyAlignment="1">
      <alignment vertical="center" wrapText="1"/>
    </xf>
    <xf numFmtId="0" fontId="10" fillId="18" borderId="7" xfId="0" applyFont="1" applyFill="1" applyBorder="1" applyAlignment="1">
      <alignment horizontal="left" vertical="top"/>
    </xf>
    <xf numFmtId="0" fontId="10" fillId="18" borderId="6" xfId="0" applyFont="1" applyFill="1" applyBorder="1" applyAlignment="1">
      <alignment horizontal="left" vertical="top" wrapText="1"/>
    </xf>
    <xf numFmtId="0" fontId="10" fillId="18" borderId="4" xfId="0" applyFont="1" applyFill="1" applyBorder="1" applyAlignment="1">
      <alignment horizontal="left" vertical="top" wrapText="1"/>
    </xf>
    <xf numFmtId="0" fontId="10" fillId="18" borderId="4" xfId="0" applyFont="1" applyFill="1" applyBorder="1" applyAlignment="1">
      <alignment horizontal="left" vertical="top"/>
    </xf>
    <xf numFmtId="3" fontId="12" fillId="18" borderId="8" xfId="0" applyNumberFormat="1" applyFont="1" applyFill="1" applyBorder="1" applyAlignment="1">
      <alignment horizontal="left" vertical="top" wrapText="1"/>
    </xf>
    <xf numFmtId="0" fontId="13" fillId="18" borderId="12" xfId="0" applyFont="1" applyFill="1" applyBorder="1" applyAlignment="1">
      <alignment wrapText="1"/>
    </xf>
    <xf numFmtId="0" fontId="12" fillId="18" borderId="8" xfId="0" applyFont="1" applyFill="1" applyBorder="1" applyAlignment="1">
      <alignment horizontal="left" vertical="top" wrapText="1"/>
    </xf>
    <xf numFmtId="0" fontId="24" fillId="0" borderId="0" xfId="0" applyFont="1" applyAlignment="1">
      <alignment vertical="top"/>
    </xf>
    <xf numFmtId="0" fontId="2" fillId="0" borderId="0" xfId="0" applyFont="1"/>
    <xf numFmtId="0" fontId="0" fillId="19" borderId="0" xfId="0" applyFill="1"/>
    <xf numFmtId="0" fontId="21" fillId="0" borderId="0" xfId="0" applyFont="1" applyAlignment="1">
      <alignment wrapText="1"/>
    </xf>
    <xf numFmtId="0" fontId="0" fillId="20" borderId="0" xfId="0" applyFill="1"/>
    <xf numFmtId="0" fontId="0" fillId="21" borderId="0" xfId="0" applyFill="1"/>
    <xf numFmtId="0" fontId="0" fillId="21" borderId="0" xfId="0" applyFill="1" applyAlignment="1">
      <alignment wrapText="1"/>
    </xf>
    <xf numFmtId="0" fontId="23" fillId="0" borderId="0" xfId="0" applyFont="1" applyAlignment="1">
      <alignment wrapText="1"/>
    </xf>
    <xf numFmtId="0" fontId="22" fillId="0" borderId="0" xfId="0" applyFont="1"/>
    <xf numFmtId="0" fontId="23" fillId="21" borderId="0" xfId="0" applyFont="1" applyFill="1" applyAlignment="1">
      <alignment wrapText="1"/>
    </xf>
    <xf numFmtId="0" fontId="0" fillId="0" borderId="2" xfId="0" applyBorder="1" applyAlignment="1">
      <alignment vertical="top" wrapText="1"/>
    </xf>
    <xf numFmtId="0" fontId="0" fillId="0" borderId="1" xfId="0" applyBorder="1" applyAlignment="1">
      <alignment horizontal="right" vertical="top" wrapText="1"/>
    </xf>
    <xf numFmtId="0" fontId="0" fillId="14" borderId="1" xfId="0" applyFill="1" applyBorder="1" applyAlignment="1">
      <alignment horizontal="right" vertical="top" wrapText="1"/>
    </xf>
    <xf numFmtId="0" fontId="19" fillId="0" borderId="1" xfId="0" applyFont="1" applyBorder="1" applyAlignment="1">
      <alignment horizontal="right" vertical="top" wrapText="1"/>
    </xf>
    <xf numFmtId="0" fontId="19" fillId="17" borderId="1" xfId="0" applyFont="1" applyFill="1" applyBorder="1" applyAlignment="1">
      <alignment horizontal="right" vertical="top" wrapText="1"/>
    </xf>
    <xf numFmtId="0" fontId="0" fillId="17" borderId="1" xfId="0" applyFill="1" applyBorder="1" applyAlignment="1">
      <alignment horizontal="right" vertical="top" wrapText="1"/>
    </xf>
    <xf numFmtId="0" fontId="0" fillId="14" borderId="1" xfId="0" applyFill="1" applyBorder="1" applyAlignment="1">
      <alignment vertical="top"/>
    </xf>
    <xf numFmtId="0" fontId="0" fillId="0" borderId="1" xfId="0" applyBorder="1" applyAlignment="1">
      <alignment vertical="top"/>
    </xf>
    <xf numFmtId="3" fontId="0" fillId="0" borderId="1" xfId="0" applyNumberFormat="1" applyBorder="1" applyAlignment="1">
      <alignment vertical="top"/>
    </xf>
    <xf numFmtId="0" fontId="0" fillId="0" borderId="1" xfId="0" applyBorder="1" applyAlignment="1">
      <alignment vertical="top" wrapText="1"/>
    </xf>
    <xf numFmtId="0" fontId="0" fillId="0" borderId="16" xfId="0" applyBorder="1" applyAlignment="1">
      <alignment vertical="top" wrapText="1"/>
    </xf>
    <xf numFmtId="0" fontId="0" fillId="0" borderId="0" xfId="0" applyAlignment="1">
      <alignment vertical="top" wrapText="1"/>
    </xf>
    <xf numFmtId="0" fontId="19" fillId="14" borderId="1" xfId="0" applyFont="1" applyFill="1" applyBorder="1" applyAlignment="1">
      <alignment vertical="top"/>
    </xf>
    <xf numFmtId="0" fontId="23" fillId="0" borderId="1" xfId="0" applyFont="1" applyBorder="1" applyAlignment="1">
      <alignment horizontal="right" vertical="top" wrapText="1"/>
    </xf>
    <xf numFmtId="0" fontId="19" fillId="0" borderId="1" xfId="0" applyFont="1" applyBorder="1" applyAlignment="1">
      <alignment vertical="top"/>
    </xf>
    <xf numFmtId="0" fontId="0" fillId="16" borderId="1" xfId="0" applyFill="1" applyBorder="1" applyAlignment="1">
      <alignment horizontal="right" vertical="top" wrapText="1"/>
    </xf>
    <xf numFmtId="0" fontId="2" fillId="14" borderId="1" xfId="0" applyFont="1" applyFill="1" applyBorder="1" applyAlignment="1">
      <alignment horizontal="right" vertical="top" wrapText="1"/>
    </xf>
    <xf numFmtId="0" fontId="2" fillId="14" borderId="1" xfId="0" applyFont="1" applyFill="1" applyBorder="1" applyAlignment="1">
      <alignment vertical="top"/>
    </xf>
    <xf numFmtId="0" fontId="21" fillId="0" borderId="1" xfId="0" applyFont="1" applyBorder="1" applyAlignment="1">
      <alignment vertical="top" wrapText="1"/>
    </xf>
    <xf numFmtId="0" fontId="0" fillId="0" borderId="14" xfId="0" applyBorder="1" applyAlignment="1">
      <alignment vertical="top" wrapText="1"/>
    </xf>
    <xf numFmtId="0" fontId="20" fillId="0" borderId="1" xfId="0" applyFont="1" applyBorder="1" applyAlignment="1">
      <alignment vertical="top" wrapText="1"/>
    </xf>
    <xf numFmtId="0" fontId="23" fillId="0" borderId="1" xfId="0" applyFont="1" applyBorder="1" applyAlignment="1">
      <alignment vertical="top" wrapText="1"/>
    </xf>
    <xf numFmtId="0" fontId="19" fillId="0" borderId="1" xfId="0" applyFont="1" applyBorder="1" applyAlignment="1">
      <alignment vertical="top" wrapText="1"/>
    </xf>
    <xf numFmtId="0" fontId="26" fillId="0" borderId="1" xfId="0" applyFont="1" applyBorder="1" applyAlignment="1">
      <alignment horizontal="right" vertical="top" wrapText="1"/>
    </xf>
    <xf numFmtId="0" fontId="26" fillId="17" borderId="1" xfId="0" applyFont="1" applyFill="1" applyBorder="1" applyAlignment="1">
      <alignment horizontal="right" vertical="top" wrapText="1"/>
    </xf>
    <xf numFmtId="0" fontId="27" fillId="17" borderId="1" xfId="0" applyFont="1" applyFill="1" applyBorder="1" applyAlignment="1">
      <alignment horizontal="right" vertical="top" wrapText="1"/>
    </xf>
    <xf numFmtId="0" fontId="26" fillId="0" borderId="1" xfId="0" applyFont="1" applyBorder="1" applyAlignment="1">
      <alignment vertical="top" wrapText="1"/>
    </xf>
    <xf numFmtId="0" fontId="22" fillId="17" borderId="1" xfId="0" applyFont="1" applyFill="1" applyBorder="1" applyAlignment="1">
      <alignment horizontal="right" vertical="top" wrapText="1"/>
    </xf>
    <xf numFmtId="0" fontId="0" fillId="0" borderId="2" xfId="0" applyBorder="1" applyAlignment="1">
      <alignment wrapText="1"/>
    </xf>
    <xf numFmtId="0" fontId="0" fillId="14" borderId="0" xfId="0" applyFill="1"/>
    <xf numFmtId="0" fontId="21" fillId="24" borderId="19" xfId="0" applyFont="1" applyFill="1" applyBorder="1" applyAlignment="1">
      <alignment wrapText="1" readingOrder="1"/>
    </xf>
    <xf numFmtId="0" fontId="21" fillId="24" borderId="20" xfId="0" applyFont="1" applyFill="1" applyBorder="1" applyAlignment="1">
      <alignment wrapText="1" readingOrder="1"/>
    </xf>
    <xf numFmtId="0" fontId="25" fillId="25" borderId="21" xfId="0" applyFont="1" applyFill="1" applyBorder="1" applyAlignment="1">
      <alignment wrapText="1" readingOrder="1"/>
    </xf>
    <xf numFmtId="0" fontId="25" fillId="25" borderId="22" xfId="0" applyFont="1" applyFill="1" applyBorder="1" applyAlignment="1">
      <alignment wrapText="1" readingOrder="1"/>
    </xf>
    <xf numFmtId="0" fontId="25" fillId="25" borderId="20" xfId="0" applyFont="1" applyFill="1" applyBorder="1" applyAlignment="1">
      <alignment wrapText="1" readingOrder="1"/>
    </xf>
    <xf numFmtId="0" fontId="21" fillId="24" borderId="23" xfId="0" applyFont="1" applyFill="1" applyBorder="1" applyAlignment="1">
      <alignment wrapText="1" readingOrder="1"/>
    </xf>
    <xf numFmtId="0" fontId="21" fillId="24" borderId="24" xfId="0" applyFont="1" applyFill="1" applyBorder="1" applyAlignment="1">
      <alignment wrapText="1" readingOrder="1"/>
    </xf>
    <xf numFmtId="0" fontId="30" fillId="24" borderId="24" xfId="0" applyFont="1" applyFill="1" applyBorder="1" applyAlignment="1">
      <alignment wrapText="1" readingOrder="1"/>
    </xf>
    <xf numFmtId="0" fontId="21" fillId="25" borderId="25" xfId="0" applyFont="1" applyFill="1" applyBorder="1" applyAlignment="1">
      <alignment wrapText="1" readingOrder="1"/>
    </xf>
    <xf numFmtId="0" fontId="21" fillId="25" borderId="26" xfId="0" applyFont="1" applyFill="1" applyBorder="1" applyAlignment="1">
      <alignment wrapText="1" readingOrder="1"/>
    </xf>
    <xf numFmtId="0" fontId="30" fillId="25" borderId="26" xfId="0" applyFont="1" applyFill="1" applyBorder="1" applyAlignment="1">
      <alignment wrapText="1" readingOrder="1"/>
    </xf>
    <xf numFmtId="0" fontId="25" fillId="24" borderId="27" xfId="0" applyFont="1" applyFill="1" applyBorder="1" applyAlignment="1">
      <alignment wrapText="1" readingOrder="1"/>
    </xf>
    <xf numFmtId="0" fontId="25" fillId="24" borderId="28" xfId="0" applyFont="1" applyFill="1" applyBorder="1" applyAlignment="1">
      <alignment wrapText="1" readingOrder="1"/>
    </xf>
    <xf numFmtId="0" fontId="25" fillId="24" borderId="29" xfId="0" applyFont="1" applyFill="1" applyBorder="1" applyAlignment="1">
      <alignment wrapText="1" readingOrder="1"/>
    </xf>
    <xf numFmtId="0" fontId="21" fillId="25" borderId="19" xfId="0" applyFont="1" applyFill="1" applyBorder="1" applyAlignment="1">
      <alignment wrapText="1" readingOrder="1"/>
    </xf>
    <xf numFmtId="0" fontId="21" fillId="25" borderId="20" xfId="0" applyFont="1" applyFill="1" applyBorder="1" applyAlignment="1">
      <alignment wrapText="1" readingOrder="1"/>
    </xf>
    <xf numFmtId="0" fontId="30" fillId="25" borderId="20" xfId="0" applyFont="1" applyFill="1" applyBorder="1" applyAlignment="1">
      <alignment wrapText="1" readingOrder="1"/>
    </xf>
    <xf numFmtId="0" fontId="25" fillId="24" borderId="30" xfId="0" applyFont="1" applyFill="1" applyBorder="1" applyAlignment="1">
      <alignment wrapText="1" readingOrder="1"/>
    </xf>
    <xf numFmtId="0" fontId="25" fillId="24" borderId="31" xfId="0" applyFont="1" applyFill="1" applyBorder="1" applyAlignment="1">
      <alignment wrapText="1" readingOrder="1"/>
    </xf>
    <xf numFmtId="0" fontId="25" fillId="24" borderId="32" xfId="0" applyFont="1" applyFill="1" applyBorder="1" applyAlignment="1">
      <alignment wrapText="1" readingOrder="1"/>
    </xf>
    <xf numFmtId="0" fontId="22" fillId="25" borderId="20" xfId="0" applyFont="1" applyFill="1" applyBorder="1" applyAlignment="1">
      <alignment wrapText="1" readingOrder="1"/>
    </xf>
    <xf numFmtId="0" fontId="30" fillId="24" borderId="20" xfId="0" applyFont="1" applyFill="1" applyBorder="1" applyAlignment="1">
      <alignment wrapText="1" readingOrder="1"/>
    </xf>
    <xf numFmtId="0" fontId="31" fillId="24" borderId="20" xfId="3" applyFont="1" applyFill="1" applyBorder="1" applyAlignment="1">
      <alignment wrapText="1" readingOrder="1"/>
    </xf>
    <xf numFmtId="0" fontId="25" fillId="24" borderId="21" xfId="0" applyFont="1" applyFill="1" applyBorder="1" applyAlignment="1">
      <alignment wrapText="1" readingOrder="1"/>
    </xf>
    <xf numFmtId="0" fontId="25" fillId="24" borderId="22" xfId="0" applyFont="1" applyFill="1" applyBorder="1" applyAlignment="1">
      <alignment wrapText="1" readingOrder="1"/>
    </xf>
    <xf numFmtId="0" fontId="25" fillId="24" borderId="20" xfId="0" applyFont="1" applyFill="1" applyBorder="1" applyAlignment="1">
      <alignment wrapText="1" readingOrder="1"/>
    </xf>
    <xf numFmtId="0" fontId="32" fillId="23" borderId="17" xfId="0" applyFont="1" applyFill="1" applyBorder="1" applyAlignment="1">
      <alignment wrapText="1" readingOrder="1"/>
    </xf>
    <xf numFmtId="0" fontId="32" fillId="23" borderId="18" xfId="0" applyFont="1" applyFill="1" applyBorder="1" applyAlignment="1">
      <alignment wrapText="1" readingOrder="1"/>
    </xf>
    <xf numFmtId="0" fontId="30" fillId="24" borderId="20" xfId="0" applyFont="1" applyFill="1" applyBorder="1" applyAlignment="1">
      <alignment wrapText="1"/>
    </xf>
    <xf numFmtId="0" fontId="21" fillId="14" borderId="0" xfId="0" applyFont="1" applyFill="1" applyAlignment="1">
      <alignment wrapText="1"/>
    </xf>
    <xf numFmtId="0" fontId="25" fillId="14" borderId="0" xfId="0" applyFont="1" applyFill="1" applyAlignment="1">
      <alignment wrapText="1"/>
    </xf>
    <xf numFmtId="0" fontId="0" fillId="14" borderId="0" xfId="0" applyFill="1" applyAlignment="1">
      <alignment wrapText="1"/>
    </xf>
    <xf numFmtId="0" fontId="19" fillId="0" borderId="0" xfId="0" applyFont="1"/>
    <xf numFmtId="0" fontId="19" fillId="0" borderId="0" xfId="0" applyFont="1" applyAlignment="1">
      <alignment wrapText="1"/>
    </xf>
    <xf numFmtId="0" fontId="0" fillId="19" borderId="1" xfId="0" applyFill="1" applyBorder="1" applyAlignment="1">
      <alignment vertical="top" wrapText="1"/>
    </xf>
    <xf numFmtId="0" fontId="0" fillId="19" borderId="2" xfId="0" applyFill="1" applyBorder="1" applyAlignment="1">
      <alignment vertical="top" wrapText="1"/>
    </xf>
    <xf numFmtId="0" fontId="33" fillId="26" borderId="0" xfId="0" applyFont="1" applyFill="1"/>
    <xf numFmtId="0" fontId="34" fillId="26" borderId="0" xfId="0" applyFont="1" applyFill="1"/>
    <xf numFmtId="0" fontId="33" fillId="26" borderId="0" xfId="0" applyFont="1" applyFill="1" applyAlignment="1">
      <alignment wrapText="1"/>
    </xf>
    <xf numFmtId="0" fontId="33" fillId="0" borderId="39" xfId="0" applyFont="1" applyBorder="1" applyAlignment="1">
      <alignment wrapText="1"/>
    </xf>
    <xf numFmtId="0" fontId="33" fillId="26" borderId="39" xfId="0" applyFont="1" applyFill="1" applyBorder="1" applyAlignment="1">
      <alignment wrapText="1"/>
    </xf>
    <xf numFmtId="0" fontId="33" fillId="27" borderId="35" xfId="0" applyFont="1" applyFill="1" applyBorder="1"/>
    <xf numFmtId="0" fontId="33" fillId="27" borderId="39" xfId="0" applyFont="1" applyFill="1" applyBorder="1" applyAlignment="1">
      <alignment wrapText="1"/>
    </xf>
    <xf numFmtId="0" fontId="33" fillId="27" borderId="39" xfId="0" applyFont="1" applyFill="1" applyBorder="1"/>
    <xf numFmtId="3" fontId="33" fillId="27" borderId="39" xfId="0" applyNumberFormat="1" applyFont="1" applyFill="1" applyBorder="1"/>
    <xf numFmtId="4" fontId="33" fillId="27" borderId="39" xfId="0" applyNumberFormat="1" applyFont="1" applyFill="1" applyBorder="1"/>
    <xf numFmtId="4" fontId="33" fillId="26" borderId="0" xfId="0" applyNumberFormat="1" applyFont="1" applyFill="1"/>
    <xf numFmtId="0" fontId="33" fillId="26" borderId="36" xfId="0" applyFont="1" applyFill="1" applyBorder="1"/>
    <xf numFmtId="0" fontId="33" fillId="26" borderId="40" xfId="0" applyFont="1" applyFill="1" applyBorder="1"/>
    <xf numFmtId="0" fontId="33" fillId="0" borderId="35" xfId="0" applyFont="1" applyBorder="1"/>
    <xf numFmtId="0" fontId="33" fillId="0" borderId="39" xfId="0" applyFont="1" applyBorder="1"/>
    <xf numFmtId="0" fontId="33" fillId="0" borderId="41" xfId="0" applyFont="1" applyBorder="1"/>
    <xf numFmtId="0" fontId="33" fillId="27" borderId="41" xfId="0" applyFont="1" applyFill="1" applyBorder="1"/>
    <xf numFmtId="0" fontId="33" fillId="0" borderId="41" xfId="0" applyFont="1" applyBorder="1" applyAlignment="1">
      <alignment wrapText="1"/>
    </xf>
    <xf numFmtId="3" fontId="33" fillId="0" borderId="39" xfId="0" applyNumberFormat="1" applyFont="1" applyBorder="1"/>
    <xf numFmtId="4" fontId="33" fillId="0" borderId="39" xfId="0" applyNumberFormat="1" applyFont="1" applyBorder="1"/>
    <xf numFmtId="4" fontId="33" fillId="26" borderId="33" xfId="0" applyNumberFormat="1" applyFont="1" applyFill="1" applyBorder="1"/>
    <xf numFmtId="4" fontId="33" fillId="26" borderId="37" xfId="0" applyNumberFormat="1" applyFont="1" applyFill="1" applyBorder="1"/>
    <xf numFmtId="0" fontId="0" fillId="28" borderId="0" xfId="0" applyFill="1"/>
    <xf numFmtId="0" fontId="2" fillId="2" borderId="2" xfId="0" applyFont="1" applyFill="1" applyBorder="1" applyAlignment="1">
      <alignment vertical="center" wrapText="1"/>
    </xf>
    <xf numFmtId="0" fontId="12" fillId="0" borderId="0" xfId="0" applyFont="1" applyAlignment="1">
      <alignment horizontal="left" vertical="top" wrapText="1"/>
    </xf>
    <xf numFmtId="0" fontId="6" fillId="0" borderId="0" xfId="0" applyFont="1" applyAlignment="1">
      <alignment horizontal="left" vertical="top" wrapText="1"/>
    </xf>
    <xf numFmtId="0" fontId="9" fillId="0" borderId="4" xfId="0" applyFont="1" applyBorder="1" applyAlignment="1">
      <alignment horizontal="left" vertical="top" textRotation="90" wrapText="1"/>
    </xf>
    <xf numFmtId="0" fontId="23" fillId="14" borderId="0" xfId="0" applyFont="1" applyFill="1" applyAlignment="1">
      <alignment wrapText="1"/>
    </xf>
    <xf numFmtId="0" fontId="19" fillId="0" borderId="2" xfId="0" applyFont="1" applyBorder="1" applyAlignment="1">
      <alignment wrapText="1"/>
    </xf>
    <xf numFmtId="0" fontId="23" fillId="0" borderId="2" xfId="0" applyFont="1" applyBorder="1" applyAlignment="1">
      <alignment wrapText="1"/>
    </xf>
    <xf numFmtId="0" fontId="22" fillId="0" borderId="2" xfId="0" applyFont="1" applyBorder="1" applyAlignment="1">
      <alignment wrapText="1"/>
    </xf>
    <xf numFmtId="0" fontId="2" fillId="2" borderId="14" xfId="0" applyFont="1" applyFill="1" applyBorder="1" applyAlignment="1">
      <alignment vertical="center" wrapText="1"/>
    </xf>
    <xf numFmtId="0" fontId="0" fillId="0" borderId="42" xfId="0" applyBorder="1" applyAlignment="1">
      <alignment vertical="top" wrapText="1"/>
    </xf>
    <xf numFmtId="0" fontId="0" fillId="0" borderId="43" xfId="0" applyBorder="1" applyAlignment="1">
      <alignment vertical="top" wrapText="1"/>
    </xf>
    <xf numFmtId="0" fontId="0" fillId="0" borderId="44" xfId="0" applyBorder="1" applyAlignment="1">
      <alignment vertical="top" wrapText="1"/>
    </xf>
    <xf numFmtId="0" fontId="19" fillId="0" borderId="14" xfId="0" applyFont="1" applyBorder="1" applyAlignment="1">
      <alignment vertical="top" wrapText="1"/>
    </xf>
    <xf numFmtId="0" fontId="0" fillId="22" borderId="11" xfId="0" applyFill="1" applyBorder="1" applyAlignment="1">
      <alignment horizontal="center" wrapText="1"/>
    </xf>
    <xf numFmtId="0" fontId="0" fillId="16" borderId="11" xfId="0" applyFill="1" applyBorder="1" applyAlignment="1">
      <alignment horizontal="center" wrapText="1"/>
    </xf>
    <xf numFmtId="0" fontId="27" fillId="0" borderId="0" xfId="0" applyFont="1" applyAlignment="1">
      <alignment wrapText="1"/>
    </xf>
    <xf numFmtId="0" fontId="0" fillId="14" borderId="2" xfId="0" applyFill="1" applyBorder="1" applyAlignment="1">
      <alignment vertical="top"/>
    </xf>
    <xf numFmtId="0" fontId="0" fillId="0" borderId="2" xfId="0" applyBorder="1"/>
    <xf numFmtId="0" fontId="27" fillId="0" borderId="43" xfId="0" applyFont="1" applyBorder="1" applyAlignment="1">
      <alignment wrapText="1"/>
    </xf>
    <xf numFmtId="3" fontId="0" fillId="0" borderId="2" xfId="0" applyNumberFormat="1" applyBorder="1"/>
    <xf numFmtId="0" fontId="19" fillId="2" borderId="43" xfId="0" applyFont="1" applyFill="1" applyBorder="1" applyAlignment="1">
      <alignment vertical="center" wrapText="1"/>
    </xf>
    <xf numFmtId="0" fontId="0" fillId="0" borderId="45" xfId="0" applyBorder="1"/>
    <xf numFmtId="3" fontId="0" fillId="0" borderId="46" xfId="0" applyNumberFormat="1" applyBorder="1"/>
    <xf numFmtId="3" fontId="0" fillId="0" borderId="2" xfId="0" applyNumberFormat="1" applyBorder="1" applyAlignment="1">
      <alignment horizontal="right" vertical="top"/>
    </xf>
    <xf numFmtId="0" fontId="2" fillId="19" borderId="2" xfId="0" applyFont="1" applyFill="1" applyBorder="1" applyAlignment="1">
      <alignment vertical="top" wrapText="1"/>
    </xf>
    <xf numFmtId="0" fontId="2" fillId="0" borderId="1" xfId="0" applyFont="1" applyBorder="1" applyAlignment="1">
      <alignment vertical="top" wrapText="1"/>
    </xf>
    <xf numFmtId="0" fontId="25" fillId="12" borderId="2" xfId="0" applyFont="1" applyFill="1" applyBorder="1" applyAlignment="1">
      <alignment wrapText="1"/>
    </xf>
    <xf numFmtId="0" fontId="40" fillId="12" borderId="2" xfId="0" applyFont="1" applyFill="1" applyBorder="1" applyAlignment="1">
      <alignment wrapText="1"/>
    </xf>
    <xf numFmtId="0" fontId="41" fillId="12" borderId="0" xfId="0" applyFont="1" applyFill="1" applyAlignment="1">
      <alignment wrapText="1"/>
    </xf>
    <xf numFmtId="0" fontId="43" fillId="0" borderId="2" xfId="0" applyFont="1" applyBorder="1" applyAlignment="1">
      <alignment readingOrder="1"/>
    </xf>
    <xf numFmtId="0" fontId="42" fillId="5" borderId="2" xfId="0" applyFont="1" applyFill="1" applyBorder="1" applyAlignment="1">
      <alignment readingOrder="1"/>
    </xf>
    <xf numFmtId="0" fontId="43" fillId="0" borderId="2" xfId="0" applyFont="1" applyBorder="1" applyAlignment="1">
      <alignment vertical="center" readingOrder="1"/>
    </xf>
    <xf numFmtId="0" fontId="43" fillId="0" borderId="2" xfId="0" applyFont="1" applyBorder="1" applyAlignment="1">
      <alignment horizontal="left" vertical="center" readingOrder="1"/>
    </xf>
    <xf numFmtId="0" fontId="44" fillId="29" borderId="1" xfId="0" applyFont="1" applyFill="1" applyBorder="1" applyAlignment="1">
      <alignment wrapText="1"/>
    </xf>
    <xf numFmtId="0" fontId="44" fillId="30" borderId="1" xfId="0" applyFont="1" applyFill="1" applyBorder="1"/>
    <xf numFmtId="0" fontId="45" fillId="30" borderId="1" xfId="0" applyFont="1" applyFill="1" applyBorder="1"/>
    <xf numFmtId="0" fontId="46" fillId="30" borderId="1" xfId="0" applyFont="1" applyFill="1" applyBorder="1"/>
    <xf numFmtId="9" fontId="45" fillId="30" borderId="1" xfId="0" applyNumberFormat="1" applyFont="1" applyFill="1" applyBorder="1"/>
    <xf numFmtId="0" fontId="44" fillId="31" borderId="1" xfId="0" applyFont="1" applyFill="1" applyBorder="1"/>
    <xf numFmtId="0" fontId="45" fillId="31" borderId="1" xfId="0" applyFont="1" applyFill="1" applyBorder="1"/>
    <xf numFmtId="0" fontId="46" fillId="31" borderId="1" xfId="0" applyFont="1" applyFill="1" applyBorder="1"/>
    <xf numFmtId="9" fontId="45" fillId="31" borderId="1" xfId="0" applyNumberFormat="1" applyFont="1" applyFill="1" applyBorder="1"/>
    <xf numFmtId="0" fontId="44" fillId="32" borderId="15" xfId="0" applyFont="1" applyFill="1" applyBorder="1"/>
    <xf numFmtId="0" fontId="45" fillId="32" borderId="15" xfId="0" applyFont="1" applyFill="1" applyBorder="1"/>
    <xf numFmtId="0" fontId="46" fillId="32" borderId="15" xfId="0" applyFont="1" applyFill="1" applyBorder="1"/>
    <xf numFmtId="9" fontId="45" fillId="32" borderId="15" xfId="0" applyNumberFormat="1" applyFont="1" applyFill="1" applyBorder="1"/>
    <xf numFmtId="0" fontId="0" fillId="32" borderId="16" xfId="0" applyFill="1" applyBorder="1"/>
    <xf numFmtId="0" fontId="44" fillId="30" borderId="2" xfId="0" applyFont="1" applyFill="1" applyBorder="1"/>
    <xf numFmtId="0" fontId="47" fillId="30" borderId="49" xfId="0" applyFont="1" applyFill="1" applyBorder="1" applyAlignment="1">
      <alignment wrapText="1"/>
    </xf>
    <xf numFmtId="0" fontId="44" fillId="31" borderId="49" xfId="0" applyFont="1" applyFill="1" applyBorder="1" applyAlignment="1">
      <alignment wrapText="1"/>
    </xf>
    <xf numFmtId="0" fontId="44" fillId="32" borderId="50" xfId="0" applyFont="1" applyFill="1" applyBorder="1" applyAlignment="1">
      <alignment wrapText="1"/>
    </xf>
    <xf numFmtId="0" fontId="45" fillId="32" borderId="51" xfId="0" applyFont="1" applyFill="1" applyBorder="1" applyAlignment="1">
      <alignment wrapText="1"/>
    </xf>
    <xf numFmtId="0" fontId="44" fillId="29" borderId="15" xfId="0" applyFont="1" applyFill="1" applyBorder="1" applyAlignment="1">
      <alignment wrapText="1"/>
    </xf>
    <xf numFmtId="9" fontId="0" fillId="0" borderId="2" xfId="0" applyNumberFormat="1" applyBorder="1"/>
    <xf numFmtId="0" fontId="49" fillId="0" borderId="2" xfId="0" applyFont="1" applyBorder="1"/>
    <xf numFmtId="0" fontId="0" fillId="20" borderId="2" xfId="0" applyFill="1" applyBorder="1"/>
    <xf numFmtId="0" fontId="47" fillId="32" borderId="50" xfId="0" applyFont="1" applyFill="1" applyBorder="1" applyAlignment="1">
      <alignment wrapText="1"/>
    </xf>
    <xf numFmtId="0" fontId="0" fillId="0" borderId="2" xfId="0" applyBorder="1" applyAlignment="1">
      <alignment vertical="top"/>
    </xf>
    <xf numFmtId="0" fontId="0" fillId="17" borderId="11" xfId="0" applyFill="1" applyBorder="1" applyAlignment="1">
      <alignment horizontal="center" wrapText="1"/>
    </xf>
    <xf numFmtId="0" fontId="0" fillId="0" borderId="1" xfId="0" applyBorder="1" applyAlignment="1">
      <alignment horizontal="center" vertical="center" wrapText="1"/>
    </xf>
    <xf numFmtId="0" fontId="0" fillId="0" borderId="14" xfId="0" applyBorder="1" applyAlignment="1">
      <alignment horizontal="center" vertical="center" wrapText="1"/>
    </xf>
    <xf numFmtId="0" fontId="0" fillId="22" borderId="11" xfId="0" applyFill="1" applyBorder="1" applyAlignment="1">
      <alignment horizontal="center" wrapText="1"/>
    </xf>
    <xf numFmtId="0" fontId="0" fillId="16" borderId="11" xfId="0" applyFill="1" applyBorder="1" applyAlignment="1">
      <alignment horizontal="center" wrapText="1"/>
    </xf>
    <xf numFmtId="0" fontId="33" fillId="0" borderId="34" xfId="0" applyFont="1" applyBorder="1" applyAlignment="1">
      <alignment wrapText="1"/>
    </xf>
    <xf numFmtId="0" fontId="33" fillId="0" borderId="35" xfId="0" applyFont="1" applyBorder="1" applyAlignment="1">
      <alignment wrapText="1"/>
    </xf>
    <xf numFmtId="0" fontId="33" fillId="26" borderId="38" xfId="0" applyFont="1" applyFill="1" applyBorder="1" applyAlignment="1">
      <alignment wrapText="1"/>
    </xf>
    <xf numFmtId="0" fontId="33" fillId="26" borderId="37" xfId="0" applyFont="1" applyFill="1" applyBorder="1" applyAlignment="1">
      <alignment wrapText="1"/>
    </xf>
    <xf numFmtId="0" fontId="33" fillId="0" borderId="38" xfId="0" applyFont="1" applyBorder="1" applyAlignment="1">
      <alignment wrapText="1"/>
    </xf>
    <xf numFmtId="0" fontId="33" fillId="0" borderId="37" xfId="0" applyFont="1" applyBorder="1" applyAlignment="1">
      <alignment wrapText="1"/>
    </xf>
    <xf numFmtId="0" fontId="6" fillId="0" borderId="1" xfId="0" applyFont="1" applyBorder="1" applyAlignment="1">
      <alignment horizontal="left" vertical="top"/>
    </xf>
    <xf numFmtId="0" fontId="7" fillId="4" borderId="5" xfId="0" applyFont="1" applyFill="1" applyBorder="1" applyAlignment="1">
      <alignment horizontal="center" vertical="top" wrapText="1"/>
    </xf>
    <xf numFmtId="0" fontId="7" fillId="4" borderId="6" xfId="0" applyFont="1" applyFill="1" applyBorder="1" applyAlignment="1">
      <alignment horizontal="center" vertical="top" wrapText="1"/>
    </xf>
    <xf numFmtId="0" fontId="8" fillId="6" borderId="5" xfId="0" applyFont="1" applyFill="1" applyBorder="1" applyAlignment="1">
      <alignment horizontal="center" vertical="top" wrapText="1"/>
    </xf>
    <xf numFmtId="0" fontId="8" fillId="6" borderId="6" xfId="0" applyFont="1" applyFill="1" applyBorder="1" applyAlignment="1">
      <alignment horizontal="center" vertical="top" wrapText="1"/>
    </xf>
    <xf numFmtId="0" fontId="9" fillId="5" borderId="4" xfId="0" applyFont="1" applyFill="1" applyBorder="1" applyAlignment="1">
      <alignment horizontal="center" vertical="top"/>
    </xf>
    <xf numFmtId="0" fontId="0" fillId="15" borderId="0" xfId="0" applyFill="1" applyAlignment="1">
      <alignment horizontal="center"/>
    </xf>
    <xf numFmtId="0" fontId="0" fillId="16" borderId="0" xfId="0" applyFill="1" applyAlignment="1">
      <alignment horizontal="center"/>
    </xf>
    <xf numFmtId="0" fontId="45" fillId="32" borderId="15" xfId="0" applyFont="1" applyFill="1" applyBorder="1" applyAlignment="1">
      <alignment wrapText="1"/>
    </xf>
    <xf numFmtId="0" fontId="45" fillId="30" borderId="15" xfId="0" applyFont="1" applyFill="1" applyBorder="1" applyAlignment="1">
      <alignment wrapText="1"/>
    </xf>
    <xf numFmtId="0" fontId="45" fillId="31" borderId="15" xfId="0" applyFont="1" applyFill="1" applyBorder="1" applyAlignment="1">
      <alignment wrapText="1"/>
    </xf>
    <xf numFmtId="0" fontId="44" fillId="30" borderId="42" xfId="0" applyFont="1" applyFill="1" applyBorder="1" applyAlignment="1"/>
    <xf numFmtId="0" fontId="46" fillId="30" borderId="15" xfId="0" applyFont="1" applyFill="1" applyBorder="1" applyAlignment="1"/>
    <xf numFmtId="0" fontId="44" fillId="30" borderId="48" xfId="0" applyFont="1" applyFill="1" applyBorder="1" applyAlignment="1"/>
    <xf numFmtId="0" fontId="45" fillId="30" borderId="47" xfId="0" applyFont="1" applyFill="1" applyBorder="1" applyAlignment="1"/>
    <xf numFmtId="0" fontId="46" fillId="30" borderId="47" xfId="0" applyFont="1" applyFill="1" applyBorder="1" applyAlignment="1"/>
    <xf numFmtId="0" fontId="44" fillId="30" borderId="44" xfId="0" applyFont="1" applyFill="1" applyBorder="1" applyAlignment="1"/>
    <xf numFmtId="0" fontId="45" fillId="30" borderId="16" xfId="0" applyFont="1" applyFill="1" applyBorder="1" applyAlignment="1"/>
    <xf numFmtId="0" fontId="46" fillId="30" borderId="16" xfId="0" applyFont="1" applyFill="1" applyBorder="1" applyAlignment="1"/>
    <xf numFmtId="0" fontId="44" fillId="31" borderId="42" xfId="0" applyFont="1" applyFill="1" applyBorder="1" applyAlignment="1"/>
    <xf numFmtId="0" fontId="46" fillId="31" borderId="15" xfId="0" applyFont="1" applyFill="1" applyBorder="1" applyAlignment="1"/>
    <xf numFmtId="0" fontId="44" fillId="31" borderId="48" xfId="0" applyFont="1" applyFill="1" applyBorder="1" applyAlignment="1"/>
    <xf numFmtId="0" fontId="45" fillId="31" borderId="47" xfId="0" applyFont="1" applyFill="1" applyBorder="1" applyAlignment="1"/>
    <xf numFmtId="0" fontId="46" fillId="31" borderId="47" xfId="0" applyFont="1" applyFill="1" applyBorder="1" applyAlignment="1"/>
    <xf numFmtId="0" fontId="44" fillId="31" borderId="44" xfId="0" applyFont="1" applyFill="1" applyBorder="1" applyAlignment="1"/>
    <xf numFmtId="0" fontId="45" fillId="31" borderId="16" xfId="0" applyFont="1" applyFill="1" applyBorder="1" applyAlignment="1"/>
    <xf numFmtId="0" fontId="46" fillId="31" borderId="16" xfId="0" applyFont="1" applyFill="1" applyBorder="1" applyAlignment="1"/>
    <xf numFmtId="0" fontId="44" fillId="32" borderId="42" xfId="0" applyFont="1" applyFill="1" applyBorder="1" applyAlignment="1"/>
    <xf numFmtId="0" fontId="46" fillId="32" borderId="15" xfId="0" applyFont="1" applyFill="1" applyBorder="1" applyAlignment="1"/>
    <xf numFmtId="0" fontId="44" fillId="32" borderId="48" xfId="0" applyFont="1" applyFill="1" applyBorder="1" applyAlignment="1"/>
    <xf numFmtId="0" fontId="45" fillId="32" borderId="47" xfId="0" applyFont="1" applyFill="1" applyBorder="1" applyAlignment="1"/>
    <xf numFmtId="0" fontId="46" fillId="32" borderId="47" xfId="0" applyFont="1" applyFill="1" applyBorder="1" applyAlignment="1"/>
    <xf numFmtId="0" fontId="44" fillId="32" borderId="44" xfId="0" applyFont="1" applyFill="1" applyBorder="1" applyAlignment="1"/>
    <xf numFmtId="0" fontId="45" fillId="32" borderId="16" xfId="0" applyFont="1" applyFill="1" applyBorder="1" applyAlignment="1"/>
    <xf numFmtId="0" fontId="46" fillId="32" borderId="16" xfId="0" applyFont="1" applyFill="1" applyBorder="1" applyAlignment="1"/>
  </cellXfs>
  <cellStyles count="4">
    <cellStyle name="Comma" xfId="2" builtinId="3"/>
    <cellStyle name="Hyperlink" xfId="3" builtinId="8"/>
    <cellStyle name="Normal" xfId="0" builtinId="0"/>
    <cellStyle name="Normal 2 4" xfId="1" xr:uid="{B0F14702-7E37-43E4-A153-F5F7853A11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hmed Adam" id="{13099345-7CD9-46CD-811B-8AAF64568093}" userId="ahmed.adam@undp.org" providerId="PeoplePicker"/>
  <person displayName="Mohamed Omer" id="{98D6F827-1C9E-4B8D-A7F7-190357D59302}" userId="mohamed.omer@undp.org" providerId="PeoplePicker"/>
  <person displayName="Yassir Zahir" id="{5AEB6DD6-8A3D-494F-964C-2EE3C66C0340}" userId="yassir.zahir@undp.org" providerId="PeoplePicker"/>
  <person displayName="Islam Mohamed" id="{BFAE62E4-DECA-43AC-BD78-743523B9ADCF}" userId="islam.mohamed@undp.org" providerId="PeoplePicker"/>
  <person displayName="Mutaz Elsadig" id="{24381F4D-26C0-412F-8792-B338596FF087}" userId="mutaz.elsadig@undp.org" providerId="PeoplePicker"/>
  <person displayName="Mohieldin Aboh" id="{972A10AE-639F-4E40-A7C2-11F9F8A33537}" userId="mohieldin.aboh@undp.org" providerId="PeoplePicker"/>
  <person displayName="Yahya Mohammed" id="{CD66D191-562A-4124-8EAE-47CF746EC371}" userId="yahya.mohammed@undp.org" providerId="PeoplePicker"/>
  <person displayName="Osama Elsammani" id="{C7F8F0DF-8745-4ACC-B93F-1753ED5084C0}" userId="osama.elsammani@undp.org" providerId="PeoplePicker"/>
  <person displayName="Abdalla Ali Abdalla Ibrahim" id="{CCFAC868-50AF-4617-A2D2-0EBA3A3892BE}" userId="abdalla.ali.abdalla.ibrahim@undp.org" providerId="PeoplePicker"/>
  <person displayName="Mutaz Elsadig" id="{D359E6C9-CFD6-4BBB-8EF4-EECB03066FCF}" userId="S::mutaz.elsadig@undp.org::d99085b4-ecc4-44b7-ad00-9a25eb0953af" providerId="AD"/>
  <person displayName="Marrian Gebreselassie" id="{5B49859C-6936-42B6-BE3D-0957DDCF9A8C}" userId="S::marrian.gebreselassie@undp.org::a958bc1d-bd72-465b-aabf-d5afe6e4dcc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G2" dT="2026-01-20T14:12:37.84" personId="{5B49859C-6936-42B6-BE3D-0957DDCF9A8C}" id="{67CB42B4-5C75-47A9-909B-0B0E7753838E}">
    <text xml:space="preserve">What we will report on for the 2nd tranche= Q4_Cum - OctReport_Actual (previously reported)
Now we need to cross-check numbers @Mutaz Elsadig </text>
    <mentions>
      <mention mentionpersonId="{24381F4D-26C0-412F-8792-B338596FF087}" mentionId="{C22CDEA5-3E9A-42C9-BFAE-FA4274F02689}" startIndex="127" length="14"/>
    </mentions>
  </threadedComment>
  <threadedComment ref="P5" dT="2025-11-17T15:11:16.50" personId="{5B49859C-6936-42B6-BE3D-0957DDCF9A8C}" id="{F8BB587D-A1AE-4BDF-B948-AE93A5606E7A}">
    <text>5 agricultural associations with 277 members based on Sept programmatic spot-check</text>
  </threadedComment>
  <threadedComment ref="J6" dT="2025-10-26T13:59:32.76" personId="{5B49859C-6936-42B6-BE3D-0957DDCF9A8C}" id="{C8B2FC69-35EB-4B2F-B1EE-E10B9A00AC8D}" done="1">
    <text>@Mutaz Elsadig  how 3100 when the distribution was to ~2400 altogether?</text>
    <mentions>
      <mention mentionpersonId="{24381F4D-26C0-412F-8792-B338596FF087}" mentionId="{9547D5F8-6D3F-4B8E-8E82-CB62144E53A1}" startIndex="0" length="14"/>
    </mentions>
  </threadedComment>
  <threadedComment ref="J6" dT="2025-10-26T14:59:42.03" personId="{D359E6C9-CFD6-4BBB-8EF4-EECB03066FCF}" id="{85F3F491-D2A7-43E9-BB95-4A0658204AF0}" parentId="{C8B2FC69-35EB-4B2F-B1EE-E10B9A00AC8D}">
    <text xml:space="preserve">Sorry the upper figurer at the seed distribution column is 3100 not 2100
Rural Kassala: 
Kalhoot villages 600 male farmer and 300 females
Hafrat 400 male farmers and 300 females
Sorghum with 9 tons and pearl millet 2 tons was distributed 
Girba:
Munaba village 300 male and 300 females
Shagrab village 300 male and 300 female 
Sorghum with 6 tons 
various vegetable seeds to 300 Farmers
All these farmers received attend the orientation session
</text>
  </threadedComment>
  <threadedComment ref="V6" dT="2025-11-17T15:13:48.80" personId="{5B49859C-6936-42B6-BE3D-0957DDCF9A8C}" id="{F050C7A7-19B7-4903-98FD-4350DCFD0A4F}">
    <text>Assumed 1 session</text>
  </threadedComment>
  <threadedComment ref="M8" dT="2025-11-17T15:16:56.44" personId="{5B49859C-6936-42B6-BE3D-0957DDCF9A8C}" id="{392504B6-E775-4262-8C5B-4DCECD9D77EC}">
    <text>Assumed 1 goat/HH - TBC</text>
  </threadedComment>
  <threadedComment ref="AA15" dT="2025-10-23T07:51:55.38" personId="{D359E6C9-CFD6-4BBB-8EF4-EECB03066FCF}" id="{860D7BE9-A531-403F-8CB5-BF8101538380}">
    <text>Six tractors with their implements have been distributed in Kassala and River Nile States, while the four allocated for Gedaref State have not yet been distributed due to accessibility issues in the targeted locations. They are expected to be delivered by the end of October.</text>
  </threadedComment>
  <threadedComment ref="AA16" dT="2025-10-23T09:05:58.36" personId="{D359E6C9-CFD6-4BBB-8EF4-EECB03066FCF}" id="{06DDAAE6-98E8-432D-90F0-5C3EF9482971}">
    <text>These 5 are the first ones established in Gedaref – West Galabat.
The number has increased to reach 22 following the establishment of new CMCs: 5 in Al Fashaga – Gedaref, 2 in Wasat Gedaref, 1 in Gedaref Baladiya, 3 in Halfa – Kassala, 2 in Wad El Hileiw – Kassala, 2 in Girba – Kassala, and 1 in Kurmuta – Kassala.</text>
  </threadedComment>
  <threadedComment ref="Z18" dT="2026-01-20T13:41:36.01" personId="{5B49859C-6936-42B6-BE3D-0957DDCF9A8C}" id="{77D612C5-5088-4535-8DB7-E089E96F7578}">
    <text>@Mutaz Elsadig I have not found any reference to this event outside of the report and Sept update ppt. Kindly advise</text>
    <mentions>
      <mention mentionpersonId="{24381F4D-26C0-412F-8792-B338596FF087}" mentionId="{46368048-C037-405D-8051-6E880E36E91C}" startIndex="0" length="14"/>
    </mentions>
  </threadedComment>
  <threadedComment ref="AA21" dT="2025-10-23T09:09:59.07" personId="{D359E6C9-CFD6-4BBB-8EF4-EECB03066FCF}" id="{5C5C9095-9FE1-4EF9-AFEF-5DA06B995A4F}">
    <text xml:space="preserve">the total reach 1101 across the states.
for Zenab Organization, groups organized but the activity planned for November. </text>
  </threadedComment>
  <threadedComment ref="AE21" dT="2026-01-20T14:02:08.64" personId="{5B49859C-6936-42B6-BE3D-0957DDCF9A8C}" id="{A6B39C3E-49B2-4B84-854A-7E3FB015C8E3}">
    <text>Already reported in Q3</text>
  </threadedComment>
</ThreadedComments>
</file>

<file path=xl/threadedComments/threadedComment2.xml><?xml version="1.0" encoding="utf-8"?>
<ThreadedComments xmlns="http://schemas.microsoft.com/office/spreadsheetml/2018/threadedcomments" xmlns:x="http://schemas.openxmlformats.org/spreadsheetml/2006/main">
  <threadedComment ref="AS2" dT="2026-03-15T09:45:34.10" personId="{5B49859C-6936-42B6-BE3D-0957DDCF9A8C}" id="{80010EC9-7AF8-43F5-B18E-4EDFD2C4F9C7}">
    <text>@Mutaz Elsadig  Is this what you were referring to?</text>
    <mentions>
      <mention mentionpersonId="{24381F4D-26C0-412F-8792-B338596FF087}" mentionId="{91C3A782-6450-40C9-9C85-41086D4C1724}" startIndex="0" length="14"/>
    </mentions>
  </threadedComment>
  <threadedComment ref="AS2" dT="2026-03-21T09:23:31.07" personId="{D359E6C9-CFD6-4BBB-8EF4-EECB03066FCF}" id="{41E82053-463E-48A8-9EC8-1CFCB0987ABC}" parentId="{80010EC9-7AF8-43F5-B18E-4EDFD2C4F9C7}">
    <text>Yes, Marrian</text>
  </threadedComment>
  <threadedComment ref="T5" dT="2025-11-17T15:11:16.50" personId="{5B49859C-6936-42B6-BE3D-0957DDCF9A8C}" id="{2A15B12C-B06A-4249-A50B-50EAD067E94A}">
    <text>5 agricultural associations with 277 members based on Sept programmatic spot-check</text>
  </threadedComment>
  <threadedComment ref="J6" dT="2025-10-26T13:59:32.76" personId="{5B49859C-6936-42B6-BE3D-0957DDCF9A8C}" id="{37F19041-7BAC-4A7B-881A-D6606009626A}" done="1">
    <text>@Mutaz Elsadig  how 3100 when the distribution was to ~2400 altogether?</text>
    <mentions>
      <mention mentionpersonId="{24381F4D-26C0-412F-8792-B338596FF087}" mentionId="{C8696087-74A2-4784-8620-55C8694A3095}" startIndex="0" length="14"/>
    </mentions>
  </threadedComment>
  <threadedComment ref="J6" dT="2025-10-26T14:59:42.03" personId="{D359E6C9-CFD6-4BBB-8EF4-EECB03066FCF}" id="{0235F816-17DF-48B8-BC72-B08281A52084}" parentId="{37F19041-7BAC-4A7B-881A-D6606009626A}">
    <text xml:space="preserve">Sorry the upper figurer at the seed distribution column is 3100 not 2100
Rural Kassala: 
Kalhoot villages 600 male farmer and 300 females
Hafrat 400 male farmers and 300 females
Sorghum with 9 tons and pearl millet 2 tons was distributed 
Girba:
Munaba village 300 male and 300 females
Shagrab village 300 male and 300 female 
Sorghum with 6 tons 
various vegetable seeds to 300 Farmers
All these farmers received attend the orientation session
</text>
  </threadedComment>
  <threadedComment ref="AD6" dT="2025-11-17T15:13:48.80" personId="{5B49859C-6936-42B6-BE3D-0957DDCF9A8C}" id="{EAE7E115-4B08-4B4A-809E-2A5989463741}">
    <text>Assumed 1 session</text>
  </threadedComment>
  <threadedComment ref="O8" dT="2025-11-17T15:16:56.44" personId="{5B49859C-6936-42B6-BE3D-0957DDCF9A8C}" id="{3D07EB4F-0AEE-4D20-B2D8-94E354889427}">
    <text>Assumed 1 goat/HH - TBC</text>
  </threadedComment>
  <threadedComment ref="AL15" dT="2025-10-23T07:51:55.38" personId="{D359E6C9-CFD6-4BBB-8EF4-EECB03066FCF}" id="{D0396331-E612-4275-B284-ED38EF86DCD9}">
    <text>Six tractors with their implements have been distributed in Kassala and River Nile States, while the four allocated for Gedaref State have not yet been distributed due to accessibility issues in the targeted locations. They are expected to be delivered by the end of October.</text>
  </threadedComment>
  <threadedComment ref="AL16" dT="2025-10-23T09:05:58.36" personId="{D359E6C9-CFD6-4BBB-8EF4-EECB03066FCF}" id="{8D30D642-0DB6-443D-A9A1-6AF23B0BEEA0}">
    <text>These 5 are the first ones established in Gedaref – West Galabat.
The number has increased to reach 22 following the establishment of new CMCs: 5 in Al Fashaga – Gedaref, 2 in Wasat Gedaref, 1 in Gedaref Baladiya, 3 in Halfa – Kassala, 2 in Wad El Hileiw – Kassala, 2 in Girba – Kassala, and 1 in Kurmuta – Kassala.</text>
  </threadedComment>
  <threadedComment ref="AK18" dT="2026-01-20T13:41:36.01" personId="{5B49859C-6936-42B6-BE3D-0957DDCF9A8C}" id="{E209AEA8-26E1-4B55-A410-D086C3EE46BD}">
    <text>@Mutaz Elsadig I have not found any reference to this event outside of the report and Sept update ppt. Kindly advise</text>
    <mentions>
      <mention mentionpersonId="{24381F4D-26C0-412F-8792-B338596FF087}" mentionId="{9F25295D-039F-4887-B75B-B16736CE8C9A}" startIndex="0" length="14"/>
    </mentions>
  </threadedComment>
  <threadedComment ref="AL21" dT="2025-10-23T09:09:59.07" personId="{D359E6C9-CFD6-4BBB-8EF4-EECB03066FCF}" id="{CFC736F3-181C-40EC-B122-0678800BA3C8}">
    <text xml:space="preserve">the total reach 1101 across the states.
for Zenab Organization, groups organized but the activity planned for November. </text>
  </threadedComment>
  <threadedComment ref="AP21" dT="2026-01-20T14:02:08.64" personId="{5B49859C-6936-42B6-BE3D-0957DDCF9A8C}" id="{F7154AFD-980F-4AB4-BB45-5F0B7EFBA70F}">
    <text>Already reported in Q3</text>
  </threadedComment>
</ThreadedComments>
</file>

<file path=xl/threadedComments/threadedComment3.xml><?xml version="1.0" encoding="utf-8"?>
<ThreadedComments xmlns="http://schemas.microsoft.com/office/spreadsheetml/2018/threadedcomments" xmlns:x="http://schemas.openxmlformats.org/spreadsheetml/2006/main">
  <threadedComment ref="F41" dT="2025-10-22T11:13:33.96" personId="{5B49859C-6936-42B6-BE3D-0957DDCF9A8C}" id="{A8A540B9-7908-4043-B9C3-93834BDAE1DD}">
    <text>@Abdalla Ali Abdalla Ibrahim  This is taken from the M&amp;E table we last submitted. Reading the indicator, this should be the number of households not individual beneficiaries? So it should be less than the 9177 individuals who received agro inputs? Another thing is this indicator 1.1.2 is tied to land access so that would be beneficiaries who received access to land which is around 1.4k ?</text>
    <mentions>
      <mention mentionpersonId="{CCFAC868-50AF-4617-A2D2-0EBA3A3892BE}" mentionId="{22C4B5FB-3306-4BB2-90F2-DC3ED9AE4C7B}" startIndex="0" length="28"/>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D4" dT="2025-11-02T15:09:56.22" personId="{5B49859C-6936-42B6-BE3D-0957DDCF9A8C}" id="{302E27B5-20CB-46B5-9094-3C62E3434176}">
    <text>@Abdalla Ali Abdalla Ibrahim see the entire column of Sahari, the whole month of October updates have been about 2 success stories and monitoring project activities. Please let me know their response</text>
    <mentions>
      <mention mentionpersonId="{CCFAC868-50AF-4617-A2D2-0EBA3A3892BE}" mentionId="{7BB871A8-E237-4A8A-B757-97AC07291AF5}" startIndex="0" length="28"/>
    </mentions>
  </threadedComment>
  <threadedComment ref="D7" dT="2025-11-02T15:09:01.31" personId="{5B49859C-6936-42B6-BE3D-0957DDCF9A8C}" id="{69A127F0-C912-4404-A3D9-D822AE844665}">
    <text>@Mutaz Elsadig  was not sure what to count this under, but put it under the field farmer schools though it was just a training</text>
    <mentions>
      <mention mentionpersonId="{24381F4D-26C0-412F-8792-B338596FF087}" mentionId="{F408672A-830B-49CD-87C3-042413ADF317}" startIndex="0" length="14"/>
    </mentions>
  </threadedComment>
  <threadedComment ref="G7" dT="2025-11-02T15:13:18.79" personId="{5B49859C-6936-42B6-BE3D-0957DDCF9A8C}" id="{36517B31-6B54-4F2A-A9A7-492779D3C7DD}">
    <text>@Mutaz Elsadig / @Mohieldin Aboh  / @Abdalla Ali Abdalla Ibrahim  which activities exactly is PA referring to about incentives?</text>
    <mentions>
      <mention mentionpersonId="{24381F4D-26C0-412F-8792-B338596FF087}" mentionId="{11B304D9-C9D3-4BEE-B6C6-868A875ECD8B}" startIndex="0" length="14"/>
      <mention mentionpersonId="{972A10AE-639F-4E40-A7C2-11F9F8A33537}" mentionId="{F38DE7A6-2D1E-4DB5-AE65-2D0F1401A111}" startIndex="17" length="15"/>
      <mention mentionpersonId="{CCFAC868-50AF-4617-A2D2-0EBA3A3892BE}" mentionId="{0056AC69-1B4B-4010-818F-90CB388CBD25}" startIndex="36" length="28"/>
    </mentions>
  </threadedComment>
  <threadedComment ref="D9" dT="2025-12-01T14:27:23.68" personId="{5B49859C-6936-42B6-BE3D-0957DDCF9A8C}" id="{B7C6692B-99FB-4064-9F12-8240631189CA}">
    <text>@Mutaz Elsadig Did they share any details of tangible progress made on these linkages?</text>
    <mentions>
      <mention mentionpersonId="{24381F4D-26C0-412F-8792-B338596FF087}" mentionId="{46C461B6-A326-4F23-AC21-08B37AC5B0B7}" startIndex="0" length="14"/>
    </mentions>
  </threadedComment>
  <threadedComment ref="H11" dT="2025-12-01T14:42:47.49" personId="{5B49859C-6936-42B6-BE3D-0957DDCF9A8C}" id="{D883972C-25E0-401C-95D7-7732E603F1CC}">
    <text>@Mutaz Elsadig  / @Yassir Zahir  for the last 2 week Hagana's update in Gedaref has been about materials being delivered at sites. Kindly advise on the progress of the 3 sites in Gedaref</text>
    <mentions>
      <mention mentionpersonId="{24381F4D-26C0-412F-8792-B338596FF087}" mentionId="{19F1C507-F095-4EF9-A899-5B2220593476}" startIndex="0" length="14"/>
      <mention mentionpersonId="{5AEB6DD6-8A3D-494F-964C-2EE3C66C0340}" mentionId="{13D13B18-E3DD-4E96-AB63-26D0B962B5FD}" startIndex="18" length="13"/>
    </mentions>
  </threadedComment>
  <threadedComment ref="H11" dT="2025-12-01T15:08:14.59" personId="{D359E6C9-CFD6-4BBB-8EF4-EECB03066FCF}" id="{4BBF8697-4522-4989-81C9-609031564674}" parentId="{D883972C-25E0-401C-95D7-7732E603F1CC}">
    <text>They started the solar construction which is about 20% of the project</text>
  </threadedComment>
  <threadedComment ref="B12" dT="2025-12-01T13:23:39.89" personId="{5B49859C-6936-42B6-BE3D-0957DDCF9A8C}" id="{22C4EA1F-2508-4D8C-8474-2AB63517B11E}">
    <text>@Mutaz Elsadig  Same here, did they share a monitoring report?</text>
    <mentions>
      <mention mentionpersonId="{24381F4D-26C0-412F-8792-B338596FF087}" mentionId="{D6EC4E11-5482-4119-9F86-0016039D35B0}" startIndex="0" length="14"/>
    </mentions>
  </threadedComment>
  <threadedComment ref="C12" dT="2025-12-01T13:22:55.81" personId="{5B49859C-6936-42B6-BE3D-0957DDCF9A8C}" id="{FDF9A67F-59EE-448C-B16F-4397485ABED8}">
    <text>@Mutaz Elsadig the 30 women who planted on the demo plot should be counted as FFS or access to land 1.1.2?</text>
    <mentions>
      <mention mentionpersonId="{24381F4D-26C0-412F-8792-B338596FF087}" mentionId="{B8430F38-3309-4208-90FA-C219C4C78C8E}" startIndex="0" length="14"/>
    </mentions>
  </threadedComment>
  <threadedComment ref="D12" dT="2025-12-01T13:22:01.35" personId="{5B49859C-6936-42B6-BE3D-0957DDCF9A8C}" id="{EBA63C6C-48CF-43B2-A518-067A2AF4024E}">
    <text>@Mutaz Elsadig Did they share a monitoring report? Also are these entrepreneurs small micro-grantees?</text>
    <mentions>
      <mention mentionpersonId="{24381F4D-26C0-412F-8792-B338596FF087}" mentionId="{61AC425F-A036-4579-B577-3E638025C0D9}" startIndex="0" length="14"/>
    </mentions>
  </threadedComment>
  <threadedComment ref="E12" dT="2025-12-01T13:21:32.27" personId="{5B49859C-6936-42B6-BE3D-0957DDCF9A8C}" id="{A1D41A04-C1F7-4259-BED8-681143FBD99C}" done="1">
    <text>@Mutaz Elsadig what does this mean? How many people/groups were reached and how?</text>
    <mentions>
      <mention mentionpersonId="{24381F4D-26C0-412F-8792-B338596FF087}" mentionId="{DAC3CC04-AFFA-455E-8604-9AF0D4807C7F}" startIndex="0" length="14"/>
    </mentions>
  </threadedComment>
  <threadedComment ref="E12" dT="2025-12-01T14:01:01.79" personId="{D359E6C9-CFD6-4BBB-8EF4-EECB03066FCF}" id="{70B6963C-145D-45C0-B849-FDF04B2EE0E8}" parentId="{A1D41A04-C1F7-4259-BED8-681143FBD99C}">
    <text>They are five groups</text>
  </threadedComment>
  <threadedComment ref="F21" dT="2026-02-02T07:55:11.71" personId="{5B49859C-6936-42B6-BE3D-0957DDCF9A8C}" id="{FD2F0E1A-681C-4A77-804D-C34585514B54}">
    <text>@Mutaz Elsadig CAFA has had no update for the last 3 weeks</text>
    <mentions>
      <mention mentionpersonId="{24381F4D-26C0-412F-8792-B338596FF087}" mentionId="{E46B6A20-7EE8-4CE2-BBA0-210BAD72630C}" startIndex="0" length="14"/>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E9" dT="2025-12-02T09:49:18.85" personId="{5B49859C-6936-42B6-BE3D-0957DDCF9A8C}" id="{5DDD36C6-3779-4858-A732-1BDCE2E84700}">
    <text>@Mutaz Elsadig  Just to be sure, there are 30 in each VSLA, but only 5 out of each group will be trained?</text>
    <mentions>
      <mention mentionpersonId="{24381F4D-26C0-412F-8792-B338596FF087}" mentionId="{FF280864-BE77-473D-AA2B-8C371C778139}" startIndex="0" length="14"/>
    </mentions>
  </threadedComment>
  <threadedComment ref="C10" dT="2025-12-02T08:40:27.16" personId="{5B49859C-6936-42B6-BE3D-0957DDCF9A8C}" id="{590AD013-D529-4B6B-B97C-A06456D64643}">
    <text>@Mutaz Elsadig  The reported is 30 and 170 is planned. The next week, they did not confirm if the 170 farmers in Wad Elhilew were really reached. Please confirm</text>
    <mentions>
      <mention mentionpersonId="{24381F4D-26C0-412F-8792-B338596FF087}" mentionId="{07B5AC13-1DA2-496D-A210-AFA9AE06ABC5}" startIndex="0" length="14"/>
    </mentions>
  </threadedComment>
  <threadedComment ref="B14" dT="2026-01-06T15:28:32.55" personId="{5B49859C-6936-42B6-BE3D-0957DDCF9A8C}" id="{FA9E54B5-C16A-4293-8714-4343A39ED425}">
    <text>@Mutaz Elsadig for most of December, all BRDO did was follow on Banat Farm. What about the other activities?</text>
    <mentions>
      <mention mentionpersonId="{24381F4D-26C0-412F-8792-B338596FF087}" mentionId="{40ACA376-C16D-4D55-849C-F0F2A295596C}" startIndex="0" length="14"/>
    </mentions>
  </threadedComment>
  <threadedComment ref="B17" dT="2026-01-19T11:27:33.26" personId="{5B49859C-6936-42B6-BE3D-0957DDCF9A8C}" id="{99218C59-F051-4335-BF88-EBB34F03B6FF}">
    <text>@Mutaz Elsadig Assuming these are VSLA groups because of the bank linkages</text>
    <mentions>
      <mention mentionpersonId="{24381F4D-26C0-412F-8792-B338596FF087}" mentionId="{F66534AC-2E64-4C28-93B3-17CC742160ED}" startIndex="0" length="14"/>
    </mentions>
  </threadedComment>
  <threadedComment ref="B17" dT="2026-01-19T11:59:15.95" personId="{D359E6C9-CFD6-4BBB-8EF4-EECB03066FCF}" id="{3E9BC2DD-A4EB-4E9D-90CC-C462956F7867}" parentId="{99218C59-F051-4335-BF88-EBB34F03B6FF}">
    <text xml:space="preserve">Yes it is a VSLA
</text>
  </threadedComment>
  <threadedComment ref="F18" dT="2026-01-06T15:27:00.55" personId="{5B49859C-6936-42B6-BE3D-0957DDCF9A8C}" id="{C92F0E1F-F29D-45A0-96EA-7B7672F82E4D}">
    <text>@Mutaz Elsadig  for all of December, CAFA have been reporting on just the agricultural associations. Yes, they were established and I received the report. But what about their other ongoing activities?</text>
    <mentions>
      <mention mentionpersonId="{24381F4D-26C0-412F-8792-B338596FF087}" mentionId="{E75074C7-A24B-4CDF-B614-47E3E980F0DE}" startIndex="0" length="14"/>
    </mentions>
  </threadedComment>
  <threadedComment ref="F21" dT="2026-02-02T07:55:11.71" personId="{5B49859C-6936-42B6-BE3D-0957DDCF9A8C}" id="{458A4FF1-DC65-4AC8-8784-F05F31871CA7}">
    <text>@Mutaz Elsadig CAFA has had no update for the last 3 weeks</text>
    <mentions>
      <mention mentionpersonId="{24381F4D-26C0-412F-8792-B338596FF087}" mentionId="{24F1563B-B17A-43F2-9FBF-863133504C6E}" startIndex="0" length="14"/>
    </mentions>
  </threadedComment>
  <threadedComment ref="D29" dT="2026-03-24T09:39:51.30" personId="{5B49859C-6936-42B6-BE3D-0957DDCF9A8C}" id="{D03E1B56-ACF9-4AFA-AD3E-08A90E80FED8}">
    <text>@Abdalla Ali Abdalla Ibrahim @Mutaz Elsadig  SAHARI has provided the exact same update all of March.</text>
    <mentions>
      <mention mentionpersonId="{CCFAC868-50AF-4617-A2D2-0EBA3A3892BE}" mentionId="{8E143AD7-7594-4A3F-83EC-77CC9E0B341F}" startIndex="0" length="28"/>
      <mention mentionpersonId="{24381F4D-26C0-412F-8792-B338596FF087}" mentionId="{EA5EE96C-2264-47D8-8A0F-A9139C129AF9}" startIndex="29" length="14"/>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E1" dT="2026-06-14T08:42:45.40" personId="{5B49859C-6936-42B6-BE3D-0957DDCF9A8C}" id="{E3AA34B3-1C0B-4E19-B80A-65B8FCCDA117}">
    <text>@Ahmed Adam / @Islam Mohamed please update coordinates
cc: @Mohamed Omer</text>
    <mentions>
      <mention mentionpersonId="{13099345-7CD9-46CD-811B-8AAF64568093}" mentionId="{73E93543-66E4-4E1B-BC0A-794E0F467345}" startIndex="0" length="11"/>
      <mention mentionpersonId="{BFAE62E4-DECA-43AC-BD78-743523B9ADCF}" mentionId="{4A4BE528-F1D2-4E21-A93F-37595301C072}" startIndex="14" length="14"/>
      <mention mentionpersonId="{98D6F827-1C9E-4B8D-A7F7-190357D59302}" mentionId="{A39FA35E-6F11-4743-A40F-BD2BB90C0816}" startIndex="59" length="13"/>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H1" dT="2026-05-07T12:57:41.67" personId="{5B49859C-6936-42B6-BE3D-0957DDCF9A8C}" id="{BB3B90C4-15D2-4712-A223-51908CDE8516}">
    <text>@Ahmed Adam / @Osama Elsammani / @Yassir Zahir please complete</text>
    <mentions>
      <mention mentionpersonId="{13099345-7CD9-46CD-811B-8AAF64568093}" mentionId="{F61C439C-47CB-4407-B366-06FF2728AED9}" startIndex="0" length="11"/>
      <mention mentionpersonId="{C7F8F0DF-8745-4ACC-B93F-1753ED5084C0}" mentionId="{1F7F280F-BB19-45DE-AAEC-B1E1F75F4FC0}" startIndex="14" length="16"/>
      <mention mentionpersonId="{5AEB6DD6-8A3D-494F-964C-2EE3C66C0340}" mentionId="{6605F43A-3038-4761-A101-C61337A9EB1C}" startIndex="33" length="13"/>
    </mentions>
  </threadedComment>
  <threadedComment ref="B5" dT="2026-05-24T14:53:48.00" personId="{5B49859C-6936-42B6-BE3D-0957DDCF9A8C}" id="{B1277E16-DDEC-47F0-888F-38E6F7F0BBE1}">
    <text>@Ahmed Adam @Yassir Zahir please fill out the column of the contractor</text>
    <mentions>
      <mention mentionpersonId="{13099345-7CD9-46CD-811B-8AAF64568093}" mentionId="{E2CEF94E-9611-4549-A195-0BCB155F554E}" startIndex="0" length="11"/>
      <mention mentionpersonId="{5AEB6DD6-8A3D-494F-964C-2EE3C66C0340}" mentionId="{62E06E47-799F-4527-AD2F-0011C73CD07F}" startIndex="12" length="13"/>
    </mentions>
  </threadedComment>
</ThreadedComments>
</file>

<file path=xl/threadedComments/threadedComment8.xml><?xml version="1.0" encoding="utf-8"?>
<ThreadedComments xmlns="http://schemas.microsoft.com/office/spreadsheetml/2018/threadedcomments" xmlns:x="http://schemas.openxmlformats.org/spreadsheetml/2006/main">
  <threadedComment ref="G1" dT="2026-05-07T12:57:41.67" personId="{5B49859C-6936-42B6-BE3D-0957DDCF9A8C}" id="{F5783C1C-1E14-40D2-B434-E6B762CEF669}">
    <text>@Ahmed Adam / @Osama Elsammani / @Yassir Zahir please complete</text>
    <mentions>
      <mention mentionpersonId="{13099345-7CD9-46CD-811B-8AAF64568093}" mentionId="{E7BB8819-6CCF-4631-BFD6-5C666251E7C0}" startIndex="0" length="11"/>
      <mention mentionpersonId="{C7F8F0DF-8745-4ACC-B93F-1753ED5084C0}" mentionId="{9CBE3117-99D6-494B-AF7F-54FACFFC18DB}" startIndex="14" length="16"/>
      <mention mentionpersonId="{5AEB6DD6-8A3D-494F-964C-2EE3C66C0340}" mentionId="{1AE0F84F-7BE3-47BD-86D9-57D1A8607739}" startIndex="33" length="13"/>
    </mentions>
  </threadedComment>
  <threadedComment ref="G1" dT="2026-09-24T11:40:32.21" personId="{5B49859C-6936-42B6-BE3D-0957DDCF9A8C}" id="{73031105-4649-40D8-9242-4CB4E0BA42F8}" parentId="{F5783C1C-1E14-40D2-B434-E6B762CEF669}">
    <text>@Yahya Mohammed &amp; @Islam Mohamed and all, gentle reminder</text>
    <mentions>
      <mention mentionpersonId="{CD66D191-562A-4124-8EAE-47CF746EC371}" mentionId="{D07EB926-4F0E-4BA2-B61A-3848D992C140}" startIndex="0" length="15"/>
      <mention mentionpersonId="{BFAE62E4-DECA-43AC-BD78-743523B9ADCF}" mentionId="{D67A1859-7C03-45A9-8BE5-B1CF08FAE8D0}" startIndex="18" length="14"/>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hyperlink" Target="https://www.undp.org/sudan/blog/empowering-sudanese-youth-pathways-peace-stability-and-prosperity" TargetMode="Externa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5931D-18AC-46A9-B279-C33781CDCB0D}">
  <dimension ref="A1:B10"/>
  <sheetViews>
    <sheetView zoomScale="130" zoomScaleNormal="130" workbookViewId="0">
      <selection activeCell="B1" sqref="B1"/>
    </sheetView>
  </sheetViews>
  <sheetFormatPr defaultRowHeight="14.45"/>
  <cols>
    <col min="1" max="1" width="24.42578125" customWidth="1"/>
    <col min="2" max="2" width="69.85546875" customWidth="1"/>
    <col min="3" max="3" width="8.7109375" customWidth="1"/>
    <col min="9" max="11" width="8.7109375" customWidth="1"/>
  </cols>
  <sheetData>
    <row r="1" spans="1:2" ht="30.75">
      <c r="A1" s="1" t="s">
        <v>0</v>
      </c>
      <c r="B1" s="78" t="s">
        <v>1</v>
      </c>
    </row>
    <row r="2" spans="1:2">
      <c r="A2" s="1" t="s">
        <v>2</v>
      </c>
      <c r="B2" t="s">
        <v>3</v>
      </c>
    </row>
    <row r="3" spans="1:2">
      <c r="A3" s="1" t="s">
        <v>4</v>
      </c>
      <c r="B3" t="s">
        <v>5</v>
      </c>
    </row>
    <row r="4" spans="1:2">
      <c r="A4" s="1" t="s">
        <v>6</v>
      </c>
      <c r="B4" s="93">
        <v>5000000</v>
      </c>
    </row>
    <row r="5" spans="1:2">
      <c r="A5" s="1" t="s">
        <v>7</v>
      </c>
      <c r="B5" s="94">
        <v>45566</v>
      </c>
    </row>
    <row r="6" spans="1:2">
      <c r="A6" s="1" t="s">
        <v>8</v>
      </c>
      <c r="B6" s="94">
        <v>46295</v>
      </c>
    </row>
    <row r="7" spans="1:2">
      <c r="A7" s="1" t="s">
        <v>9</v>
      </c>
      <c r="B7" t="s">
        <v>10</v>
      </c>
    </row>
    <row r="8" spans="1:2">
      <c r="A8" s="1" t="s">
        <v>11</v>
      </c>
      <c r="B8" t="s">
        <v>12</v>
      </c>
    </row>
    <row r="9" spans="1:2">
      <c r="A9" s="1" t="s">
        <v>13</v>
      </c>
      <c r="B9" t="s">
        <v>14</v>
      </c>
    </row>
    <row r="10" spans="1:2">
      <c r="A10"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4CE7-C5C0-4097-B4B5-1561E10C0705}">
  <dimension ref="A1:AG26"/>
  <sheetViews>
    <sheetView topLeftCell="C1" workbookViewId="0">
      <pane ySplit="2" topLeftCell="B3" activePane="bottomLeft" state="frozen"/>
      <selection pane="bottomLeft" activeCell="Y16" sqref="Y16"/>
    </sheetView>
  </sheetViews>
  <sheetFormatPr defaultColWidth="9.140625" defaultRowHeight="15" customHeight="1"/>
  <cols>
    <col min="1" max="1" width="27.42578125" hidden="1" customWidth="1"/>
    <col min="2" max="2" width="30.85546875" customWidth="1"/>
    <col min="3" max="3" width="33.28515625" style="5" customWidth="1"/>
    <col min="4" max="4" width="20.42578125" style="5" hidden="1" customWidth="1"/>
    <col min="5" max="5" width="16.85546875" style="5" customWidth="1"/>
    <col min="6" max="6" width="13.7109375" style="5" customWidth="1"/>
    <col min="7" max="7" width="14.85546875" style="5" customWidth="1"/>
    <col min="8" max="8" width="14.85546875" style="5" hidden="1" customWidth="1"/>
    <col min="9" max="9" width="15.85546875" style="5" hidden="1" customWidth="1"/>
    <col min="10" max="10" width="14.7109375" style="5" customWidth="1"/>
    <col min="11" max="12" width="14.85546875" style="5" hidden="1" customWidth="1"/>
    <col min="13" max="13" width="18" style="5" customWidth="1"/>
    <col min="14" max="14" width="17.7109375" style="5" hidden="1" customWidth="1"/>
    <col min="15" max="15" width="14" style="5" hidden="1" customWidth="1"/>
    <col min="16" max="16" width="14.140625" style="5" customWidth="1"/>
    <col min="17" max="18" width="14.85546875" style="5" hidden="1" customWidth="1"/>
    <col min="19" max="19" width="14.140625" style="5" customWidth="1"/>
    <col min="20" max="20" width="14.85546875" style="5" hidden="1" customWidth="1"/>
    <col min="21" max="21" width="18.42578125" style="5" hidden="1" customWidth="1"/>
    <col min="22" max="22" width="13.140625" style="5" customWidth="1"/>
    <col min="23" max="23" width="11.42578125" hidden="1" customWidth="1"/>
    <col min="24" max="24" width="13.28515625" customWidth="1"/>
    <col min="25" max="25" width="13.42578125" customWidth="1"/>
    <col min="26" max="26" width="15.140625" style="5" hidden="1" customWidth="1"/>
    <col min="27" max="27" width="23.140625" style="5" hidden="1" customWidth="1"/>
    <col min="28" max="28" width="12.5703125" style="5" customWidth="1"/>
    <col min="29" max="29" width="12" style="5" customWidth="1"/>
    <col min="30" max="30" width="11.5703125" style="5" customWidth="1"/>
    <col min="31" max="31" width="15.5703125" style="5" customWidth="1"/>
    <col min="32" max="32" width="9.140625" style="5" customWidth="1"/>
    <col min="33" max="33" width="12.7109375" style="5" customWidth="1"/>
  </cols>
  <sheetData>
    <row r="1" spans="1:33" ht="14.45">
      <c r="H1" s="265" t="s">
        <v>16</v>
      </c>
      <c r="I1" s="265"/>
      <c r="J1" s="265"/>
      <c r="K1" s="265"/>
      <c r="L1" s="265"/>
      <c r="M1" s="265"/>
      <c r="N1" s="266" t="s">
        <v>17</v>
      </c>
      <c r="O1" s="266"/>
      <c r="P1" s="266"/>
      <c r="Q1" s="266"/>
      <c r="R1" s="266"/>
      <c r="S1" s="266"/>
      <c r="T1" s="262" t="s">
        <v>18</v>
      </c>
      <c r="U1" s="262"/>
      <c r="V1" s="262"/>
    </row>
    <row r="2" spans="1:33" ht="27" customHeight="1">
      <c r="A2" s="2" t="s">
        <v>19</v>
      </c>
      <c r="B2" s="2" t="s">
        <v>20</v>
      </c>
      <c r="C2" s="97" t="s">
        <v>21</v>
      </c>
      <c r="D2" s="97" t="s">
        <v>22</v>
      </c>
      <c r="E2" s="97" t="s">
        <v>23</v>
      </c>
      <c r="F2" s="3" t="s">
        <v>24</v>
      </c>
      <c r="G2" s="3" t="s">
        <v>25</v>
      </c>
      <c r="H2" s="3" t="s">
        <v>26</v>
      </c>
      <c r="I2" s="3" t="s">
        <v>27</v>
      </c>
      <c r="J2" s="3" t="s">
        <v>28</v>
      </c>
      <c r="K2" s="3" t="s">
        <v>29</v>
      </c>
      <c r="L2" s="3" t="s">
        <v>30</v>
      </c>
      <c r="M2" s="3" t="s">
        <v>31</v>
      </c>
      <c r="N2" s="3" t="s">
        <v>32</v>
      </c>
      <c r="O2" s="3" t="s">
        <v>33</v>
      </c>
      <c r="P2" s="3" t="s">
        <v>34</v>
      </c>
      <c r="Q2" s="3" t="s">
        <v>35</v>
      </c>
      <c r="R2" s="3" t="s">
        <v>36</v>
      </c>
      <c r="S2" s="3" t="s">
        <v>37</v>
      </c>
      <c r="T2" s="3" t="s">
        <v>38</v>
      </c>
      <c r="U2" s="3" t="s">
        <v>39</v>
      </c>
      <c r="V2" s="3" t="s">
        <v>40</v>
      </c>
      <c r="W2" s="3" t="s">
        <v>41</v>
      </c>
      <c r="X2" s="3" t="s">
        <v>42</v>
      </c>
      <c r="Y2" s="3" t="s">
        <v>43</v>
      </c>
      <c r="Z2" s="3" t="s">
        <v>44</v>
      </c>
      <c r="AA2" s="3" t="s">
        <v>45</v>
      </c>
      <c r="AB2" s="212" t="s">
        <v>46</v>
      </c>
      <c r="AC2" s="204" t="s">
        <v>47</v>
      </c>
      <c r="AD2" s="204" t="s">
        <v>48</v>
      </c>
      <c r="AE2" s="204" t="s">
        <v>49</v>
      </c>
      <c r="AF2" s="204" t="s">
        <v>50</v>
      </c>
      <c r="AG2" s="204" t="s">
        <v>51</v>
      </c>
    </row>
    <row r="3" spans="1:33" ht="165.75" customHeight="1">
      <c r="A3" s="263" t="s">
        <v>52</v>
      </c>
      <c r="B3" s="264" t="s">
        <v>53</v>
      </c>
      <c r="C3" s="180" t="s">
        <v>54</v>
      </c>
      <c r="D3" s="115"/>
      <c r="E3" s="115" t="s">
        <v>55</v>
      </c>
      <c r="F3" s="96" t="s">
        <v>56</v>
      </c>
      <c r="G3" s="116" t="s">
        <v>57</v>
      </c>
      <c r="H3" s="117">
        <v>3500</v>
      </c>
      <c r="I3" s="118" t="s">
        <v>58</v>
      </c>
      <c r="J3" s="139" t="s">
        <v>59</v>
      </c>
      <c r="K3" s="117">
        <v>3500</v>
      </c>
      <c r="L3" s="116">
        <v>750</v>
      </c>
      <c r="M3" s="120" t="s">
        <v>60</v>
      </c>
      <c r="N3" s="117">
        <v>3500</v>
      </c>
      <c r="O3" s="116">
        <v>250</v>
      </c>
      <c r="P3" s="120" t="s">
        <v>61</v>
      </c>
      <c r="Q3" s="117">
        <v>3500</v>
      </c>
      <c r="R3" s="116" t="s">
        <v>62</v>
      </c>
      <c r="S3" s="120" t="s">
        <v>63</v>
      </c>
      <c r="T3" s="117">
        <v>3500</v>
      </c>
      <c r="U3" s="116">
        <v>1056</v>
      </c>
      <c r="V3" s="120" t="s">
        <v>64</v>
      </c>
      <c r="W3" s="121">
        <f>SUM(H3,K3,N3,Q3,T3)</f>
        <v>17500</v>
      </c>
      <c r="X3" s="122">
        <f>SUM(L3,O3,400,U3)</f>
        <v>2456</v>
      </c>
      <c r="Y3" s="123">
        <v>16106</v>
      </c>
      <c r="Z3" s="124" t="s">
        <v>65</v>
      </c>
      <c r="AA3" s="124" t="s">
        <v>66</v>
      </c>
      <c r="AB3" s="134" t="s">
        <v>67</v>
      </c>
      <c r="AC3" s="143" t="s">
        <v>68</v>
      </c>
      <c r="AD3" s="209" t="s">
        <v>69</v>
      </c>
      <c r="AE3" s="143" t="s">
        <v>70</v>
      </c>
      <c r="AF3" s="143">
        <v>16675</v>
      </c>
      <c r="AG3" s="143">
        <f>16675-9117</f>
        <v>7558</v>
      </c>
    </row>
    <row r="4" spans="1:33" ht="72.75" customHeight="1">
      <c r="A4" s="263"/>
      <c r="B4" s="264"/>
      <c r="C4" s="180" t="s">
        <v>71</v>
      </c>
      <c r="D4" s="115"/>
      <c r="E4" s="115" t="s">
        <v>72</v>
      </c>
      <c r="F4" s="96" t="s">
        <v>56</v>
      </c>
      <c r="G4" s="116">
        <v>5000</v>
      </c>
      <c r="H4" s="117">
        <v>600</v>
      </c>
      <c r="I4" s="118">
        <v>0</v>
      </c>
      <c r="J4" s="139" t="s">
        <v>73</v>
      </c>
      <c r="K4" s="117">
        <v>600</v>
      </c>
      <c r="L4" s="116">
        <v>100</v>
      </c>
      <c r="M4" s="120" t="s">
        <v>74</v>
      </c>
      <c r="N4" s="117">
        <v>600</v>
      </c>
      <c r="O4" s="116">
        <v>68</v>
      </c>
      <c r="P4" s="120" t="s">
        <v>75</v>
      </c>
      <c r="Q4" s="117">
        <v>600</v>
      </c>
      <c r="R4" s="116" t="s">
        <v>76</v>
      </c>
      <c r="S4" s="120" t="s">
        <v>77</v>
      </c>
      <c r="T4" s="117">
        <v>600</v>
      </c>
      <c r="U4" s="116">
        <v>897</v>
      </c>
      <c r="V4" s="120" t="s">
        <v>78</v>
      </c>
      <c r="W4" s="121">
        <f t="shared" ref="W4:W5" si="0">SUM(H4,K4,N4,Q4,T4)</f>
        <v>3000</v>
      </c>
      <c r="X4" s="122">
        <f>SUM(L4,O4,100,U4)</f>
        <v>1165</v>
      </c>
      <c r="Y4" s="124" t="s">
        <v>79</v>
      </c>
      <c r="Z4" s="124" t="s">
        <v>80</v>
      </c>
      <c r="AA4" s="124" t="s">
        <v>81</v>
      </c>
      <c r="AB4" s="134" t="s">
        <v>82</v>
      </c>
      <c r="AC4" s="143">
        <v>160</v>
      </c>
      <c r="AD4" s="143" t="s">
        <v>70</v>
      </c>
      <c r="AE4" s="143" t="s">
        <v>70</v>
      </c>
      <c r="AF4" s="143">
        <v>1657</v>
      </c>
      <c r="AG4" s="143">
        <f>1657-1412</f>
        <v>245</v>
      </c>
    </row>
    <row r="5" spans="1:33" ht="87.75" customHeight="1">
      <c r="A5" s="263"/>
      <c r="B5" s="263"/>
      <c r="C5" s="125" t="s">
        <v>83</v>
      </c>
      <c r="D5" s="126"/>
      <c r="E5" s="126"/>
      <c r="F5" s="4" t="s">
        <v>84</v>
      </c>
      <c r="G5" s="116">
        <v>18</v>
      </c>
      <c r="H5" s="117">
        <v>5</v>
      </c>
      <c r="I5" s="116">
        <v>0</v>
      </c>
      <c r="J5" s="120">
        <v>0</v>
      </c>
      <c r="K5" s="117">
        <v>5</v>
      </c>
      <c r="L5" s="116" t="s">
        <v>85</v>
      </c>
      <c r="M5" s="120" t="s">
        <v>85</v>
      </c>
      <c r="N5" s="117">
        <v>5</v>
      </c>
      <c r="O5" s="116" t="s">
        <v>85</v>
      </c>
      <c r="P5" s="142" t="s">
        <v>86</v>
      </c>
      <c r="Q5" s="117">
        <v>5</v>
      </c>
      <c r="R5" s="116" t="s">
        <v>87</v>
      </c>
      <c r="S5" s="120" t="s">
        <v>88</v>
      </c>
      <c r="T5" s="117">
        <v>5</v>
      </c>
      <c r="U5" s="116">
        <v>0</v>
      </c>
      <c r="V5" s="117">
        <v>0</v>
      </c>
      <c r="W5" s="127">
        <f t="shared" si="0"/>
        <v>25</v>
      </c>
      <c r="X5" s="122">
        <f>SUM(3,3,5)</f>
        <v>11</v>
      </c>
      <c r="Y5" s="129">
        <v>18</v>
      </c>
      <c r="Z5" s="124" t="s">
        <v>89</v>
      </c>
      <c r="AA5" s="124" t="s">
        <v>90</v>
      </c>
      <c r="AB5" s="134">
        <v>5</v>
      </c>
      <c r="AC5" s="143" t="s">
        <v>91</v>
      </c>
      <c r="AD5" s="143" t="s">
        <v>92</v>
      </c>
      <c r="AE5" s="210" t="s">
        <v>93</v>
      </c>
      <c r="AF5" s="143">
        <v>22</v>
      </c>
      <c r="AG5" s="143">
        <f>22-5</f>
        <v>17</v>
      </c>
    </row>
    <row r="6" spans="1:33" ht="145.5" customHeight="1">
      <c r="A6" s="263"/>
      <c r="B6" s="263"/>
      <c r="C6" s="124" t="s">
        <v>94</v>
      </c>
      <c r="D6" s="124"/>
      <c r="E6" s="124" t="s">
        <v>95</v>
      </c>
      <c r="F6" s="6" t="s">
        <v>96</v>
      </c>
      <c r="G6" s="116">
        <v>6</v>
      </c>
      <c r="H6" s="117">
        <v>3500</v>
      </c>
      <c r="I6" s="116" t="s">
        <v>97</v>
      </c>
      <c r="J6" s="120" t="s">
        <v>98</v>
      </c>
      <c r="K6" s="117">
        <v>3500</v>
      </c>
      <c r="L6" s="116" t="s">
        <v>99</v>
      </c>
      <c r="M6" s="120" t="s">
        <v>100</v>
      </c>
      <c r="N6" s="117">
        <v>3500</v>
      </c>
      <c r="O6" s="116" t="s">
        <v>101</v>
      </c>
      <c r="P6" s="120" t="s">
        <v>102</v>
      </c>
      <c r="Q6" s="117">
        <v>3500</v>
      </c>
      <c r="R6" s="116">
        <v>0</v>
      </c>
      <c r="S6" s="117">
        <v>0</v>
      </c>
      <c r="T6" s="117">
        <v>3500</v>
      </c>
      <c r="U6" s="116" t="s">
        <v>103</v>
      </c>
      <c r="V6" s="120" t="s">
        <v>104</v>
      </c>
      <c r="W6" s="121">
        <f>SUM(H6,K6,N6,Q6,T6)</f>
        <v>17500</v>
      </c>
      <c r="X6" s="122">
        <f>SUM(44,100,100,1056)</f>
        <v>1300</v>
      </c>
      <c r="Y6" s="124" t="s">
        <v>105</v>
      </c>
      <c r="Z6" s="124" t="s">
        <v>106</v>
      </c>
      <c r="AA6" s="124" t="s">
        <v>107</v>
      </c>
      <c r="AB6" s="134">
        <v>0</v>
      </c>
      <c r="AC6" s="143" t="s">
        <v>108</v>
      </c>
      <c r="AD6" s="143" t="s">
        <v>109</v>
      </c>
      <c r="AE6" s="143" t="s">
        <v>110</v>
      </c>
      <c r="AF6" s="143" t="s">
        <v>111</v>
      </c>
      <c r="AG6" s="143" t="s">
        <v>112</v>
      </c>
    </row>
    <row r="7" spans="1:33" ht="78.95" customHeight="1">
      <c r="A7" s="263"/>
      <c r="B7" s="263"/>
      <c r="C7" s="124" t="s">
        <v>113</v>
      </c>
      <c r="D7" s="124"/>
      <c r="E7" s="124"/>
      <c r="F7" s="7" t="s">
        <v>114</v>
      </c>
      <c r="G7" s="116">
        <v>4</v>
      </c>
      <c r="H7" s="117" t="s">
        <v>115</v>
      </c>
      <c r="I7" s="116" t="s">
        <v>116</v>
      </c>
      <c r="J7" s="120" t="s">
        <v>117</v>
      </c>
      <c r="K7" s="117" t="s">
        <v>115</v>
      </c>
      <c r="L7" s="116">
        <v>0</v>
      </c>
      <c r="M7" s="117">
        <v>0</v>
      </c>
      <c r="N7" s="117" t="s">
        <v>115</v>
      </c>
      <c r="O7" s="128" t="s">
        <v>118</v>
      </c>
      <c r="P7" s="120" t="s">
        <v>119</v>
      </c>
      <c r="Q7" s="117" t="s">
        <v>115</v>
      </c>
      <c r="R7" s="116" t="s">
        <v>120</v>
      </c>
      <c r="S7" s="120" t="s">
        <v>117</v>
      </c>
      <c r="T7" s="117" t="s">
        <v>115</v>
      </c>
      <c r="U7" s="128" t="s">
        <v>121</v>
      </c>
      <c r="V7" s="120" t="s">
        <v>122</v>
      </c>
      <c r="W7" s="121">
        <v>5</v>
      </c>
      <c r="X7" s="129">
        <v>4</v>
      </c>
      <c r="Y7" s="141" t="s">
        <v>123</v>
      </c>
      <c r="Z7" s="124" t="s">
        <v>124</v>
      </c>
      <c r="AA7" s="124"/>
      <c r="AB7" s="134" t="s">
        <v>125</v>
      </c>
      <c r="AC7" s="143" t="s">
        <v>126</v>
      </c>
      <c r="AD7" s="143" t="s">
        <v>70</v>
      </c>
      <c r="AE7" s="143" t="s">
        <v>70</v>
      </c>
      <c r="AF7" s="143" t="s">
        <v>127</v>
      </c>
      <c r="AG7" s="143">
        <f>7-1</f>
        <v>6</v>
      </c>
    </row>
    <row r="8" spans="1:33" ht="65.099999999999994" customHeight="1">
      <c r="A8" s="263"/>
      <c r="B8" s="263"/>
      <c r="C8" s="179" t="s">
        <v>128</v>
      </c>
      <c r="D8" s="124"/>
      <c r="E8" s="124" t="s">
        <v>129</v>
      </c>
      <c r="F8" s="6" t="s">
        <v>130</v>
      </c>
      <c r="G8" s="130">
        <v>4000</v>
      </c>
      <c r="H8" s="117" t="s">
        <v>131</v>
      </c>
      <c r="I8" s="116" t="s">
        <v>132</v>
      </c>
      <c r="J8" s="120" t="s">
        <v>133</v>
      </c>
      <c r="K8" s="117" t="s">
        <v>131</v>
      </c>
      <c r="L8" s="116" t="s">
        <v>134</v>
      </c>
      <c r="M8" s="140" t="s">
        <v>134</v>
      </c>
      <c r="N8" s="117" t="s">
        <v>131</v>
      </c>
      <c r="O8" s="116" t="s">
        <v>134</v>
      </c>
      <c r="P8" s="120" t="s">
        <v>135</v>
      </c>
      <c r="Q8" s="117" t="s">
        <v>131</v>
      </c>
      <c r="R8" s="116" t="s">
        <v>136</v>
      </c>
      <c r="S8" s="120" t="s">
        <v>137</v>
      </c>
      <c r="T8" s="131" t="s">
        <v>131</v>
      </c>
      <c r="U8" s="116" t="s">
        <v>138</v>
      </c>
      <c r="V8" s="120" t="s">
        <v>139</v>
      </c>
      <c r="W8" s="132">
        <f>800*5</f>
        <v>4000</v>
      </c>
      <c r="X8" s="122">
        <f>SUM(75,50,50,90,60)</f>
        <v>325</v>
      </c>
      <c r="Y8" s="124" t="s">
        <v>140</v>
      </c>
      <c r="Z8" s="124" t="s">
        <v>141</v>
      </c>
      <c r="AA8" s="124" t="s">
        <v>142</v>
      </c>
      <c r="AB8" s="134" t="s">
        <v>143</v>
      </c>
      <c r="AC8" s="143" t="s">
        <v>144</v>
      </c>
      <c r="AD8" s="143" t="s">
        <v>70</v>
      </c>
      <c r="AE8" s="143" t="s">
        <v>70</v>
      </c>
      <c r="AF8" s="143" t="s">
        <v>145</v>
      </c>
      <c r="AG8" s="143">
        <f>493-200</f>
        <v>293</v>
      </c>
    </row>
    <row r="9" spans="1:33" ht="62.45" customHeight="1">
      <c r="A9" s="263"/>
      <c r="B9" s="263"/>
      <c r="C9" s="133" t="s">
        <v>146</v>
      </c>
      <c r="D9" s="133"/>
      <c r="E9" s="124"/>
      <c r="F9" s="7" t="s">
        <v>114</v>
      </c>
      <c r="G9" s="116">
        <v>4</v>
      </c>
      <c r="H9" s="117" t="s">
        <v>147</v>
      </c>
      <c r="I9" s="118" t="s">
        <v>148</v>
      </c>
      <c r="J9" s="119" t="s">
        <v>149</v>
      </c>
      <c r="K9" s="117" t="s">
        <v>147</v>
      </c>
      <c r="L9" s="116">
        <v>0</v>
      </c>
      <c r="M9" s="117">
        <v>0</v>
      </c>
      <c r="N9" s="117" t="s">
        <v>147</v>
      </c>
      <c r="O9" s="116" t="s">
        <v>150</v>
      </c>
      <c r="P9" s="120" t="s">
        <v>151</v>
      </c>
      <c r="Q9" s="117" t="s">
        <v>147</v>
      </c>
      <c r="R9" s="116" t="s">
        <v>152</v>
      </c>
      <c r="S9" s="120">
        <v>0</v>
      </c>
      <c r="T9" s="117" t="s">
        <v>147</v>
      </c>
      <c r="U9" s="116" t="s">
        <v>153</v>
      </c>
      <c r="V9" s="120" t="s">
        <v>154</v>
      </c>
      <c r="W9" s="121">
        <v>5</v>
      </c>
      <c r="X9" s="129">
        <f>SUM(117,14,20)</f>
        <v>151</v>
      </c>
      <c r="Y9" s="124" t="s">
        <v>155</v>
      </c>
      <c r="Z9" s="124" t="s">
        <v>156</v>
      </c>
      <c r="AA9" s="124" t="s">
        <v>157</v>
      </c>
      <c r="AB9" s="213" t="s">
        <v>158</v>
      </c>
      <c r="AC9" s="210" t="s">
        <v>159</v>
      </c>
      <c r="AD9" s="143" t="s">
        <v>160</v>
      </c>
      <c r="AE9" s="143" t="s">
        <v>70</v>
      </c>
      <c r="AF9" s="143" t="s">
        <v>161</v>
      </c>
      <c r="AG9" s="143">
        <f>309-20</f>
        <v>289</v>
      </c>
    </row>
    <row r="10" spans="1:33" ht="87.75" customHeight="1">
      <c r="A10" s="263"/>
      <c r="B10" s="263"/>
      <c r="C10" s="179" t="s">
        <v>162</v>
      </c>
      <c r="D10" s="124"/>
      <c r="E10" s="124"/>
      <c r="F10" s="7" t="s">
        <v>163</v>
      </c>
      <c r="G10" s="130">
        <v>200</v>
      </c>
      <c r="H10" s="117" t="s">
        <v>164</v>
      </c>
      <c r="I10" s="116" t="s">
        <v>165</v>
      </c>
      <c r="J10" s="120" t="s">
        <v>166</v>
      </c>
      <c r="K10" s="117" t="s">
        <v>164</v>
      </c>
      <c r="L10" s="116">
        <v>0</v>
      </c>
      <c r="M10" s="117">
        <v>0</v>
      </c>
      <c r="N10" s="117" t="s">
        <v>164</v>
      </c>
      <c r="O10" s="116" t="s">
        <v>167</v>
      </c>
      <c r="P10" s="120" t="s">
        <v>168</v>
      </c>
      <c r="Q10" s="117" t="s">
        <v>164</v>
      </c>
      <c r="R10" s="116" t="s">
        <v>169</v>
      </c>
      <c r="S10" s="120" t="s">
        <v>170</v>
      </c>
      <c r="T10" s="117" t="s">
        <v>164</v>
      </c>
      <c r="U10" s="116">
        <v>0</v>
      </c>
      <c r="V10" s="117">
        <v>0</v>
      </c>
      <c r="W10" s="121">
        <v>500</v>
      </c>
      <c r="X10" s="122">
        <f>SUM(10,20,43,0)</f>
        <v>73</v>
      </c>
      <c r="Y10" s="124" t="s">
        <v>171</v>
      </c>
      <c r="Z10" s="124" t="s">
        <v>172</v>
      </c>
      <c r="AA10" s="134" t="s">
        <v>173</v>
      </c>
      <c r="AB10" s="214">
        <v>0</v>
      </c>
      <c r="AC10" s="143" t="s">
        <v>70</v>
      </c>
      <c r="AD10" s="143" t="s">
        <v>174</v>
      </c>
      <c r="AE10" s="210" t="s">
        <v>175</v>
      </c>
      <c r="AF10" s="143" t="s">
        <v>176</v>
      </c>
      <c r="AG10" s="143">
        <v>119</v>
      </c>
    </row>
    <row r="11" spans="1:33" ht="73.5" customHeight="1">
      <c r="A11" s="263"/>
      <c r="B11" s="263" t="s">
        <v>177</v>
      </c>
      <c r="C11" s="124" t="s">
        <v>178</v>
      </c>
      <c r="D11" s="124"/>
      <c r="E11" s="124" t="s">
        <v>179</v>
      </c>
      <c r="F11" s="8" t="s">
        <v>180</v>
      </c>
      <c r="G11" s="118">
        <v>6</v>
      </c>
      <c r="H11" s="117" t="s">
        <v>181</v>
      </c>
      <c r="I11" s="116" t="s">
        <v>181</v>
      </c>
      <c r="J11" s="120" t="s">
        <v>181</v>
      </c>
      <c r="K11" s="117" t="s">
        <v>181</v>
      </c>
      <c r="L11" s="116" t="s">
        <v>181</v>
      </c>
      <c r="M11" s="120" t="s">
        <v>181</v>
      </c>
      <c r="N11" s="117" t="s">
        <v>181</v>
      </c>
      <c r="O11" s="116" t="s">
        <v>181</v>
      </c>
      <c r="P11" s="120" t="s">
        <v>181</v>
      </c>
      <c r="Q11" s="117" t="s">
        <v>181</v>
      </c>
      <c r="R11" s="116" t="s">
        <v>181</v>
      </c>
      <c r="S11" s="120" t="s">
        <v>181</v>
      </c>
      <c r="T11" s="117" t="s">
        <v>181</v>
      </c>
      <c r="U11" s="116" t="s">
        <v>181</v>
      </c>
      <c r="V11" s="120" t="s">
        <v>181</v>
      </c>
      <c r="W11" s="121" t="s">
        <v>181</v>
      </c>
      <c r="X11" s="122"/>
      <c r="Y11" s="122" t="s">
        <v>181</v>
      </c>
      <c r="Z11" s="135" t="s">
        <v>182</v>
      </c>
      <c r="AA11" s="134"/>
      <c r="AB11" s="214" t="s">
        <v>183</v>
      </c>
      <c r="AC11" s="143" t="s">
        <v>184</v>
      </c>
      <c r="AD11" s="143" t="s">
        <v>70</v>
      </c>
      <c r="AE11" s="143" t="s">
        <v>70</v>
      </c>
      <c r="AF11" s="143" t="s">
        <v>185</v>
      </c>
      <c r="AG11" s="143" t="s">
        <v>184</v>
      </c>
    </row>
    <row r="12" spans="1:33" ht="80.25" customHeight="1">
      <c r="A12" s="263"/>
      <c r="B12" s="263"/>
      <c r="C12" s="179" t="s">
        <v>186</v>
      </c>
      <c r="D12" s="126"/>
      <c r="E12" s="126"/>
      <c r="F12" s="8" t="s">
        <v>187</v>
      </c>
      <c r="G12" s="116">
        <v>10</v>
      </c>
      <c r="H12" s="117" t="s">
        <v>181</v>
      </c>
      <c r="I12" s="116" t="s">
        <v>181</v>
      </c>
      <c r="J12" s="120" t="s">
        <v>181</v>
      </c>
      <c r="K12" s="117" t="s">
        <v>181</v>
      </c>
      <c r="L12" s="116" t="s">
        <v>181</v>
      </c>
      <c r="M12" s="120" t="s">
        <v>181</v>
      </c>
      <c r="N12" s="117" t="s">
        <v>181</v>
      </c>
      <c r="O12" s="116" t="s">
        <v>181</v>
      </c>
      <c r="P12" s="120" t="s">
        <v>181</v>
      </c>
      <c r="Q12" s="117" t="s">
        <v>181</v>
      </c>
      <c r="R12" s="116" t="s">
        <v>181</v>
      </c>
      <c r="S12" s="120" t="s">
        <v>181</v>
      </c>
      <c r="T12" s="117" t="s">
        <v>181</v>
      </c>
      <c r="U12" s="116" t="s">
        <v>181</v>
      </c>
      <c r="V12" s="120" t="s">
        <v>181</v>
      </c>
      <c r="W12" s="121" t="s">
        <v>181</v>
      </c>
      <c r="X12" s="122"/>
      <c r="Y12" s="122" t="s">
        <v>181</v>
      </c>
      <c r="Z12" s="135" t="s">
        <v>188</v>
      </c>
      <c r="AA12" s="124"/>
      <c r="AB12" s="215" t="s">
        <v>189</v>
      </c>
      <c r="AC12" s="143" t="s">
        <v>184</v>
      </c>
      <c r="AD12" s="143" t="s">
        <v>190</v>
      </c>
      <c r="AE12" s="143" t="s">
        <v>191</v>
      </c>
      <c r="AF12" s="143">
        <v>4</v>
      </c>
      <c r="AG12" s="143">
        <v>4</v>
      </c>
    </row>
    <row r="13" spans="1:33" ht="33.6" customHeight="1">
      <c r="A13" s="263"/>
      <c r="B13" s="263"/>
      <c r="C13" s="124" t="s">
        <v>192</v>
      </c>
      <c r="D13" s="124"/>
      <c r="E13" s="124" t="s">
        <v>193</v>
      </c>
      <c r="F13" s="9" t="s">
        <v>194</v>
      </c>
      <c r="G13" s="116">
        <v>1500</v>
      </c>
      <c r="H13" s="117" t="s">
        <v>181</v>
      </c>
      <c r="I13" s="116" t="s">
        <v>181</v>
      </c>
      <c r="J13" s="120" t="s">
        <v>181</v>
      </c>
      <c r="K13" s="117" t="s">
        <v>181</v>
      </c>
      <c r="L13" s="116" t="s">
        <v>181</v>
      </c>
      <c r="M13" s="120" t="s">
        <v>181</v>
      </c>
      <c r="N13" s="117" t="s">
        <v>181</v>
      </c>
      <c r="O13" s="116" t="s">
        <v>181</v>
      </c>
      <c r="P13" s="120" t="s">
        <v>181</v>
      </c>
      <c r="Q13" s="117" t="s">
        <v>181</v>
      </c>
      <c r="R13" s="116" t="s">
        <v>181</v>
      </c>
      <c r="S13" s="120" t="s">
        <v>181</v>
      </c>
      <c r="T13" s="117" t="s">
        <v>181</v>
      </c>
      <c r="U13" s="116" t="s">
        <v>181</v>
      </c>
      <c r="V13" s="120" t="s">
        <v>181</v>
      </c>
      <c r="W13" s="121" t="s">
        <v>181</v>
      </c>
      <c r="X13" s="122"/>
      <c r="Y13" s="122" t="s">
        <v>181</v>
      </c>
      <c r="Z13" s="124"/>
      <c r="AA13" s="124"/>
      <c r="AB13" s="134"/>
      <c r="AC13" s="143" t="s">
        <v>184</v>
      </c>
      <c r="AD13" s="143" t="s">
        <v>70</v>
      </c>
      <c r="AE13" s="143" t="s">
        <v>70</v>
      </c>
      <c r="AF13" s="143" t="s">
        <v>70</v>
      </c>
      <c r="AG13" s="143" t="s">
        <v>195</v>
      </c>
    </row>
    <row r="14" spans="1:33" ht="67.5" customHeight="1">
      <c r="A14" s="263"/>
      <c r="B14" s="263"/>
      <c r="C14" s="124" t="s">
        <v>196</v>
      </c>
      <c r="D14" s="124"/>
      <c r="E14" s="124" t="s">
        <v>197</v>
      </c>
      <c r="F14" s="8" t="s">
        <v>198</v>
      </c>
      <c r="G14" s="118">
        <v>5</v>
      </c>
      <c r="H14" s="117" t="s">
        <v>181</v>
      </c>
      <c r="I14" s="116" t="s">
        <v>181</v>
      </c>
      <c r="J14" s="120" t="s">
        <v>181</v>
      </c>
      <c r="K14" s="117" t="s">
        <v>181</v>
      </c>
      <c r="L14" s="116" t="s">
        <v>181</v>
      </c>
      <c r="M14" s="120" t="s">
        <v>181</v>
      </c>
      <c r="N14" s="117" t="s">
        <v>181</v>
      </c>
      <c r="O14" s="116" t="s">
        <v>181</v>
      </c>
      <c r="P14" s="120" t="s">
        <v>181</v>
      </c>
      <c r="Q14" s="117" t="s">
        <v>181</v>
      </c>
      <c r="R14" s="116" t="s">
        <v>181</v>
      </c>
      <c r="S14" s="120" t="s">
        <v>181</v>
      </c>
      <c r="T14" s="117" t="s">
        <v>181</v>
      </c>
      <c r="U14" s="116" t="s">
        <v>181</v>
      </c>
      <c r="V14" s="120" t="s">
        <v>181</v>
      </c>
      <c r="W14" s="121" t="s">
        <v>181</v>
      </c>
      <c r="X14" s="122"/>
      <c r="Y14" s="122" t="s">
        <v>181</v>
      </c>
      <c r="Z14" s="135" t="s">
        <v>199</v>
      </c>
      <c r="AA14" s="124"/>
      <c r="AB14" s="134" t="s">
        <v>200</v>
      </c>
      <c r="AC14" s="143" t="s">
        <v>184</v>
      </c>
      <c r="AD14" s="143" t="s">
        <v>70</v>
      </c>
      <c r="AE14" s="143" t="s">
        <v>70</v>
      </c>
      <c r="AF14" s="143" t="s">
        <v>184</v>
      </c>
      <c r="AG14" s="143" t="s">
        <v>184</v>
      </c>
    </row>
    <row r="15" spans="1:33" ht="108.75" customHeight="1">
      <c r="A15" s="263"/>
      <c r="B15" s="263"/>
      <c r="C15" s="179" t="s">
        <v>201</v>
      </c>
      <c r="D15" s="124"/>
      <c r="E15" s="124" t="s">
        <v>202</v>
      </c>
      <c r="F15" s="7" t="s">
        <v>203</v>
      </c>
      <c r="G15" s="116">
        <v>10</v>
      </c>
      <c r="H15" s="117" t="s">
        <v>181</v>
      </c>
      <c r="I15" s="116" t="s">
        <v>181</v>
      </c>
      <c r="J15" s="120" t="s">
        <v>181</v>
      </c>
      <c r="K15" s="117" t="s">
        <v>181</v>
      </c>
      <c r="L15" s="116" t="s">
        <v>181</v>
      </c>
      <c r="M15" s="120" t="s">
        <v>181</v>
      </c>
      <c r="N15" s="117" t="s">
        <v>181</v>
      </c>
      <c r="O15" s="116" t="s">
        <v>181</v>
      </c>
      <c r="P15" s="120" t="s">
        <v>181</v>
      </c>
      <c r="Q15" s="117" t="s">
        <v>181</v>
      </c>
      <c r="R15" s="116" t="s">
        <v>181</v>
      </c>
      <c r="S15" s="120" t="s">
        <v>181</v>
      </c>
      <c r="T15" s="117" t="s">
        <v>181</v>
      </c>
      <c r="U15" s="116" t="s">
        <v>181</v>
      </c>
      <c r="V15" s="120" t="s">
        <v>181</v>
      </c>
      <c r="W15" s="121" t="s">
        <v>181</v>
      </c>
      <c r="X15" s="122"/>
      <c r="Y15" s="122" t="s">
        <v>181</v>
      </c>
      <c r="Z15" s="135" t="s">
        <v>204</v>
      </c>
      <c r="AA15" s="136" t="s">
        <v>205</v>
      </c>
      <c r="AB15" s="134" t="s">
        <v>206</v>
      </c>
      <c r="AC15" s="143" t="s">
        <v>207</v>
      </c>
      <c r="AD15" s="143" t="s">
        <v>70</v>
      </c>
      <c r="AE15" s="143" t="s">
        <v>70</v>
      </c>
      <c r="AF15" s="143">
        <v>10</v>
      </c>
      <c r="AG15" s="143">
        <v>10</v>
      </c>
    </row>
    <row r="16" spans="1:33" ht="61.5" customHeight="1">
      <c r="A16" s="263"/>
      <c r="B16" s="263" t="s">
        <v>208</v>
      </c>
      <c r="C16" s="124" t="s">
        <v>209</v>
      </c>
      <c r="D16" s="124"/>
      <c r="E16" s="124" t="s">
        <v>210</v>
      </c>
      <c r="F16" s="6" t="s">
        <v>211</v>
      </c>
      <c r="G16" s="116">
        <v>12</v>
      </c>
      <c r="H16" s="117" t="s">
        <v>212</v>
      </c>
      <c r="I16" s="138" t="s">
        <v>213</v>
      </c>
      <c r="J16" s="139" t="s">
        <v>213</v>
      </c>
      <c r="K16" s="117" t="s">
        <v>212</v>
      </c>
      <c r="L16" s="116" t="s">
        <v>214</v>
      </c>
      <c r="M16" s="120" t="s">
        <v>214</v>
      </c>
      <c r="N16" s="117" t="s">
        <v>212</v>
      </c>
      <c r="O16" s="116" t="s">
        <v>215</v>
      </c>
      <c r="P16" s="120" t="s">
        <v>216</v>
      </c>
      <c r="Q16" s="117" t="s">
        <v>212</v>
      </c>
      <c r="R16" s="116" t="s">
        <v>217</v>
      </c>
      <c r="S16" s="120" t="s">
        <v>218</v>
      </c>
      <c r="T16" s="117" t="s">
        <v>212</v>
      </c>
      <c r="U16" s="116">
        <v>0</v>
      </c>
      <c r="V16" s="117">
        <v>0</v>
      </c>
      <c r="W16" s="121">
        <v>25</v>
      </c>
      <c r="X16" s="122">
        <f>SUM(5,5,3,10)</f>
        <v>23</v>
      </c>
      <c r="Y16" s="124" t="s">
        <v>219</v>
      </c>
      <c r="Z16" s="124" t="s">
        <v>220</v>
      </c>
      <c r="AA16" s="124" t="s">
        <v>221</v>
      </c>
      <c r="AB16" s="134" t="s">
        <v>222</v>
      </c>
      <c r="AC16" s="143" t="s">
        <v>223</v>
      </c>
      <c r="AD16" s="143" t="s">
        <v>224</v>
      </c>
      <c r="AE16" s="143" t="s">
        <v>70</v>
      </c>
      <c r="AF16" s="209">
        <v>23</v>
      </c>
      <c r="AG16" s="143">
        <f>23-14</f>
        <v>9</v>
      </c>
    </row>
    <row r="17" spans="1:33" ht="98.25" customHeight="1">
      <c r="A17" s="263"/>
      <c r="B17" s="263"/>
      <c r="C17" s="124" t="s">
        <v>225</v>
      </c>
      <c r="D17" s="124"/>
      <c r="E17" s="124" t="s">
        <v>226</v>
      </c>
      <c r="F17" s="10" t="s">
        <v>227</v>
      </c>
      <c r="G17" s="116">
        <v>7</v>
      </c>
      <c r="H17" s="117">
        <v>5</v>
      </c>
      <c r="I17" s="138" t="s">
        <v>228</v>
      </c>
      <c r="J17" s="139" t="s">
        <v>228</v>
      </c>
      <c r="K17" s="117">
        <v>5</v>
      </c>
      <c r="L17" s="116" t="s">
        <v>229</v>
      </c>
      <c r="M17" s="120" t="s">
        <v>229</v>
      </c>
      <c r="N17" s="117">
        <v>5</v>
      </c>
      <c r="O17" s="128" t="s">
        <v>230</v>
      </c>
      <c r="P17" s="120" t="s">
        <v>231</v>
      </c>
      <c r="Q17" s="117">
        <v>5</v>
      </c>
      <c r="R17" s="116" t="s">
        <v>232</v>
      </c>
      <c r="S17" s="120" t="s">
        <v>233</v>
      </c>
      <c r="T17" s="117">
        <v>5</v>
      </c>
      <c r="U17" s="116">
        <v>0</v>
      </c>
      <c r="V17" s="117">
        <v>0</v>
      </c>
      <c r="W17" s="121">
        <f>SUM(H17:T17)</f>
        <v>25</v>
      </c>
      <c r="X17" s="122"/>
      <c r="Y17" s="124" t="s">
        <v>234</v>
      </c>
      <c r="Z17" s="124"/>
      <c r="AA17" s="124"/>
      <c r="AB17" s="134" t="s">
        <v>235</v>
      </c>
      <c r="AC17" s="143" t="s">
        <v>70</v>
      </c>
      <c r="AD17" s="143" t="s">
        <v>70</v>
      </c>
      <c r="AE17" s="143" t="s">
        <v>70</v>
      </c>
      <c r="AF17" s="143" t="s">
        <v>236</v>
      </c>
      <c r="AG17" s="143">
        <f>23-14</f>
        <v>9</v>
      </c>
    </row>
    <row r="18" spans="1:33" ht="114" customHeight="1">
      <c r="A18" s="263"/>
      <c r="B18" s="263"/>
      <c r="C18" s="124" t="s">
        <v>237</v>
      </c>
      <c r="D18" s="124"/>
      <c r="E18" s="124" t="s">
        <v>238</v>
      </c>
      <c r="F18" s="6" t="s">
        <v>239</v>
      </c>
      <c r="G18" s="116">
        <v>7</v>
      </c>
      <c r="H18" s="117" t="s">
        <v>181</v>
      </c>
      <c r="I18" s="116" t="s">
        <v>181</v>
      </c>
      <c r="J18" s="120" t="s">
        <v>181</v>
      </c>
      <c r="K18" s="117" t="s">
        <v>181</v>
      </c>
      <c r="L18" s="116" t="s">
        <v>181</v>
      </c>
      <c r="M18" s="120" t="s">
        <v>181</v>
      </c>
      <c r="N18" s="117" t="s">
        <v>181</v>
      </c>
      <c r="O18" s="116" t="s">
        <v>181</v>
      </c>
      <c r="P18" s="120" t="s">
        <v>181</v>
      </c>
      <c r="Q18" s="117" t="s">
        <v>181</v>
      </c>
      <c r="R18" s="116" t="s">
        <v>181</v>
      </c>
      <c r="S18" s="120" t="s">
        <v>181</v>
      </c>
      <c r="T18" s="117" t="s">
        <v>181</v>
      </c>
      <c r="U18" s="116" t="s">
        <v>181</v>
      </c>
      <c r="V18" s="120" t="s">
        <v>181</v>
      </c>
      <c r="W18" s="121" t="s">
        <v>181</v>
      </c>
      <c r="X18" s="122"/>
      <c r="Y18" s="122" t="s">
        <v>181</v>
      </c>
      <c r="Z18" s="124" t="s">
        <v>240</v>
      </c>
      <c r="AA18" s="124"/>
      <c r="AB18" s="134" t="s">
        <v>241</v>
      </c>
      <c r="AC18" s="143" t="s">
        <v>70</v>
      </c>
      <c r="AD18" s="143" t="s">
        <v>70</v>
      </c>
      <c r="AE18" s="143" t="s">
        <v>70</v>
      </c>
      <c r="AF18" s="143" t="s">
        <v>242</v>
      </c>
      <c r="AG18" s="143" t="s">
        <v>243</v>
      </c>
    </row>
    <row r="19" spans="1:33" ht="73.5" customHeight="1">
      <c r="A19" s="263" t="s">
        <v>244</v>
      </c>
      <c r="B19" s="263" t="s">
        <v>245</v>
      </c>
      <c r="C19" s="179" t="s">
        <v>246</v>
      </c>
      <c r="D19" s="124"/>
      <c r="E19" s="124" t="s">
        <v>247</v>
      </c>
      <c r="F19" s="11" t="s">
        <v>248</v>
      </c>
      <c r="G19" s="116">
        <v>15</v>
      </c>
      <c r="H19" s="117" t="s">
        <v>249</v>
      </c>
      <c r="I19" s="116">
        <v>0</v>
      </c>
      <c r="J19" s="120">
        <v>0</v>
      </c>
      <c r="K19" s="117" t="s">
        <v>249</v>
      </c>
      <c r="L19" s="116">
        <v>0</v>
      </c>
      <c r="M19" s="120">
        <v>0</v>
      </c>
      <c r="N19" s="117" t="s">
        <v>249</v>
      </c>
      <c r="O19" s="116">
        <v>0</v>
      </c>
      <c r="P19" s="120">
        <v>0</v>
      </c>
      <c r="Q19" s="117" t="s">
        <v>249</v>
      </c>
      <c r="R19" s="116">
        <v>0</v>
      </c>
      <c r="S19" s="120">
        <v>0</v>
      </c>
      <c r="T19" s="117" t="s">
        <v>249</v>
      </c>
      <c r="U19" s="116">
        <v>0</v>
      </c>
      <c r="V19" s="117">
        <v>0</v>
      </c>
      <c r="W19" s="121">
        <v>15</v>
      </c>
      <c r="X19" s="122">
        <v>0</v>
      </c>
      <c r="Y19" s="122">
        <v>0</v>
      </c>
      <c r="Z19" s="124"/>
      <c r="AA19" s="124"/>
      <c r="AB19" s="134"/>
      <c r="AC19" s="143" t="s">
        <v>70</v>
      </c>
      <c r="AD19" s="143" t="s">
        <v>250</v>
      </c>
      <c r="AE19" s="143" t="s">
        <v>70</v>
      </c>
      <c r="AF19" s="143"/>
      <c r="AG19" s="143"/>
    </row>
    <row r="20" spans="1:33" ht="82.5" customHeight="1">
      <c r="A20" s="263"/>
      <c r="B20" s="263"/>
      <c r="C20" s="179" t="s">
        <v>251</v>
      </c>
      <c r="D20" s="124"/>
      <c r="E20" s="124" t="s">
        <v>252</v>
      </c>
      <c r="F20" s="11" t="s">
        <v>253</v>
      </c>
      <c r="G20" s="116">
        <v>17</v>
      </c>
      <c r="H20" s="117" t="s">
        <v>254</v>
      </c>
      <c r="I20" s="116">
        <v>0</v>
      </c>
      <c r="J20" s="120">
        <v>0</v>
      </c>
      <c r="K20" s="117" t="s">
        <v>254</v>
      </c>
      <c r="L20" s="116">
        <v>0</v>
      </c>
      <c r="M20" s="120">
        <v>0</v>
      </c>
      <c r="N20" s="117" t="s">
        <v>254</v>
      </c>
      <c r="O20" s="118" t="s">
        <v>255</v>
      </c>
      <c r="P20" s="119" t="s">
        <v>256</v>
      </c>
      <c r="Q20" s="117" t="s">
        <v>254</v>
      </c>
      <c r="R20" s="116">
        <v>0</v>
      </c>
      <c r="S20" s="120">
        <v>0</v>
      </c>
      <c r="T20" s="117" t="s">
        <v>254</v>
      </c>
      <c r="U20" s="116">
        <v>0</v>
      </c>
      <c r="V20" s="117">
        <v>0</v>
      </c>
      <c r="W20" s="121">
        <v>25</v>
      </c>
      <c r="X20" s="122">
        <v>0</v>
      </c>
      <c r="Y20" s="124" t="s">
        <v>257</v>
      </c>
      <c r="Z20" s="124"/>
      <c r="AA20" s="124"/>
      <c r="AB20" s="134"/>
      <c r="AC20" s="143" t="s">
        <v>258</v>
      </c>
      <c r="AD20" s="143" t="s">
        <v>259</v>
      </c>
      <c r="AE20" s="143" t="s">
        <v>260</v>
      </c>
      <c r="AF20" s="143">
        <v>21</v>
      </c>
      <c r="AG20" s="143">
        <v>21</v>
      </c>
    </row>
    <row r="21" spans="1:33" ht="90" customHeight="1">
      <c r="A21" s="263"/>
      <c r="B21" s="263"/>
      <c r="C21" s="124" t="s">
        <v>261</v>
      </c>
      <c r="D21" s="124"/>
      <c r="E21" s="124" t="s">
        <v>262</v>
      </c>
      <c r="F21" s="6" t="s">
        <v>263</v>
      </c>
      <c r="G21" s="118">
        <v>2500</v>
      </c>
      <c r="H21" s="117">
        <v>250</v>
      </c>
      <c r="I21" s="116" t="s">
        <v>264</v>
      </c>
      <c r="J21" s="120" t="s">
        <v>265</v>
      </c>
      <c r="K21" s="117">
        <v>250</v>
      </c>
      <c r="L21" s="138">
        <v>125</v>
      </c>
      <c r="M21" s="139">
        <v>125</v>
      </c>
      <c r="N21" s="117">
        <v>250</v>
      </c>
      <c r="O21" s="118">
        <v>229</v>
      </c>
      <c r="P21" s="119" t="s">
        <v>266</v>
      </c>
      <c r="Q21" s="117">
        <v>250</v>
      </c>
      <c r="R21" s="116">
        <v>250</v>
      </c>
      <c r="S21" s="120" t="s">
        <v>267</v>
      </c>
      <c r="T21" s="117">
        <v>250</v>
      </c>
      <c r="U21" s="118">
        <v>123</v>
      </c>
      <c r="V21" s="142" t="s">
        <v>268</v>
      </c>
      <c r="W21" s="121">
        <f>SUM(H21,K21,N21,Q21,T21)</f>
        <v>1250</v>
      </c>
      <c r="X21" s="122">
        <f>SUM(249,L21,O21,R21,U21)</f>
        <v>976</v>
      </c>
      <c r="Y21" s="122">
        <v>976</v>
      </c>
      <c r="Z21" s="136" t="s">
        <v>269</v>
      </c>
      <c r="AA21" s="137" t="s">
        <v>270</v>
      </c>
      <c r="AB21" s="216" t="s">
        <v>271</v>
      </c>
      <c r="AC21" s="143" t="s">
        <v>243</v>
      </c>
      <c r="AD21" s="143" t="s">
        <v>70</v>
      </c>
      <c r="AE21" s="211" t="s">
        <v>272</v>
      </c>
      <c r="AF21" s="143">
        <v>976</v>
      </c>
      <c r="AG21" s="143">
        <f>976-371</f>
        <v>605</v>
      </c>
    </row>
    <row r="22" spans="1:33" ht="34.5" customHeight="1">
      <c r="A22" s="263"/>
      <c r="B22" s="263"/>
      <c r="C22" s="124" t="s">
        <v>273</v>
      </c>
      <c r="D22" s="124"/>
      <c r="E22" s="124"/>
      <c r="F22" s="4" t="s">
        <v>274</v>
      </c>
      <c r="G22" s="116">
        <v>6</v>
      </c>
      <c r="H22" s="117" t="s">
        <v>181</v>
      </c>
      <c r="I22" s="116" t="s">
        <v>181</v>
      </c>
      <c r="J22" s="120" t="s">
        <v>181</v>
      </c>
      <c r="K22" s="117" t="s">
        <v>181</v>
      </c>
      <c r="L22" s="116" t="s">
        <v>181</v>
      </c>
      <c r="M22" s="120" t="s">
        <v>181</v>
      </c>
      <c r="N22" s="117" t="s">
        <v>181</v>
      </c>
      <c r="O22" s="116" t="s">
        <v>181</v>
      </c>
      <c r="P22" s="120" t="s">
        <v>181</v>
      </c>
      <c r="Q22" s="117" t="s">
        <v>181</v>
      </c>
      <c r="R22" s="116" t="s">
        <v>181</v>
      </c>
      <c r="S22" s="120" t="s">
        <v>181</v>
      </c>
      <c r="T22" s="117" t="s">
        <v>181</v>
      </c>
      <c r="U22" s="116" t="s">
        <v>181</v>
      </c>
      <c r="V22" s="120" t="s">
        <v>181</v>
      </c>
      <c r="W22" s="121" t="s">
        <v>181</v>
      </c>
      <c r="X22" s="122"/>
      <c r="Y22" s="122" t="s">
        <v>181</v>
      </c>
      <c r="Z22" s="124"/>
      <c r="AA22" s="124"/>
      <c r="AB22" s="134"/>
      <c r="AC22" s="143" t="s">
        <v>243</v>
      </c>
      <c r="AD22" s="143" t="s">
        <v>70</v>
      </c>
      <c r="AE22" s="143" t="s">
        <v>70</v>
      </c>
      <c r="AF22" s="143" t="s">
        <v>70</v>
      </c>
      <c r="AG22" s="143" t="s">
        <v>275</v>
      </c>
    </row>
    <row r="23" spans="1:33" ht="33.950000000000003" customHeight="1">
      <c r="A23" s="263"/>
      <c r="B23" s="263" t="s">
        <v>276</v>
      </c>
      <c r="C23" s="124" t="s">
        <v>277</v>
      </c>
      <c r="D23" s="124"/>
      <c r="E23" s="124" t="s">
        <v>278</v>
      </c>
      <c r="F23" s="4" t="s">
        <v>279</v>
      </c>
      <c r="G23" s="116">
        <v>6</v>
      </c>
      <c r="H23" s="117" t="s">
        <v>181</v>
      </c>
      <c r="I23" s="116" t="s">
        <v>181</v>
      </c>
      <c r="J23" s="120" t="s">
        <v>181</v>
      </c>
      <c r="K23" s="117" t="s">
        <v>181</v>
      </c>
      <c r="L23" s="116" t="s">
        <v>181</v>
      </c>
      <c r="M23" s="120" t="s">
        <v>181</v>
      </c>
      <c r="N23" s="117" t="s">
        <v>181</v>
      </c>
      <c r="O23" s="116" t="s">
        <v>181</v>
      </c>
      <c r="P23" s="120" t="s">
        <v>181</v>
      </c>
      <c r="Q23" s="117" t="s">
        <v>181</v>
      </c>
      <c r="R23" s="116" t="s">
        <v>181</v>
      </c>
      <c r="S23" s="120" t="s">
        <v>181</v>
      </c>
      <c r="T23" s="117" t="s">
        <v>181</v>
      </c>
      <c r="U23" s="116" t="s">
        <v>181</v>
      </c>
      <c r="V23" s="120" t="s">
        <v>181</v>
      </c>
      <c r="W23" s="121" t="s">
        <v>181</v>
      </c>
      <c r="X23" s="122"/>
      <c r="Y23" s="122" t="s">
        <v>181</v>
      </c>
      <c r="Z23" s="124"/>
      <c r="AA23" s="124"/>
      <c r="AB23" s="134"/>
      <c r="AC23" s="143" t="s">
        <v>243</v>
      </c>
      <c r="AD23" s="143" t="s">
        <v>70</v>
      </c>
      <c r="AE23" s="143" t="s">
        <v>70</v>
      </c>
      <c r="AF23" s="143" t="s">
        <v>70</v>
      </c>
      <c r="AG23" s="143" t="s">
        <v>275</v>
      </c>
    </row>
    <row r="24" spans="1:33" ht="47.1" customHeight="1">
      <c r="A24" s="263"/>
      <c r="B24" s="263"/>
      <c r="C24" s="124" t="s">
        <v>280</v>
      </c>
      <c r="D24" s="124"/>
      <c r="E24" s="124" t="s">
        <v>281</v>
      </c>
      <c r="F24" s="4" t="s">
        <v>282</v>
      </c>
      <c r="G24" s="116">
        <v>6</v>
      </c>
      <c r="H24" s="117" t="s">
        <v>181</v>
      </c>
      <c r="I24" s="116" t="s">
        <v>181</v>
      </c>
      <c r="J24" s="120" t="s">
        <v>181</v>
      </c>
      <c r="K24" s="117" t="s">
        <v>181</v>
      </c>
      <c r="L24" s="116" t="s">
        <v>181</v>
      </c>
      <c r="M24" s="120" t="s">
        <v>181</v>
      </c>
      <c r="N24" s="117" t="s">
        <v>181</v>
      </c>
      <c r="O24" s="116" t="s">
        <v>181</v>
      </c>
      <c r="P24" s="120" t="s">
        <v>181</v>
      </c>
      <c r="Q24" s="117" t="s">
        <v>181</v>
      </c>
      <c r="R24" s="116" t="s">
        <v>181</v>
      </c>
      <c r="S24" s="120" t="s">
        <v>181</v>
      </c>
      <c r="T24" s="117" t="s">
        <v>181</v>
      </c>
      <c r="U24" s="116" t="s">
        <v>181</v>
      </c>
      <c r="V24" s="120" t="s">
        <v>181</v>
      </c>
      <c r="W24" s="121" t="s">
        <v>181</v>
      </c>
      <c r="X24" s="122"/>
      <c r="Y24" s="122" t="s">
        <v>181</v>
      </c>
      <c r="Z24" s="124"/>
      <c r="AA24" s="124"/>
      <c r="AB24" s="134"/>
      <c r="AC24" s="143" t="s">
        <v>243</v>
      </c>
      <c r="AD24" s="143" t="s">
        <v>70</v>
      </c>
      <c r="AE24" s="143" t="s">
        <v>70</v>
      </c>
      <c r="AF24" s="143" t="s">
        <v>70</v>
      </c>
      <c r="AG24" s="143" t="s">
        <v>275</v>
      </c>
    </row>
    <row r="25" spans="1:33" ht="48.95" customHeight="1">
      <c r="A25" s="263"/>
      <c r="B25" s="263"/>
      <c r="C25" s="124" t="s">
        <v>283</v>
      </c>
      <c r="D25" s="124"/>
      <c r="E25" s="124" t="s">
        <v>284</v>
      </c>
      <c r="F25" s="4" t="s">
        <v>285</v>
      </c>
      <c r="G25" s="116">
        <v>3</v>
      </c>
      <c r="H25" s="117" t="s">
        <v>181</v>
      </c>
      <c r="I25" s="116" t="s">
        <v>181</v>
      </c>
      <c r="J25" s="120" t="s">
        <v>181</v>
      </c>
      <c r="K25" s="117" t="s">
        <v>181</v>
      </c>
      <c r="L25" s="116" t="s">
        <v>181</v>
      </c>
      <c r="M25" s="120" t="s">
        <v>181</v>
      </c>
      <c r="N25" s="117" t="s">
        <v>181</v>
      </c>
      <c r="O25" s="116" t="s">
        <v>181</v>
      </c>
      <c r="P25" s="120" t="s">
        <v>181</v>
      </c>
      <c r="Q25" s="117" t="s">
        <v>181</v>
      </c>
      <c r="R25" s="116" t="s">
        <v>181</v>
      </c>
      <c r="S25" s="120" t="s">
        <v>181</v>
      </c>
      <c r="T25" s="117" t="s">
        <v>181</v>
      </c>
      <c r="U25" s="116" t="s">
        <v>181</v>
      </c>
      <c r="V25" s="120" t="s">
        <v>181</v>
      </c>
      <c r="W25" s="121" t="s">
        <v>181</v>
      </c>
      <c r="X25" s="122"/>
      <c r="Y25" s="122" t="s">
        <v>181</v>
      </c>
      <c r="Z25" s="124"/>
      <c r="AA25" s="124"/>
      <c r="AB25" s="134"/>
      <c r="AC25" s="143" t="s">
        <v>243</v>
      </c>
      <c r="AD25" s="143" t="s">
        <v>70</v>
      </c>
      <c r="AE25" s="143" t="s">
        <v>70</v>
      </c>
      <c r="AF25" s="143" t="s">
        <v>70</v>
      </c>
      <c r="AG25" s="143" t="s">
        <v>275</v>
      </c>
    </row>
    <row r="26" spans="1:33" ht="14.45"/>
  </sheetData>
  <mergeCells count="10">
    <mergeCell ref="A19:A25"/>
    <mergeCell ref="B19:B22"/>
    <mergeCell ref="B23:B25"/>
    <mergeCell ref="H1:M1"/>
    <mergeCell ref="N1:S1"/>
    <mergeCell ref="T1:V1"/>
    <mergeCell ref="A3:A18"/>
    <mergeCell ref="B3:B10"/>
    <mergeCell ref="B11:B15"/>
    <mergeCell ref="B16:B1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F253-5F58-4AC2-88B9-9309E71D87DC}">
  <dimension ref="A1:AU26"/>
  <sheetViews>
    <sheetView topLeftCell="E1" workbookViewId="0">
      <pane ySplit="2" topLeftCell="C3" activePane="bottomLeft" state="frozen"/>
      <selection pane="bottomLeft" activeCell="D1" sqref="D1:D1048576"/>
    </sheetView>
  </sheetViews>
  <sheetFormatPr defaultColWidth="9.140625" defaultRowHeight="15" customHeight="1"/>
  <cols>
    <col min="1" max="1" width="27.42578125" hidden="1" customWidth="1"/>
    <col min="2" max="2" width="30.85546875" hidden="1" customWidth="1"/>
    <col min="3" max="3" width="52.140625" style="5" customWidth="1"/>
    <col min="4" max="4" width="27.140625" style="5" hidden="1" customWidth="1"/>
    <col min="5" max="5" width="16.85546875" style="5" customWidth="1"/>
    <col min="6" max="6" width="14.140625" style="5" customWidth="1"/>
    <col min="7" max="7" width="14.85546875" style="5" customWidth="1"/>
    <col min="8" max="8" width="14.85546875" style="5" hidden="1" customWidth="1"/>
    <col min="9" max="9" width="15.85546875" style="5" hidden="1" customWidth="1"/>
    <col min="10" max="10" width="0.42578125" style="5" customWidth="1"/>
    <col min="11" max="12" width="14.7109375" style="5" customWidth="1"/>
    <col min="13" max="14" width="14.85546875" style="5" hidden="1" customWidth="1"/>
    <col min="15" max="15" width="13" style="5" hidden="1" customWidth="1"/>
    <col min="16" max="16" width="13.7109375" style="5" customWidth="1"/>
    <col min="17" max="17" width="13" style="5" customWidth="1"/>
    <col min="18" max="18" width="14.5703125" style="5" hidden="1" customWidth="1"/>
    <col min="19" max="19" width="14" style="5" hidden="1" customWidth="1"/>
    <col min="20" max="20" width="14.140625" style="5" hidden="1" customWidth="1"/>
    <col min="21" max="22" width="14.140625" style="5" customWidth="1"/>
    <col min="23" max="23" width="12.85546875" style="5" hidden="1" customWidth="1"/>
    <col min="24" max="24" width="14.85546875" style="5" hidden="1" customWidth="1"/>
    <col min="25" max="25" width="14.140625" style="5" hidden="1" customWidth="1"/>
    <col min="26" max="27" width="14.140625" style="5" customWidth="1"/>
    <col min="28" max="28" width="13.28515625" style="5" hidden="1" customWidth="1"/>
    <col min="29" max="29" width="18.42578125" style="5" hidden="1" customWidth="1"/>
    <col min="30" max="30" width="13.140625" style="5" hidden="1" customWidth="1"/>
    <col min="31" max="32" width="13.140625" style="5" customWidth="1"/>
    <col min="33" max="33" width="11.42578125" customWidth="1"/>
    <col min="34" max="34" width="13.28515625" hidden="1" customWidth="1"/>
    <col min="35" max="35" width="13.42578125" hidden="1" customWidth="1"/>
    <col min="36" max="36" width="13.42578125" customWidth="1"/>
    <col min="37" max="37" width="15.140625" style="5" hidden="1" customWidth="1"/>
    <col min="38" max="38" width="23.140625" style="5" hidden="1" customWidth="1"/>
    <col min="39" max="39" width="12.5703125" style="5" hidden="1" customWidth="1"/>
    <col min="40" max="40" width="12" style="5" hidden="1" customWidth="1"/>
    <col min="41" max="41" width="11.5703125" style="5" hidden="1" customWidth="1"/>
    <col min="42" max="42" width="15.5703125" style="5" hidden="1" customWidth="1"/>
    <col min="43" max="43" width="9.140625" style="5" hidden="1" customWidth="1"/>
    <col min="44" max="44" width="12.7109375" style="219" hidden="1" customWidth="1"/>
    <col min="45" max="45" width="14.85546875" customWidth="1"/>
  </cols>
  <sheetData>
    <row r="1" spans="1:47">
      <c r="H1" s="265" t="s">
        <v>16</v>
      </c>
      <c r="I1" s="265"/>
      <c r="J1" s="265"/>
      <c r="K1" s="265"/>
      <c r="L1" s="265"/>
      <c r="M1" s="265"/>
      <c r="N1" s="265"/>
      <c r="O1" s="265"/>
      <c r="P1" s="217"/>
      <c r="Q1" s="217"/>
      <c r="R1" s="266" t="s">
        <v>17</v>
      </c>
      <c r="S1" s="266"/>
      <c r="T1" s="266"/>
      <c r="U1" s="266"/>
      <c r="V1" s="266"/>
      <c r="W1" s="266"/>
      <c r="X1" s="266"/>
      <c r="Y1" s="266"/>
      <c r="Z1" s="218"/>
      <c r="AA1" s="218"/>
      <c r="AB1" s="262" t="s">
        <v>18</v>
      </c>
      <c r="AC1" s="262"/>
      <c r="AD1" s="262"/>
      <c r="AE1" s="262"/>
      <c r="AF1" s="262"/>
    </row>
    <row r="2" spans="1:47" ht="27" customHeight="1">
      <c r="A2" s="2" t="s">
        <v>19</v>
      </c>
      <c r="B2" s="2" t="s">
        <v>20</v>
      </c>
      <c r="C2" s="97" t="s">
        <v>21</v>
      </c>
      <c r="D2" s="97" t="s">
        <v>22</v>
      </c>
      <c r="E2" s="97" t="s">
        <v>23</v>
      </c>
      <c r="F2" s="3" t="s">
        <v>24</v>
      </c>
      <c r="G2" s="3" t="s">
        <v>25</v>
      </c>
      <c r="H2" s="3" t="s">
        <v>26</v>
      </c>
      <c r="I2" s="3" t="s">
        <v>27</v>
      </c>
      <c r="J2" s="3" t="s">
        <v>28</v>
      </c>
      <c r="K2" s="3" t="s">
        <v>286</v>
      </c>
      <c r="L2" s="3" t="s">
        <v>287</v>
      </c>
      <c r="M2" s="3" t="s">
        <v>29</v>
      </c>
      <c r="N2" s="3" t="s">
        <v>30</v>
      </c>
      <c r="O2" s="3" t="s">
        <v>31</v>
      </c>
      <c r="P2" s="3" t="s">
        <v>288</v>
      </c>
      <c r="Q2" s="3" t="s">
        <v>289</v>
      </c>
      <c r="R2" s="3" t="s">
        <v>32</v>
      </c>
      <c r="S2" s="3" t="s">
        <v>33</v>
      </c>
      <c r="T2" s="3" t="s">
        <v>34</v>
      </c>
      <c r="U2" s="3" t="s">
        <v>290</v>
      </c>
      <c r="V2" s="3" t="s">
        <v>291</v>
      </c>
      <c r="W2" s="3" t="s">
        <v>35</v>
      </c>
      <c r="X2" s="3" t="s">
        <v>36</v>
      </c>
      <c r="Y2" s="3" t="s">
        <v>37</v>
      </c>
      <c r="Z2" s="3" t="s">
        <v>292</v>
      </c>
      <c r="AA2" s="3" t="s">
        <v>293</v>
      </c>
      <c r="AB2" s="3" t="s">
        <v>38</v>
      </c>
      <c r="AC2" s="3" t="s">
        <v>39</v>
      </c>
      <c r="AD2" s="3" t="s">
        <v>40</v>
      </c>
      <c r="AE2" s="3" t="s">
        <v>294</v>
      </c>
      <c r="AF2" s="3" t="s">
        <v>295</v>
      </c>
      <c r="AG2" s="3" t="s">
        <v>41</v>
      </c>
      <c r="AH2" s="3" t="s">
        <v>296</v>
      </c>
      <c r="AI2" s="3" t="s">
        <v>43</v>
      </c>
      <c r="AJ2" s="3" t="s">
        <v>297</v>
      </c>
      <c r="AK2" s="3" t="s">
        <v>44</v>
      </c>
      <c r="AL2" s="3" t="s">
        <v>45</v>
      </c>
      <c r="AM2" s="212" t="s">
        <v>46</v>
      </c>
      <c r="AN2" s="204" t="s">
        <v>47</v>
      </c>
      <c r="AO2" s="204" t="s">
        <v>48</v>
      </c>
      <c r="AP2" s="204" t="s">
        <v>49</v>
      </c>
      <c r="AQ2" s="204" t="s">
        <v>50</v>
      </c>
      <c r="AR2" s="224" t="s">
        <v>51</v>
      </c>
      <c r="AS2" s="204" t="s">
        <v>298</v>
      </c>
    </row>
    <row r="3" spans="1:47" ht="165.75" customHeight="1">
      <c r="A3" s="263" t="s">
        <v>52</v>
      </c>
      <c r="B3" s="264" t="s">
        <v>53</v>
      </c>
      <c r="C3" s="228" t="s">
        <v>54</v>
      </c>
      <c r="D3" s="115"/>
      <c r="E3" s="115" t="s">
        <v>55</v>
      </c>
      <c r="F3" s="96" t="s">
        <v>56</v>
      </c>
      <c r="G3" s="116" t="s">
        <v>57</v>
      </c>
      <c r="H3" s="117">
        <v>3500</v>
      </c>
      <c r="I3" s="118" t="s">
        <v>58</v>
      </c>
      <c r="J3" s="139" t="s">
        <v>59</v>
      </c>
      <c r="K3" s="139" t="s">
        <v>299</v>
      </c>
      <c r="L3" s="139">
        <f>2267+100</f>
        <v>2367</v>
      </c>
      <c r="M3" s="117">
        <v>3500</v>
      </c>
      <c r="N3" s="116">
        <v>750</v>
      </c>
      <c r="O3" s="120" t="s">
        <v>60</v>
      </c>
      <c r="P3" s="120" t="s">
        <v>300</v>
      </c>
      <c r="Q3" s="120">
        <f>2333+200</f>
        <v>2533</v>
      </c>
      <c r="R3" s="117">
        <v>3500</v>
      </c>
      <c r="S3" s="116">
        <v>250</v>
      </c>
      <c r="T3" s="120" t="s">
        <v>61</v>
      </c>
      <c r="U3" s="120" t="s">
        <v>301</v>
      </c>
      <c r="V3" s="120">
        <f>1201+162</f>
        <v>1363</v>
      </c>
      <c r="W3" s="117">
        <v>3500</v>
      </c>
      <c r="X3" s="116" t="s">
        <v>62</v>
      </c>
      <c r="Y3" s="120" t="s">
        <v>63</v>
      </c>
      <c r="Z3" s="120" t="s">
        <v>302</v>
      </c>
      <c r="AA3" s="120">
        <f>2976+0</f>
        <v>2976</v>
      </c>
      <c r="AB3" s="117">
        <v>3500</v>
      </c>
      <c r="AC3" s="116">
        <v>1056</v>
      </c>
      <c r="AD3" s="120" t="s">
        <v>64</v>
      </c>
      <c r="AE3" s="120" t="s">
        <v>303</v>
      </c>
      <c r="AF3" s="120">
        <f>0+1601</f>
        <v>1601</v>
      </c>
      <c r="AG3" s="121">
        <f>SUM(H3,M3,R3,W3,AB3)</f>
        <v>17500</v>
      </c>
      <c r="AH3" s="122">
        <f>SUM(N3,S3,400,AC3)</f>
        <v>2456</v>
      </c>
      <c r="AI3" s="123">
        <v>16106</v>
      </c>
      <c r="AJ3" s="123">
        <f>SUM(L3,Q3,V3,AA3,AF3)</f>
        <v>10840</v>
      </c>
      <c r="AK3" s="124" t="s">
        <v>65</v>
      </c>
      <c r="AL3" s="124" t="s">
        <v>66</v>
      </c>
      <c r="AM3" s="134" t="s">
        <v>67</v>
      </c>
      <c r="AN3" s="143" t="s">
        <v>68</v>
      </c>
      <c r="AO3" s="209" t="s">
        <v>69</v>
      </c>
      <c r="AP3" s="143" t="s">
        <v>70</v>
      </c>
      <c r="AQ3" s="143">
        <v>16675</v>
      </c>
      <c r="AR3" s="222">
        <f>16675-9117</f>
        <v>7558</v>
      </c>
      <c r="AS3" s="223">
        <f>20000-AJ3</f>
        <v>9160</v>
      </c>
    </row>
    <row r="4" spans="1:47" ht="72.75" customHeight="1">
      <c r="A4" s="263"/>
      <c r="B4" s="264"/>
      <c r="C4" s="180" t="s">
        <v>71</v>
      </c>
      <c r="D4" s="115"/>
      <c r="E4" s="115" t="s">
        <v>72</v>
      </c>
      <c r="F4" s="96" t="s">
        <v>56</v>
      </c>
      <c r="G4" s="116">
        <v>5000</v>
      </c>
      <c r="H4" s="117">
        <v>600</v>
      </c>
      <c r="I4" s="118">
        <v>0</v>
      </c>
      <c r="J4" s="139" t="s">
        <v>73</v>
      </c>
      <c r="K4" s="139">
        <v>0</v>
      </c>
      <c r="L4" s="139">
        <v>0</v>
      </c>
      <c r="M4" s="117">
        <v>600</v>
      </c>
      <c r="N4" s="116">
        <v>100</v>
      </c>
      <c r="O4" s="120" t="s">
        <v>74</v>
      </c>
      <c r="P4" s="120" t="s">
        <v>304</v>
      </c>
      <c r="Q4" s="120">
        <f>100+0</f>
        <v>100</v>
      </c>
      <c r="R4" s="117">
        <v>600</v>
      </c>
      <c r="S4" s="116">
        <v>68</v>
      </c>
      <c r="T4" s="120" t="s">
        <v>75</v>
      </c>
      <c r="U4" s="120">
        <v>0</v>
      </c>
      <c r="V4" s="120">
        <v>0</v>
      </c>
      <c r="W4" s="117">
        <v>600</v>
      </c>
      <c r="X4" s="116" t="s">
        <v>76</v>
      </c>
      <c r="Y4" s="120" t="s">
        <v>77</v>
      </c>
      <c r="Z4" s="120">
        <v>0</v>
      </c>
      <c r="AA4" s="120">
        <v>0</v>
      </c>
      <c r="AB4" s="117">
        <v>600</v>
      </c>
      <c r="AC4" s="116">
        <v>897</v>
      </c>
      <c r="AD4" s="120" t="s">
        <v>78</v>
      </c>
      <c r="AE4" s="120">
        <v>0</v>
      </c>
      <c r="AF4" s="120">
        <v>0</v>
      </c>
      <c r="AG4" s="121">
        <f>SUM(H4,M4,R4,W4,AB4)</f>
        <v>3000</v>
      </c>
      <c r="AH4" s="122">
        <f>SUM(N4,S4,100,AC4)</f>
        <v>1165</v>
      </c>
      <c r="AI4" s="124" t="s">
        <v>79</v>
      </c>
      <c r="AJ4" s="123">
        <f>SUM(L4,Q4,V4,AA4,AF4)</f>
        <v>100</v>
      </c>
      <c r="AK4" s="124" t="s">
        <v>80</v>
      </c>
      <c r="AL4" s="124" t="s">
        <v>81</v>
      </c>
      <c r="AM4" s="134" t="s">
        <v>82</v>
      </c>
      <c r="AN4" s="143">
        <v>160</v>
      </c>
      <c r="AO4" s="143" t="s">
        <v>70</v>
      </c>
      <c r="AP4" s="143" t="s">
        <v>70</v>
      </c>
      <c r="AQ4" s="143">
        <v>1657</v>
      </c>
      <c r="AR4" s="222">
        <f>1657-1412</f>
        <v>245</v>
      </c>
      <c r="AS4" s="223">
        <f>5000-AJ4</f>
        <v>4900</v>
      </c>
    </row>
    <row r="5" spans="1:47" ht="87.75" customHeight="1">
      <c r="A5" s="263"/>
      <c r="B5" s="263"/>
      <c r="C5" s="125" t="s">
        <v>83</v>
      </c>
      <c r="D5" s="126"/>
      <c r="E5" s="126"/>
      <c r="F5" s="4" t="s">
        <v>84</v>
      </c>
      <c r="G5" s="116">
        <v>18</v>
      </c>
      <c r="H5" s="117">
        <v>5</v>
      </c>
      <c r="I5" s="116">
        <v>0</v>
      </c>
      <c r="J5" s="120">
        <v>0</v>
      </c>
      <c r="K5" s="120"/>
      <c r="L5" s="120"/>
      <c r="M5" s="117">
        <v>5</v>
      </c>
      <c r="N5" s="116" t="s">
        <v>85</v>
      </c>
      <c r="O5" s="120" t="s">
        <v>85</v>
      </c>
      <c r="P5" s="120"/>
      <c r="Q5" s="120"/>
      <c r="R5" s="117">
        <v>5</v>
      </c>
      <c r="S5" s="116" t="s">
        <v>85</v>
      </c>
      <c r="T5" s="142" t="s">
        <v>86</v>
      </c>
      <c r="U5" s="142"/>
      <c r="V5" s="142"/>
      <c r="W5" s="117">
        <v>5</v>
      </c>
      <c r="X5" s="116" t="s">
        <v>87</v>
      </c>
      <c r="Y5" s="120" t="s">
        <v>88</v>
      </c>
      <c r="Z5" s="120"/>
      <c r="AA5" s="120"/>
      <c r="AB5" s="117">
        <v>5</v>
      </c>
      <c r="AC5" s="116">
        <v>0</v>
      </c>
      <c r="AD5" s="117">
        <v>0</v>
      </c>
      <c r="AE5" s="120"/>
      <c r="AF5" s="120"/>
      <c r="AG5" s="127">
        <f>SUM(H5,M5,R5,W5,AB5)</f>
        <v>25</v>
      </c>
      <c r="AH5" s="122">
        <f>SUM(3,3,5)</f>
        <v>11</v>
      </c>
      <c r="AI5" s="129">
        <v>18</v>
      </c>
      <c r="AJ5" s="123"/>
      <c r="AK5" s="124" t="s">
        <v>89</v>
      </c>
      <c r="AL5" s="124" t="s">
        <v>90</v>
      </c>
      <c r="AM5" s="134">
        <v>5</v>
      </c>
      <c r="AN5" s="143" t="s">
        <v>91</v>
      </c>
      <c r="AO5" s="143" t="s">
        <v>92</v>
      </c>
      <c r="AP5" s="210" t="s">
        <v>93</v>
      </c>
      <c r="AQ5" s="143">
        <v>22</v>
      </c>
      <c r="AR5" s="222">
        <f>22-5</f>
        <v>17</v>
      </c>
      <c r="AS5" s="225"/>
    </row>
    <row r="6" spans="1:47" ht="145.5" customHeight="1">
      <c r="A6" s="263"/>
      <c r="B6" s="263"/>
      <c r="C6" s="124" t="s">
        <v>94</v>
      </c>
      <c r="D6" s="124"/>
      <c r="E6" s="124" t="s">
        <v>95</v>
      </c>
      <c r="F6" s="6" t="s">
        <v>96</v>
      </c>
      <c r="G6" s="116">
        <v>6</v>
      </c>
      <c r="H6" s="117">
        <v>3500</v>
      </c>
      <c r="I6" s="116" t="s">
        <v>97</v>
      </c>
      <c r="J6" s="120" t="s">
        <v>98</v>
      </c>
      <c r="K6" s="139" t="s">
        <v>305</v>
      </c>
      <c r="L6" s="120">
        <f>44+0</f>
        <v>44</v>
      </c>
      <c r="M6" s="117">
        <v>3500</v>
      </c>
      <c r="N6" s="116" t="s">
        <v>99</v>
      </c>
      <c r="O6" s="120" t="s">
        <v>100</v>
      </c>
      <c r="P6" s="120" t="s">
        <v>306</v>
      </c>
      <c r="Q6" s="120">
        <f>300+0</f>
        <v>300</v>
      </c>
      <c r="R6" s="117">
        <v>3500</v>
      </c>
      <c r="S6" s="116" t="s">
        <v>101</v>
      </c>
      <c r="T6" s="120" t="s">
        <v>102</v>
      </c>
      <c r="U6" s="120" t="s">
        <v>307</v>
      </c>
      <c r="V6" s="120">
        <f>248+0</f>
        <v>248</v>
      </c>
      <c r="W6" s="117">
        <v>3500</v>
      </c>
      <c r="X6" s="116">
        <v>0</v>
      </c>
      <c r="Y6" s="117">
        <v>0</v>
      </c>
      <c r="Z6" s="120" t="s">
        <v>308</v>
      </c>
      <c r="AA6" s="120">
        <f>0+294</f>
        <v>294</v>
      </c>
      <c r="AB6" s="117">
        <v>3500</v>
      </c>
      <c r="AC6" s="116" t="s">
        <v>103</v>
      </c>
      <c r="AD6" s="120" t="s">
        <v>104</v>
      </c>
      <c r="AE6" s="120" t="s">
        <v>309</v>
      </c>
      <c r="AF6" s="120">
        <f>0+61</f>
        <v>61</v>
      </c>
      <c r="AG6" s="121">
        <f>SUM(H6,M6,R6,W6,AB6)</f>
        <v>17500</v>
      </c>
      <c r="AH6" s="122">
        <f>SUM(44,100,100,1056)</f>
        <v>1300</v>
      </c>
      <c r="AI6" s="124" t="s">
        <v>105</v>
      </c>
      <c r="AJ6" s="123">
        <f t="shared" ref="AJ6:AJ10" si="0">SUM(L6,Q6,V6,AA6,AF6)</f>
        <v>947</v>
      </c>
      <c r="AK6" s="124" t="s">
        <v>106</v>
      </c>
      <c r="AL6" s="124" t="s">
        <v>107</v>
      </c>
      <c r="AM6" s="134">
        <v>0</v>
      </c>
      <c r="AN6" s="143" t="s">
        <v>108</v>
      </c>
      <c r="AO6" s="143" t="s">
        <v>109</v>
      </c>
      <c r="AP6" s="143" t="s">
        <v>110</v>
      </c>
      <c r="AQ6" s="143" t="s">
        <v>111</v>
      </c>
      <c r="AR6" s="222" t="s">
        <v>112</v>
      </c>
      <c r="AS6" s="221"/>
    </row>
    <row r="7" spans="1:47" ht="78.95" customHeight="1">
      <c r="A7" s="263"/>
      <c r="B7" s="263"/>
      <c r="C7" s="124" t="s">
        <v>113</v>
      </c>
      <c r="D7" s="124"/>
      <c r="E7" s="124"/>
      <c r="F7" s="7" t="s">
        <v>114</v>
      </c>
      <c r="G7" s="116">
        <v>4</v>
      </c>
      <c r="H7" s="117" t="s">
        <v>115</v>
      </c>
      <c r="I7" s="116" t="s">
        <v>116</v>
      </c>
      <c r="J7" s="120" t="s">
        <v>117</v>
      </c>
      <c r="K7" s="120" t="s">
        <v>310</v>
      </c>
      <c r="L7" s="120">
        <f>20+0</f>
        <v>20</v>
      </c>
      <c r="M7" s="117" t="s">
        <v>115</v>
      </c>
      <c r="N7" s="116">
        <v>0</v>
      </c>
      <c r="O7" s="117">
        <v>0</v>
      </c>
      <c r="P7" s="120">
        <v>0</v>
      </c>
      <c r="Q7" s="120">
        <v>0</v>
      </c>
      <c r="R7" s="117" t="s">
        <v>115</v>
      </c>
      <c r="S7" s="128" t="s">
        <v>118</v>
      </c>
      <c r="T7" s="120" t="s">
        <v>119</v>
      </c>
      <c r="U7" s="120" t="s">
        <v>311</v>
      </c>
      <c r="V7" s="120">
        <f>90+0</f>
        <v>90</v>
      </c>
      <c r="W7" s="117" t="s">
        <v>115</v>
      </c>
      <c r="X7" s="116" t="s">
        <v>120</v>
      </c>
      <c r="Y7" s="120" t="s">
        <v>117</v>
      </c>
      <c r="Z7" s="120" t="s">
        <v>310</v>
      </c>
      <c r="AA7" s="120">
        <f>20+0</f>
        <v>20</v>
      </c>
      <c r="AB7" s="117" t="s">
        <v>115</v>
      </c>
      <c r="AC7" s="128" t="s">
        <v>121</v>
      </c>
      <c r="AD7" s="120" t="s">
        <v>122</v>
      </c>
      <c r="AE7" s="120" t="s">
        <v>310</v>
      </c>
      <c r="AF7" s="120">
        <f>20+0</f>
        <v>20</v>
      </c>
      <c r="AG7" s="121">
        <v>5</v>
      </c>
      <c r="AH7" s="129">
        <v>4</v>
      </c>
      <c r="AI7" s="141" t="s">
        <v>123</v>
      </c>
      <c r="AJ7" s="123">
        <f t="shared" si="0"/>
        <v>150</v>
      </c>
      <c r="AK7" s="124" t="s">
        <v>124</v>
      </c>
      <c r="AL7" s="124"/>
      <c r="AM7" s="134" t="s">
        <v>125</v>
      </c>
      <c r="AN7" s="143" t="s">
        <v>126</v>
      </c>
      <c r="AO7" s="143" t="s">
        <v>70</v>
      </c>
      <c r="AP7" s="143" t="s">
        <v>70</v>
      </c>
      <c r="AQ7" s="143" t="s">
        <v>127</v>
      </c>
      <c r="AR7" s="222">
        <f>7-1</f>
        <v>6</v>
      </c>
      <c r="AS7" s="221" t="s">
        <v>312</v>
      </c>
    </row>
    <row r="8" spans="1:47" ht="65.099999999999994" customHeight="1">
      <c r="A8" s="263"/>
      <c r="B8" s="263"/>
      <c r="C8" s="179" t="s">
        <v>128</v>
      </c>
      <c r="D8" s="124"/>
      <c r="E8" s="124" t="s">
        <v>129</v>
      </c>
      <c r="F8" s="6" t="s">
        <v>130</v>
      </c>
      <c r="G8" s="130">
        <v>4000</v>
      </c>
      <c r="H8" s="117" t="s">
        <v>131</v>
      </c>
      <c r="I8" s="116" t="s">
        <v>132</v>
      </c>
      <c r="J8" s="120" t="s">
        <v>133</v>
      </c>
      <c r="K8" s="120" t="s">
        <v>313</v>
      </c>
      <c r="L8" s="120">
        <f>70+0</f>
        <v>70</v>
      </c>
      <c r="M8" s="117" t="s">
        <v>131</v>
      </c>
      <c r="N8" s="116" t="s">
        <v>134</v>
      </c>
      <c r="O8" s="140" t="s">
        <v>134</v>
      </c>
      <c r="P8" s="120" t="s">
        <v>304</v>
      </c>
      <c r="Q8" s="120">
        <f>100+0</f>
        <v>100</v>
      </c>
      <c r="R8" s="117" t="s">
        <v>131</v>
      </c>
      <c r="S8" s="116" t="s">
        <v>134</v>
      </c>
      <c r="T8" s="120" t="s">
        <v>135</v>
      </c>
      <c r="U8" s="120" t="s">
        <v>314</v>
      </c>
      <c r="V8" s="120">
        <f>50+0</f>
        <v>50</v>
      </c>
      <c r="W8" s="117" t="s">
        <v>131</v>
      </c>
      <c r="X8" s="116" t="s">
        <v>136</v>
      </c>
      <c r="Y8" s="120" t="s">
        <v>137</v>
      </c>
      <c r="Z8" s="120" t="s">
        <v>304</v>
      </c>
      <c r="AA8" s="120">
        <f>100+0</f>
        <v>100</v>
      </c>
      <c r="AB8" s="131" t="s">
        <v>131</v>
      </c>
      <c r="AC8" s="116" t="s">
        <v>138</v>
      </c>
      <c r="AD8" s="120" t="s">
        <v>139</v>
      </c>
      <c r="AE8" s="120" t="s">
        <v>315</v>
      </c>
      <c r="AF8" s="120">
        <f>60+0</f>
        <v>60</v>
      </c>
      <c r="AG8" s="132">
        <f>800*5</f>
        <v>4000</v>
      </c>
      <c r="AH8" s="122">
        <f>SUM(75,50,50,90,60)</f>
        <v>325</v>
      </c>
      <c r="AI8" s="124" t="s">
        <v>140</v>
      </c>
      <c r="AJ8" s="123">
        <f t="shared" si="0"/>
        <v>380</v>
      </c>
      <c r="AK8" s="124" t="s">
        <v>141</v>
      </c>
      <c r="AL8" s="124" t="s">
        <v>142</v>
      </c>
      <c r="AM8" s="134" t="s">
        <v>143</v>
      </c>
      <c r="AN8" s="143" t="s">
        <v>144</v>
      </c>
      <c r="AO8" s="143" t="s">
        <v>70</v>
      </c>
      <c r="AP8" s="143" t="s">
        <v>70</v>
      </c>
      <c r="AQ8" s="143" t="s">
        <v>145</v>
      </c>
      <c r="AR8" s="222">
        <f>493-200</f>
        <v>293</v>
      </c>
      <c r="AS8" s="223">
        <f>G8-AJ8</f>
        <v>3620</v>
      </c>
      <c r="AU8">
        <f>380*2</f>
        <v>760</v>
      </c>
    </row>
    <row r="9" spans="1:47" ht="62.45" customHeight="1">
      <c r="A9" s="263"/>
      <c r="B9" s="263"/>
      <c r="C9" s="133" t="s">
        <v>146</v>
      </c>
      <c r="D9" s="133"/>
      <c r="E9" s="124"/>
      <c r="F9" s="7" t="s">
        <v>114</v>
      </c>
      <c r="G9" s="116">
        <v>4</v>
      </c>
      <c r="H9" s="117" t="s">
        <v>147</v>
      </c>
      <c r="I9" s="118" t="s">
        <v>148</v>
      </c>
      <c r="J9" s="119" t="s">
        <v>149</v>
      </c>
      <c r="K9" s="120" t="s">
        <v>316</v>
      </c>
      <c r="L9" s="120">
        <f>117+23</f>
        <v>140</v>
      </c>
      <c r="M9" s="117" t="s">
        <v>147</v>
      </c>
      <c r="N9" s="116">
        <v>0</v>
      </c>
      <c r="O9" s="117">
        <v>0</v>
      </c>
      <c r="P9" s="120" t="s">
        <v>317</v>
      </c>
      <c r="Q9" s="120">
        <f>0+15</f>
        <v>15</v>
      </c>
      <c r="R9" s="117" t="s">
        <v>147</v>
      </c>
      <c r="S9" s="116" t="s">
        <v>150</v>
      </c>
      <c r="T9" s="120" t="s">
        <v>151</v>
      </c>
      <c r="U9" s="120" t="s">
        <v>318</v>
      </c>
      <c r="V9" s="120">
        <f>14+0</f>
        <v>14</v>
      </c>
      <c r="W9" s="117" t="s">
        <v>147</v>
      </c>
      <c r="X9" s="116" t="s">
        <v>152</v>
      </c>
      <c r="Y9" s="120">
        <v>0</v>
      </c>
      <c r="Z9" s="120" t="s">
        <v>319</v>
      </c>
      <c r="AA9" s="120">
        <f>0+20</f>
        <v>20</v>
      </c>
      <c r="AB9" s="117" t="s">
        <v>147</v>
      </c>
      <c r="AC9" s="116" t="s">
        <v>153</v>
      </c>
      <c r="AD9" s="120" t="s">
        <v>154</v>
      </c>
      <c r="AE9" s="120" t="s">
        <v>310</v>
      </c>
      <c r="AF9" s="120">
        <f>20+0</f>
        <v>20</v>
      </c>
      <c r="AG9" s="121">
        <v>5</v>
      </c>
      <c r="AH9" s="129">
        <f>SUM(117,14,20)</f>
        <v>151</v>
      </c>
      <c r="AI9" s="124" t="s">
        <v>155</v>
      </c>
      <c r="AJ9" s="123">
        <f>SUM(L9,Q9,V9,AA9,AF9)</f>
        <v>209</v>
      </c>
      <c r="AK9" s="124" t="s">
        <v>156</v>
      </c>
      <c r="AL9" s="124" t="s">
        <v>157</v>
      </c>
      <c r="AM9" s="213" t="s">
        <v>158</v>
      </c>
      <c r="AN9" s="210" t="s">
        <v>159</v>
      </c>
      <c r="AO9" s="143" t="s">
        <v>160</v>
      </c>
      <c r="AP9" s="143" t="s">
        <v>70</v>
      </c>
      <c r="AQ9" s="143" t="s">
        <v>161</v>
      </c>
      <c r="AR9" s="222">
        <f>309-20</f>
        <v>289</v>
      </c>
      <c r="AS9" s="226" t="s">
        <v>320</v>
      </c>
    </row>
    <row r="10" spans="1:47" ht="87.75" customHeight="1">
      <c r="A10" s="263"/>
      <c r="B10" s="263"/>
      <c r="C10" s="179" t="s">
        <v>162</v>
      </c>
      <c r="D10" s="124"/>
      <c r="E10" s="124"/>
      <c r="F10" s="7" t="s">
        <v>163</v>
      </c>
      <c r="G10" s="130">
        <v>200</v>
      </c>
      <c r="H10" s="117" t="s">
        <v>164</v>
      </c>
      <c r="I10" s="116" t="s">
        <v>165</v>
      </c>
      <c r="J10" s="120" t="s">
        <v>166</v>
      </c>
      <c r="K10" s="120" t="s">
        <v>321</v>
      </c>
      <c r="L10" s="120">
        <f>6+0</f>
        <v>6</v>
      </c>
      <c r="M10" s="117" t="s">
        <v>164</v>
      </c>
      <c r="N10" s="116">
        <v>0</v>
      </c>
      <c r="O10" s="117">
        <v>0</v>
      </c>
      <c r="P10" s="120" t="s">
        <v>322</v>
      </c>
      <c r="Q10" s="120">
        <f>0+35</f>
        <v>35</v>
      </c>
      <c r="R10" s="117" t="s">
        <v>164</v>
      </c>
      <c r="S10" s="116" t="s">
        <v>167</v>
      </c>
      <c r="T10" s="120" t="s">
        <v>168</v>
      </c>
      <c r="U10" s="120" t="s">
        <v>310</v>
      </c>
      <c r="V10" s="120">
        <f>20+0</f>
        <v>20</v>
      </c>
      <c r="W10" s="117" t="s">
        <v>164</v>
      </c>
      <c r="X10" s="116" t="s">
        <v>169</v>
      </c>
      <c r="Y10" s="120" t="s">
        <v>170</v>
      </c>
      <c r="Z10" s="120" t="s">
        <v>323</v>
      </c>
      <c r="AA10" s="120">
        <f>48+0</f>
        <v>48</v>
      </c>
      <c r="AB10" s="117" t="s">
        <v>164</v>
      </c>
      <c r="AC10" s="116">
        <v>0</v>
      </c>
      <c r="AD10" s="117">
        <v>0</v>
      </c>
      <c r="AE10" s="120">
        <v>0</v>
      </c>
      <c r="AF10" s="120">
        <v>0</v>
      </c>
      <c r="AG10" s="121">
        <v>500</v>
      </c>
      <c r="AH10" s="122">
        <f>SUM(10,20,43,0)</f>
        <v>73</v>
      </c>
      <c r="AI10" s="124" t="s">
        <v>171</v>
      </c>
      <c r="AJ10" s="123">
        <f t="shared" si="0"/>
        <v>109</v>
      </c>
      <c r="AK10" s="124" t="s">
        <v>172</v>
      </c>
      <c r="AL10" s="134" t="s">
        <v>173</v>
      </c>
      <c r="AM10" s="214">
        <v>0</v>
      </c>
      <c r="AN10" s="143" t="s">
        <v>70</v>
      </c>
      <c r="AO10" s="143" t="s">
        <v>174</v>
      </c>
      <c r="AP10" s="210" t="s">
        <v>175</v>
      </c>
      <c r="AQ10" s="143" t="s">
        <v>176</v>
      </c>
      <c r="AR10" s="222">
        <v>119</v>
      </c>
      <c r="AS10" s="223">
        <f>G10-AJ10</f>
        <v>91</v>
      </c>
    </row>
    <row r="11" spans="1:47" ht="73.5" customHeight="1">
      <c r="A11" s="263"/>
      <c r="B11" s="263" t="s">
        <v>177</v>
      </c>
      <c r="C11" s="124" t="s">
        <v>178</v>
      </c>
      <c r="D11" s="124"/>
      <c r="E11" s="124" t="s">
        <v>179</v>
      </c>
      <c r="F11" s="8" t="s">
        <v>324</v>
      </c>
      <c r="G11" s="118">
        <v>6</v>
      </c>
      <c r="H11" s="117" t="s">
        <v>181</v>
      </c>
      <c r="I11" s="116" t="s">
        <v>181</v>
      </c>
      <c r="J11" s="120" t="s">
        <v>181</v>
      </c>
      <c r="K11" s="121" t="s">
        <v>181</v>
      </c>
      <c r="L11" s="121" t="s">
        <v>181</v>
      </c>
      <c r="M11" s="121" t="s">
        <v>181</v>
      </c>
      <c r="N11" s="121" t="s">
        <v>181</v>
      </c>
      <c r="O11" s="121" t="s">
        <v>181</v>
      </c>
      <c r="P11" s="121" t="s">
        <v>181</v>
      </c>
      <c r="Q11" s="121" t="s">
        <v>181</v>
      </c>
      <c r="R11" s="121" t="s">
        <v>181</v>
      </c>
      <c r="S11" s="121" t="s">
        <v>181</v>
      </c>
      <c r="T11" s="121" t="s">
        <v>181</v>
      </c>
      <c r="U11" s="121" t="s">
        <v>181</v>
      </c>
      <c r="V11" s="121" t="s">
        <v>181</v>
      </c>
      <c r="W11" s="121" t="s">
        <v>181</v>
      </c>
      <c r="X11" s="121" t="s">
        <v>181</v>
      </c>
      <c r="Y11" s="121" t="s">
        <v>181</v>
      </c>
      <c r="Z11" s="121" t="s">
        <v>181</v>
      </c>
      <c r="AA11" s="121" t="s">
        <v>181</v>
      </c>
      <c r="AB11" s="121" t="s">
        <v>181</v>
      </c>
      <c r="AC11" s="121" t="s">
        <v>181</v>
      </c>
      <c r="AD11" s="121" t="s">
        <v>181</v>
      </c>
      <c r="AE11" s="121" t="s">
        <v>181</v>
      </c>
      <c r="AF11" s="121" t="s">
        <v>181</v>
      </c>
      <c r="AG11" s="121" t="s">
        <v>181</v>
      </c>
      <c r="AH11" s="122"/>
      <c r="AI11" s="122" t="s">
        <v>181</v>
      </c>
      <c r="AJ11" s="121" t="s">
        <v>181</v>
      </c>
      <c r="AK11" s="135" t="s">
        <v>182</v>
      </c>
      <c r="AL11" s="134"/>
      <c r="AM11" s="214" t="s">
        <v>183</v>
      </c>
      <c r="AN11" s="143" t="s">
        <v>184</v>
      </c>
      <c r="AO11" s="143" t="s">
        <v>70</v>
      </c>
      <c r="AP11" s="143" t="s">
        <v>70</v>
      </c>
      <c r="AQ11" s="143" t="s">
        <v>185</v>
      </c>
      <c r="AR11" s="222" t="s">
        <v>184</v>
      </c>
      <c r="AS11" s="220" t="s">
        <v>181</v>
      </c>
    </row>
    <row r="12" spans="1:47" ht="80.25" customHeight="1">
      <c r="A12" s="263"/>
      <c r="B12" s="263"/>
      <c r="C12" s="179" t="s">
        <v>186</v>
      </c>
      <c r="D12" s="126"/>
      <c r="E12" s="126"/>
      <c r="F12" s="8" t="s">
        <v>187</v>
      </c>
      <c r="G12" s="116">
        <v>10</v>
      </c>
      <c r="H12" s="117" t="s">
        <v>181</v>
      </c>
      <c r="I12" s="116" t="s">
        <v>181</v>
      </c>
      <c r="J12" s="120" t="s">
        <v>181</v>
      </c>
      <c r="K12" s="121" t="s">
        <v>181</v>
      </c>
      <c r="L12" s="121" t="s">
        <v>181</v>
      </c>
      <c r="M12" s="121" t="s">
        <v>181</v>
      </c>
      <c r="N12" s="121" t="s">
        <v>181</v>
      </c>
      <c r="O12" s="121" t="s">
        <v>181</v>
      </c>
      <c r="P12" s="121" t="s">
        <v>181</v>
      </c>
      <c r="Q12" s="121" t="s">
        <v>181</v>
      </c>
      <c r="R12" s="121" t="s">
        <v>181</v>
      </c>
      <c r="S12" s="121" t="s">
        <v>181</v>
      </c>
      <c r="T12" s="121" t="s">
        <v>181</v>
      </c>
      <c r="U12" s="121" t="s">
        <v>181</v>
      </c>
      <c r="V12" s="121" t="s">
        <v>181</v>
      </c>
      <c r="W12" s="121" t="s">
        <v>181</v>
      </c>
      <c r="X12" s="121" t="s">
        <v>181</v>
      </c>
      <c r="Y12" s="121" t="s">
        <v>181</v>
      </c>
      <c r="Z12" s="121" t="s">
        <v>181</v>
      </c>
      <c r="AA12" s="121" t="s">
        <v>181</v>
      </c>
      <c r="AB12" s="121" t="s">
        <v>181</v>
      </c>
      <c r="AC12" s="121" t="s">
        <v>181</v>
      </c>
      <c r="AD12" s="121" t="s">
        <v>181</v>
      </c>
      <c r="AE12" s="121" t="s">
        <v>181</v>
      </c>
      <c r="AF12" s="121" t="s">
        <v>181</v>
      </c>
      <c r="AG12" s="121" t="s">
        <v>181</v>
      </c>
      <c r="AH12" s="122"/>
      <c r="AI12" s="122" t="s">
        <v>181</v>
      </c>
      <c r="AJ12" s="121" t="s">
        <v>181</v>
      </c>
      <c r="AK12" s="135" t="s">
        <v>188</v>
      </c>
      <c r="AL12" s="124"/>
      <c r="AM12" s="215" t="s">
        <v>189</v>
      </c>
      <c r="AN12" s="143" t="s">
        <v>184</v>
      </c>
      <c r="AO12" s="143" t="s">
        <v>190</v>
      </c>
      <c r="AP12" s="143" t="s">
        <v>191</v>
      </c>
      <c r="AQ12" s="143">
        <v>4</v>
      </c>
      <c r="AR12" s="222">
        <v>4</v>
      </c>
      <c r="AS12" s="220" t="s">
        <v>181</v>
      </c>
    </row>
    <row r="13" spans="1:47" ht="33.6" customHeight="1">
      <c r="A13" s="263"/>
      <c r="B13" s="263"/>
      <c r="C13" s="124" t="s">
        <v>192</v>
      </c>
      <c r="D13" s="124"/>
      <c r="E13" s="124" t="s">
        <v>193</v>
      </c>
      <c r="F13" s="9" t="s">
        <v>194</v>
      </c>
      <c r="G13" s="116">
        <v>1500</v>
      </c>
      <c r="H13" s="117" t="s">
        <v>181</v>
      </c>
      <c r="I13" s="116" t="s">
        <v>181</v>
      </c>
      <c r="J13" s="120" t="s">
        <v>181</v>
      </c>
      <c r="K13" s="121" t="s">
        <v>181</v>
      </c>
      <c r="L13" s="121" t="s">
        <v>181</v>
      </c>
      <c r="M13" s="121" t="s">
        <v>181</v>
      </c>
      <c r="N13" s="121" t="s">
        <v>181</v>
      </c>
      <c r="O13" s="121" t="s">
        <v>181</v>
      </c>
      <c r="P13" s="121" t="s">
        <v>181</v>
      </c>
      <c r="Q13" s="121" t="s">
        <v>181</v>
      </c>
      <c r="R13" s="121" t="s">
        <v>181</v>
      </c>
      <c r="S13" s="121" t="s">
        <v>181</v>
      </c>
      <c r="T13" s="121" t="s">
        <v>181</v>
      </c>
      <c r="U13" s="121" t="s">
        <v>181</v>
      </c>
      <c r="V13" s="121" t="s">
        <v>181</v>
      </c>
      <c r="W13" s="121" t="s">
        <v>181</v>
      </c>
      <c r="X13" s="121" t="s">
        <v>181</v>
      </c>
      <c r="Y13" s="121" t="s">
        <v>181</v>
      </c>
      <c r="Z13" s="121" t="s">
        <v>181</v>
      </c>
      <c r="AA13" s="121" t="s">
        <v>181</v>
      </c>
      <c r="AB13" s="121" t="s">
        <v>181</v>
      </c>
      <c r="AC13" s="121" t="s">
        <v>181</v>
      </c>
      <c r="AD13" s="121" t="s">
        <v>181</v>
      </c>
      <c r="AE13" s="121" t="s">
        <v>181</v>
      </c>
      <c r="AF13" s="121" t="s">
        <v>181</v>
      </c>
      <c r="AG13" s="121" t="s">
        <v>181</v>
      </c>
      <c r="AH13" s="122"/>
      <c r="AI13" s="122" t="s">
        <v>181</v>
      </c>
      <c r="AJ13" s="121" t="s">
        <v>181</v>
      </c>
      <c r="AK13" s="124"/>
      <c r="AL13" s="124"/>
      <c r="AM13" s="134"/>
      <c r="AN13" s="143" t="s">
        <v>184</v>
      </c>
      <c r="AO13" s="143" t="s">
        <v>70</v>
      </c>
      <c r="AP13" s="143" t="s">
        <v>70</v>
      </c>
      <c r="AQ13" s="143" t="s">
        <v>70</v>
      </c>
      <c r="AR13" s="222" t="s">
        <v>195</v>
      </c>
      <c r="AS13" s="220" t="s">
        <v>181</v>
      </c>
    </row>
    <row r="14" spans="1:47" ht="67.5" customHeight="1">
      <c r="A14" s="263"/>
      <c r="B14" s="263"/>
      <c r="C14" s="124" t="s">
        <v>196</v>
      </c>
      <c r="D14" s="124"/>
      <c r="E14" s="124" t="s">
        <v>197</v>
      </c>
      <c r="F14" s="8" t="s">
        <v>198</v>
      </c>
      <c r="G14" s="118">
        <v>5</v>
      </c>
      <c r="H14" s="117" t="s">
        <v>181</v>
      </c>
      <c r="I14" s="116" t="s">
        <v>181</v>
      </c>
      <c r="J14" s="120" t="s">
        <v>181</v>
      </c>
      <c r="K14" s="121" t="s">
        <v>181</v>
      </c>
      <c r="L14" s="121" t="s">
        <v>181</v>
      </c>
      <c r="M14" s="121" t="s">
        <v>181</v>
      </c>
      <c r="N14" s="121" t="s">
        <v>181</v>
      </c>
      <c r="O14" s="121" t="s">
        <v>181</v>
      </c>
      <c r="P14" s="121" t="s">
        <v>181</v>
      </c>
      <c r="Q14" s="121" t="s">
        <v>181</v>
      </c>
      <c r="R14" s="121" t="s">
        <v>181</v>
      </c>
      <c r="S14" s="121" t="s">
        <v>181</v>
      </c>
      <c r="T14" s="121" t="s">
        <v>181</v>
      </c>
      <c r="U14" s="121" t="s">
        <v>181</v>
      </c>
      <c r="V14" s="121" t="s">
        <v>181</v>
      </c>
      <c r="W14" s="121" t="s">
        <v>181</v>
      </c>
      <c r="X14" s="121" t="s">
        <v>181</v>
      </c>
      <c r="Y14" s="121" t="s">
        <v>181</v>
      </c>
      <c r="Z14" s="121" t="s">
        <v>181</v>
      </c>
      <c r="AA14" s="121" t="s">
        <v>181</v>
      </c>
      <c r="AB14" s="121" t="s">
        <v>181</v>
      </c>
      <c r="AC14" s="121" t="s">
        <v>181</v>
      </c>
      <c r="AD14" s="121" t="s">
        <v>181</v>
      </c>
      <c r="AE14" s="121" t="s">
        <v>181</v>
      </c>
      <c r="AF14" s="121" t="s">
        <v>181</v>
      </c>
      <c r="AG14" s="121" t="s">
        <v>181</v>
      </c>
      <c r="AH14" s="122"/>
      <c r="AI14" s="122" t="s">
        <v>181</v>
      </c>
      <c r="AJ14" s="121" t="s">
        <v>181</v>
      </c>
      <c r="AK14" s="135" t="s">
        <v>199</v>
      </c>
      <c r="AL14" s="124"/>
      <c r="AM14" s="134" t="s">
        <v>200</v>
      </c>
      <c r="AN14" s="143" t="s">
        <v>184</v>
      </c>
      <c r="AO14" s="143" t="s">
        <v>70</v>
      </c>
      <c r="AP14" s="143" t="s">
        <v>70</v>
      </c>
      <c r="AQ14" s="143" t="s">
        <v>184</v>
      </c>
      <c r="AR14" s="222" t="s">
        <v>184</v>
      </c>
      <c r="AS14" s="220" t="s">
        <v>181</v>
      </c>
    </row>
    <row r="15" spans="1:47" ht="108.75" customHeight="1">
      <c r="A15" s="263"/>
      <c r="B15" s="263"/>
      <c r="C15" s="179" t="s">
        <v>201</v>
      </c>
      <c r="D15" s="124"/>
      <c r="E15" s="124" t="s">
        <v>202</v>
      </c>
      <c r="F15" s="7" t="s">
        <v>203</v>
      </c>
      <c r="G15" s="116">
        <v>10</v>
      </c>
      <c r="H15" s="117" t="s">
        <v>181</v>
      </c>
      <c r="I15" s="116" t="s">
        <v>181</v>
      </c>
      <c r="J15" s="120" t="s">
        <v>181</v>
      </c>
      <c r="K15" s="121" t="s">
        <v>181</v>
      </c>
      <c r="L15" s="121" t="s">
        <v>181</v>
      </c>
      <c r="M15" s="121" t="s">
        <v>181</v>
      </c>
      <c r="N15" s="121" t="s">
        <v>181</v>
      </c>
      <c r="O15" s="121" t="s">
        <v>181</v>
      </c>
      <c r="P15" s="121" t="s">
        <v>181</v>
      </c>
      <c r="Q15" s="121" t="s">
        <v>181</v>
      </c>
      <c r="R15" s="121" t="s">
        <v>181</v>
      </c>
      <c r="S15" s="121" t="s">
        <v>181</v>
      </c>
      <c r="T15" s="121" t="s">
        <v>181</v>
      </c>
      <c r="U15" s="121" t="s">
        <v>181</v>
      </c>
      <c r="V15" s="121" t="s">
        <v>181</v>
      </c>
      <c r="W15" s="121" t="s">
        <v>181</v>
      </c>
      <c r="X15" s="121" t="s">
        <v>181</v>
      </c>
      <c r="Y15" s="121" t="s">
        <v>181</v>
      </c>
      <c r="Z15" s="121" t="s">
        <v>181</v>
      </c>
      <c r="AA15" s="121" t="s">
        <v>181</v>
      </c>
      <c r="AB15" s="121" t="s">
        <v>181</v>
      </c>
      <c r="AC15" s="121" t="s">
        <v>181</v>
      </c>
      <c r="AD15" s="121" t="s">
        <v>181</v>
      </c>
      <c r="AE15" s="121" t="s">
        <v>181</v>
      </c>
      <c r="AF15" s="121" t="s">
        <v>181</v>
      </c>
      <c r="AG15" s="121" t="s">
        <v>181</v>
      </c>
      <c r="AH15" s="122"/>
      <c r="AI15" s="122" t="s">
        <v>181</v>
      </c>
      <c r="AJ15" s="121" t="s">
        <v>181</v>
      </c>
      <c r="AK15" s="135" t="s">
        <v>204</v>
      </c>
      <c r="AL15" s="136" t="s">
        <v>205</v>
      </c>
      <c r="AM15" s="134" t="s">
        <v>206</v>
      </c>
      <c r="AN15" s="143" t="s">
        <v>207</v>
      </c>
      <c r="AO15" s="143" t="s">
        <v>70</v>
      </c>
      <c r="AP15" s="143" t="s">
        <v>70</v>
      </c>
      <c r="AQ15" s="143">
        <v>10</v>
      </c>
      <c r="AR15" s="222">
        <v>10</v>
      </c>
      <c r="AS15" s="220" t="s">
        <v>181</v>
      </c>
    </row>
    <row r="16" spans="1:47" ht="61.5" customHeight="1">
      <c r="A16" s="263"/>
      <c r="B16" s="263" t="s">
        <v>208</v>
      </c>
      <c r="C16" s="124" t="s">
        <v>209</v>
      </c>
      <c r="D16" s="124"/>
      <c r="E16" s="124" t="s">
        <v>210</v>
      </c>
      <c r="F16" s="6" t="s">
        <v>211</v>
      </c>
      <c r="G16" s="116">
        <v>12</v>
      </c>
      <c r="H16" s="117" t="s">
        <v>212</v>
      </c>
      <c r="I16" s="138" t="s">
        <v>213</v>
      </c>
      <c r="J16" s="139" t="s">
        <v>213</v>
      </c>
      <c r="K16" s="139"/>
      <c r="L16" s="139"/>
      <c r="M16" s="117" t="s">
        <v>212</v>
      </c>
      <c r="N16" s="116" t="s">
        <v>214</v>
      </c>
      <c r="O16" s="120" t="s">
        <v>214</v>
      </c>
      <c r="P16" s="120"/>
      <c r="Q16" s="120"/>
      <c r="R16" s="117" t="s">
        <v>212</v>
      </c>
      <c r="S16" s="116" t="s">
        <v>215</v>
      </c>
      <c r="T16" s="120" t="s">
        <v>216</v>
      </c>
      <c r="U16" s="120"/>
      <c r="V16" s="120"/>
      <c r="W16" s="117" t="s">
        <v>212</v>
      </c>
      <c r="X16" s="116" t="s">
        <v>217</v>
      </c>
      <c r="Y16" s="120" t="s">
        <v>218</v>
      </c>
      <c r="Z16" s="120"/>
      <c r="AA16" s="120"/>
      <c r="AB16" s="117" t="s">
        <v>212</v>
      </c>
      <c r="AC16" s="116">
        <v>0</v>
      </c>
      <c r="AD16" s="117">
        <v>0</v>
      </c>
      <c r="AE16" s="120"/>
      <c r="AF16" s="120"/>
      <c r="AG16" s="121">
        <v>25</v>
      </c>
      <c r="AH16" s="122">
        <f>SUM(5,5,3,10)</f>
        <v>23</v>
      </c>
      <c r="AI16" s="124" t="s">
        <v>219</v>
      </c>
      <c r="AJ16" s="124"/>
      <c r="AK16" s="124" t="s">
        <v>220</v>
      </c>
      <c r="AL16" s="124" t="s">
        <v>221</v>
      </c>
      <c r="AM16" s="134" t="s">
        <v>222</v>
      </c>
      <c r="AN16" s="143" t="s">
        <v>223</v>
      </c>
      <c r="AO16" s="143" t="s">
        <v>224</v>
      </c>
      <c r="AP16" s="143" t="s">
        <v>70</v>
      </c>
      <c r="AQ16" s="209">
        <v>23</v>
      </c>
      <c r="AR16" s="222">
        <f>23-14</f>
        <v>9</v>
      </c>
      <c r="AS16" s="221"/>
    </row>
    <row r="17" spans="1:45" ht="98.25" customHeight="1">
      <c r="A17" s="263"/>
      <c r="B17" s="263"/>
      <c r="C17" s="229" t="s">
        <v>225</v>
      </c>
      <c r="D17" s="124"/>
      <c r="E17" s="124" t="s">
        <v>226</v>
      </c>
      <c r="F17" s="10" t="s">
        <v>227</v>
      </c>
      <c r="G17" s="116">
        <v>7</v>
      </c>
      <c r="H17" s="117">
        <v>5</v>
      </c>
      <c r="I17" s="138" t="s">
        <v>228</v>
      </c>
      <c r="J17" s="139" t="s">
        <v>228</v>
      </c>
      <c r="K17" s="139"/>
      <c r="L17" s="139"/>
      <c r="M17" s="117">
        <v>5</v>
      </c>
      <c r="N17" s="116" t="s">
        <v>229</v>
      </c>
      <c r="O17" s="120" t="s">
        <v>229</v>
      </c>
      <c r="P17" s="120"/>
      <c r="Q17" s="120"/>
      <c r="R17" s="117">
        <v>5</v>
      </c>
      <c r="S17" s="128" t="s">
        <v>230</v>
      </c>
      <c r="T17" s="120" t="s">
        <v>231</v>
      </c>
      <c r="U17" s="120"/>
      <c r="V17" s="120"/>
      <c r="W17" s="117">
        <v>5</v>
      </c>
      <c r="X17" s="116" t="s">
        <v>232</v>
      </c>
      <c r="Y17" s="120" t="s">
        <v>233</v>
      </c>
      <c r="Z17" s="120"/>
      <c r="AA17" s="120"/>
      <c r="AB17" s="117">
        <v>5</v>
      </c>
      <c r="AC17" s="116">
        <v>0</v>
      </c>
      <c r="AD17" s="117">
        <v>0</v>
      </c>
      <c r="AE17" s="120"/>
      <c r="AF17" s="120"/>
      <c r="AG17" s="121">
        <f>SUM(H17:AB17)</f>
        <v>25</v>
      </c>
      <c r="AH17" s="122"/>
      <c r="AI17" s="124" t="s">
        <v>234</v>
      </c>
      <c r="AJ17" s="124"/>
      <c r="AK17" s="124"/>
      <c r="AL17" s="124"/>
      <c r="AM17" s="134" t="s">
        <v>235</v>
      </c>
      <c r="AN17" s="143" t="s">
        <v>70</v>
      </c>
      <c r="AO17" s="143" t="s">
        <v>70</v>
      </c>
      <c r="AP17" s="143" t="s">
        <v>70</v>
      </c>
      <c r="AQ17" s="143" t="s">
        <v>236</v>
      </c>
      <c r="AR17" s="222">
        <f>23-14</f>
        <v>9</v>
      </c>
      <c r="AS17" s="221"/>
    </row>
    <row r="18" spans="1:45" ht="114" customHeight="1">
      <c r="A18" s="263"/>
      <c r="B18" s="263"/>
      <c r="C18" s="124" t="s">
        <v>237</v>
      </c>
      <c r="D18" s="124"/>
      <c r="E18" s="124" t="s">
        <v>238</v>
      </c>
      <c r="F18" s="6" t="s">
        <v>239</v>
      </c>
      <c r="G18" s="116">
        <v>7</v>
      </c>
      <c r="H18" s="117" t="s">
        <v>181</v>
      </c>
      <c r="I18" s="116" t="s">
        <v>181</v>
      </c>
      <c r="J18" s="120" t="s">
        <v>181</v>
      </c>
      <c r="K18" s="121" t="s">
        <v>181</v>
      </c>
      <c r="L18" s="121" t="s">
        <v>181</v>
      </c>
      <c r="M18" s="121" t="s">
        <v>181</v>
      </c>
      <c r="N18" s="121" t="s">
        <v>181</v>
      </c>
      <c r="O18" s="121" t="s">
        <v>181</v>
      </c>
      <c r="P18" s="121" t="s">
        <v>181</v>
      </c>
      <c r="Q18" s="121" t="s">
        <v>181</v>
      </c>
      <c r="R18" s="121" t="s">
        <v>181</v>
      </c>
      <c r="S18" s="121" t="s">
        <v>181</v>
      </c>
      <c r="T18" s="121" t="s">
        <v>181</v>
      </c>
      <c r="U18" s="121" t="s">
        <v>181</v>
      </c>
      <c r="V18" s="121" t="s">
        <v>181</v>
      </c>
      <c r="W18" s="121" t="s">
        <v>181</v>
      </c>
      <c r="X18" s="121" t="s">
        <v>181</v>
      </c>
      <c r="Y18" s="121" t="s">
        <v>181</v>
      </c>
      <c r="Z18" s="121" t="s">
        <v>181</v>
      </c>
      <c r="AA18" s="121" t="s">
        <v>181</v>
      </c>
      <c r="AB18" s="121" t="s">
        <v>181</v>
      </c>
      <c r="AC18" s="121" t="s">
        <v>181</v>
      </c>
      <c r="AD18" s="121" t="s">
        <v>181</v>
      </c>
      <c r="AE18" s="121" t="s">
        <v>181</v>
      </c>
      <c r="AF18" s="121" t="s">
        <v>181</v>
      </c>
      <c r="AG18" s="121" t="s">
        <v>181</v>
      </c>
      <c r="AH18" s="122"/>
      <c r="AI18" s="122" t="s">
        <v>181</v>
      </c>
      <c r="AJ18" s="121" t="s">
        <v>181</v>
      </c>
      <c r="AK18" s="124" t="s">
        <v>240</v>
      </c>
      <c r="AL18" s="124"/>
      <c r="AM18" s="134" t="s">
        <v>241</v>
      </c>
      <c r="AN18" s="143" t="s">
        <v>70</v>
      </c>
      <c r="AO18" s="143" t="s">
        <v>70</v>
      </c>
      <c r="AP18" s="143" t="s">
        <v>70</v>
      </c>
      <c r="AQ18" s="143" t="s">
        <v>242</v>
      </c>
      <c r="AR18" s="222" t="s">
        <v>243</v>
      </c>
      <c r="AS18" s="220" t="s">
        <v>181</v>
      </c>
    </row>
    <row r="19" spans="1:45" ht="73.5" customHeight="1">
      <c r="A19" s="263" t="s">
        <v>244</v>
      </c>
      <c r="B19" s="263" t="s">
        <v>245</v>
      </c>
      <c r="C19" s="179" t="s">
        <v>246</v>
      </c>
      <c r="D19" s="124"/>
      <c r="E19" s="124" t="s">
        <v>247</v>
      </c>
      <c r="F19" s="11" t="s">
        <v>248</v>
      </c>
      <c r="G19" s="116">
        <v>15</v>
      </c>
      <c r="H19" s="117" t="s">
        <v>249</v>
      </c>
      <c r="I19" s="116">
        <v>0</v>
      </c>
      <c r="J19" s="120">
        <v>0</v>
      </c>
      <c r="K19" s="120"/>
      <c r="L19" s="120"/>
      <c r="M19" s="117" t="s">
        <v>249</v>
      </c>
      <c r="N19" s="116">
        <v>0</v>
      </c>
      <c r="O19" s="120">
        <v>0</v>
      </c>
      <c r="P19" s="120"/>
      <c r="Q19" s="120"/>
      <c r="R19" s="117" t="s">
        <v>249</v>
      </c>
      <c r="S19" s="116">
        <v>0</v>
      </c>
      <c r="T19" s="120">
        <v>0</v>
      </c>
      <c r="U19" s="120"/>
      <c r="V19" s="120"/>
      <c r="W19" s="117" t="s">
        <v>249</v>
      </c>
      <c r="X19" s="116">
        <v>0</v>
      </c>
      <c r="Y19" s="120">
        <v>0</v>
      </c>
      <c r="Z19" s="120"/>
      <c r="AA19" s="120"/>
      <c r="AB19" s="117" t="s">
        <v>249</v>
      </c>
      <c r="AC19" s="116">
        <v>0</v>
      </c>
      <c r="AD19" s="117">
        <v>0</v>
      </c>
      <c r="AE19" s="120"/>
      <c r="AF19" s="120"/>
      <c r="AG19" s="121">
        <v>15</v>
      </c>
      <c r="AH19" s="122">
        <v>0</v>
      </c>
      <c r="AI19" s="122">
        <v>0</v>
      </c>
      <c r="AJ19" s="122"/>
      <c r="AK19" s="124"/>
      <c r="AL19" s="124"/>
      <c r="AM19" s="134"/>
      <c r="AN19" s="143" t="s">
        <v>70</v>
      </c>
      <c r="AO19" s="143" t="s">
        <v>250</v>
      </c>
      <c r="AP19" s="143" t="s">
        <v>70</v>
      </c>
      <c r="AQ19" s="143"/>
      <c r="AR19" s="222"/>
      <c r="AS19" s="221"/>
    </row>
    <row r="20" spans="1:45" ht="82.5" customHeight="1">
      <c r="A20" s="263"/>
      <c r="B20" s="263"/>
      <c r="C20" s="179" t="s">
        <v>251</v>
      </c>
      <c r="D20" s="124"/>
      <c r="E20" s="124" t="s">
        <v>252</v>
      </c>
      <c r="F20" s="11" t="s">
        <v>253</v>
      </c>
      <c r="G20" s="116">
        <v>17</v>
      </c>
      <c r="H20" s="117" t="s">
        <v>254</v>
      </c>
      <c r="I20" s="116">
        <v>0</v>
      </c>
      <c r="J20" s="120">
        <v>0</v>
      </c>
      <c r="K20" s="120"/>
      <c r="L20" s="120"/>
      <c r="M20" s="117" t="s">
        <v>254</v>
      </c>
      <c r="N20" s="116">
        <v>0</v>
      </c>
      <c r="O20" s="120">
        <v>0</v>
      </c>
      <c r="P20" s="120"/>
      <c r="Q20" s="120"/>
      <c r="R20" s="117" t="s">
        <v>254</v>
      </c>
      <c r="S20" s="118" t="s">
        <v>255</v>
      </c>
      <c r="T20" s="119" t="s">
        <v>256</v>
      </c>
      <c r="U20" s="119"/>
      <c r="V20" s="119"/>
      <c r="W20" s="117" t="s">
        <v>254</v>
      </c>
      <c r="X20" s="116">
        <v>0</v>
      </c>
      <c r="Y20" s="120">
        <v>0</v>
      </c>
      <c r="Z20" s="120"/>
      <c r="AA20" s="120"/>
      <c r="AB20" s="117" t="s">
        <v>254</v>
      </c>
      <c r="AC20" s="116">
        <v>0</v>
      </c>
      <c r="AD20" s="117">
        <v>0</v>
      </c>
      <c r="AE20" s="120"/>
      <c r="AF20" s="120"/>
      <c r="AG20" s="121">
        <v>25</v>
      </c>
      <c r="AH20" s="122">
        <v>0</v>
      </c>
      <c r="AI20" s="124" t="s">
        <v>257</v>
      </c>
      <c r="AJ20" s="124"/>
      <c r="AK20" s="124"/>
      <c r="AL20" s="124"/>
      <c r="AM20" s="134"/>
      <c r="AN20" s="143" t="s">
        <v>258</v>
      </c>
      <c r="AO20" s="143" t="s">
        <v>259</v>
      </c>
      <c r="AP20" s="143" t="s">
        <v>260</v>
      </c>
      <c r="AQ20" s="143">
        <v>21</v>
      </c>
      <c r="AR20" s="222">
        <v>21</v>
      </c>
      <c r="AS20" s="221"/>
    </row>
    <row r="21" spans="1:45" ht="90" customHeight="1">
      <c r="A21" s="263"/>
      <c r="B21" s="263"/>
      <c r="C21" s="124" t="s">
        <v>261</v>
      </c>
      <c r="D21" s="124"/>
      <c r="E21" s="124" t="s">
        <v>262</v>
      </c>
      <c r="F21" s="6" t="s">
        <v>263</v>
      </c>
      <c r="G21" s="118">
        <v>2500</v>
      </c>
      <c r="H21" s="117">
        <v>250</v>
      </c>
      <c r="I21" s="116" t="s">
        <v>264</v>
      </c>
      <c r="J21" s="120" t="s">
        <v>265</v>
      </c>
      <c r="K21" s="120" t="s">
        <v>325</v>
      </c>
      <c r="L21" s="120">
        <f>249+0</f>
        <v>249</v>
      </c>
      <c r="M21" s="117">
        <v>250</v>
      </c>
      <c r="N21" s="138">
        <v>125</v>
      </c>
      <c r="O21" s="139">
        <v>125</v>
      </c>
      <c r="P21" s="139" t="s">
        <v>326</v>
      </c>
      <c r="Q21" s="139">
        <f>250+0</f>
        <v>250</v>
      </c>
      <c r="R21" s="117">
        <v>250</v>
      </c>
      <c r="S21" s="118">
        <v>229</v>
      </c>
      <c r="T21" s="119" t="s">
        <v>266</v>
      </c>
      <c r="U21" s="139" t="s">
        <v>327</v>
      </c>
      <c r="V21" s="139">
        <f>229+0</f>
        <v>229</v>
      </c>
      <c r="W21" s="117">
        <v>250</v>
      </c>
      <c r="X21" s="116">
        <v>250</v>
      </c>
      <c r="Y21" s="120" t="s">
        <v>267</v>
      </c>
      <c r="Z21" s="120" t="s">
        <v>326</v>
      </c>
      <c r="AA21" s="120">
        <f>250+0</f>
        <v>250</v>
      </c>
      <c r="AB21" s="117">
        <v>250</v>
      </c>
      <c r="AC21" s="118">
        <v>123</v>
      </c>
      <c r="AD21" s="142" t="s">
        <v>268</v>
      </c>
      <c r="AE21" s="120" t="s">
        <v>328</v>
      </c>
      <c r="AF21" s="120">
        <f>122+0</f>
        <v>122</v>
      </c>
      <c r="AG21" s="121">
        <f>SUM(H21,M21,R21,W21,AB21)</f>
        <v>1250</v>
      </c>
      <c r="AH21" s="122">
        <f>SUM(249,N21,S21,X21,AC21)</f>
        <v>976</v>
      </c>
      <c r="AI21" s="122">
        <v>976</v>
      </c>
      <c r="AJ21" s="123">
        <f>SUM(L21,Q21,V21,AA21,AF21)</f>
        <v>1100</v>
      </c>
      <c r="AK21" s="136" t="s">
        <v>269</v>
      </c>
      <c r="AL21" s="137" t="s">
        <v>270</v>
      </c>
      <c r="AM21" s="216" t="s">
        <v>271</v>
      </c>
      <c r="AN21" s="143" t="s">
        <v>243</v>
      </c>
      <c r="AO21" s="143" t="s">
        <v>70</v>
      </c>
      <c r="AP21" s="211" t="s">
        <v>272</v>
      </c>
      <c r="AQ21" s="143">
        <v>976</v>
      </c>
      <c r="AR21" s="222">
        <f>976-371</f>
        <v>605</v>
      </c>
      <c r="AS21" s="227">
        <f>G21-AJ21</f>
        <v>1400</v>
      </c>
    </row>
    <row r="22" spans="1:45" ht="34.5" customHeight="1">
      <c r="A22" s="263"/>
      <c r="B22" s="263"/>
      <c r="C22" s="124" t="s">
        <v>273</v>
      </c>
      <c r="D22" s="124"/>
      <c r="E22" s="124"/>
      <c r="F22" s="4" t="s">
        <v>274</v>
      </c>
      <c r="G22" s="116">
        <v>6</v>
      </c>
      <c r="H22" s="117" t="s">
        <v>181</v>
      </c>
      <c r="I22" s="116" t="s">
        <v>181</v>
      </c>
      <c r="J22" s="120" t="s">
        <v>181</v>
      </c>
      <c r="K22" s="121" t="s">
        <v>181</v>
      </c>
      <c r="L22" s="121" t="s">
        <v>181</v>
      </c>
      <c r="M22" s="121" t="s">
        <v>181</v>
      </c>
      <c r="N22" s="121" t="s">
        <v>181</v>
      </c>
      <c r="O22" s="121" t="s">
        <v>181</v>
      </c>
      <c r="P22" s="121" t="s">
        <v>181</v>
      </c>
      <c r="Q22" s="121" t="s">
        <v>181</v>
      </c>
      <c r="R22" s="121" t="s">
        <v>181</v>
      </c>
      <c r="S22" s="121" t="s">
        <v>181</v>
      </c>
      <c r="T22" s="121" t="s">
        <v>181</v>
      </c>
      <c r="U22" s="121" t="s">
        <v>181</v>
      </c>
      <c r="V22" s="121" t="s">
        <v>181</v>
      </c>
      <c r="W22" s="121" t="s">
        <v>181</v>
      </c>
      <c r="X22" s="121" t="s">
        <v>181</v>
      </c>
      <c r="Y22" s="121" t="s">
        <v>181</v>
      </c>
      <c r="Z22" s="121" t="s">
        <v>181</v>
      </c>
      <c r="AA22" s="121" t="s">
        <v>181</v>
      </c>
      <c r="AB22" s="121" t="s">
        <v>181</v>
      </c>
      <c r="AC22" s="121" t="s">
        <v>181</v>
      </c>
      <c r="AD22" s="121" t="s">
        <v>181</v>
      </c>
      <c r="AE22" s="121" t="s">
        <v>181</v>
      </c>
      <c r="AF22" s="121" t="s">
        <v>181</v>
      </c>
      <c r="AG22" s="121" t="s">
        <v>181</v>
      </c>
      <c r="AH22" s="122"/>
      <c r="AI22" s="122" t="s">
        <v>181</v>
      </c>
      <c r="AJ22" s="121" t="s">
        <v>181</v>
      </c>
      <c r="AK22" s="124"/>
      <c r="AL22" s="124"/>
      <c r="AM22" s="134"/>
      <c r="AN22" s="143" t="s">
        <v>243</v>
      </c>
      <c r="AO22" s="143" t="s">
        <v>70</v>
      </c>
      <c r="AP22" s="143" t="s">
        <v>70</v>
      </c>
      <c r="AQ22" s="143" t="s">
        <v>70</v>
      </c>
      <c r="AR22" s="222" t="s">
        <v>275</v>
      </c>
      <c r="AS22" s="220" t="s">
        <v>181</v>
      </c>
    </row>
    <row r="23" spans="1:45" ht="33.950000000000003" customHeight="1">
      <c r="A23" s="263"/>
      <c r="B23" s="263" t="s">
        <v>276</v>
      </c>
      <c r="C23" s="124" t="s">
        <v>277</v>
      </c>
      <c r="D23" s="124"/>
      <c r="E23" s="124" t="s">
        <v>278</v>
      </c>
      <c r="F23" s="4" t="s">
        <v>279</v>
      </c>
      <c r="G23" s="116">
        <v>6</v>
      </c>
      <c r="H23" s="117" t="s">
        <v>181</v>
      </c>
      <c r="I23" s="116" t="s">
        <v>181</v>
      </c>
      <c r="J23" s="120" t="s">
        <v>181</v>
      </c>
      <c r="K23" s="121" t="s">
        <v>181</v>
      </c>
      <c r="L23" s="121" t="s">
        <v>181</v>
      </c>
      <c r="M23" s="121" t="s">
        <v>181</v>
      </c>
      <c r="N23" s="121" t="s">
        <v>181</v>
      </c>
      <c r="O23" s="121" t="s">
        <v>181</v>
      </c>
      <c r="P23" s="121" t="s">
        <v>181</v>
      </c>
      <c r="Q23" s="121" t="s">
        <v>181</v>
      </c>
      <c r="R23" s="121" t="s">
        <v>181</v>
      </c>
      <c r="S23" s="121" t="s">
        <v>181</v>
      </c>
      <c r="T23" s="121" t="s">
        <v>181</v>
      </c>
      <c r="U23" s="121" t="s">
        <v>181</v>
      </c>
      <c r="V23" s="121" t="s">
        <v>181</v>
      </c>
      <c r="W23" s="121" t="s">
        <v>181</v>
      </c>
      <c r="X23" s="121" t="s">
        <v>181</v>
      </c>
      <c r="Y23" s="121" t="s">
        <v>181</v>
      </c>
      <c r="Z23" s="121" t="s">
        <v>181</v>
      </c>
      <c r="AA23" s="121" t="s">
        <v>181</v>
      </c>
      <c r="AB23" s="121" t="s">
        <v>181</v>
      </c>
      <c r="AC23" s="121" t="s">
        <v>181</v>
      </c>
      <c r="AD23" s="121" t="s">
        <v>181</v>
      </c>
      <c r="AE23" s="121" t="s">
        <v>181</v>
      </c>
      <c r="AF23" s="121" t="s">
        <v>181</v>
      </c>
      <c r="AG23" s="121" t="s">
        <v>181</v>
      </c>
      <c r="AH23" s="122"/>
      <c r="AI23" s="122" t="s">
        <v>181</v>
      </c>
      <c r="AJ23" s="121" t="s">
        <v>181</v>
      </c>
      <c r="AK23" s="124"/>
      <c r="AL23" s="124"/>
      <c r="AM23" s="134"/>
      <c r="AN23" s="143" t="s">
        <v>243</v>
      </c>
      <c r="AO23" s="143" t="s">
        <v>70</v>
      </c>
      <c r="AP23" s="143" t="s">
        <v>70</v>
      </c>
      <c r="AQ23" s="143" t="s">
        <v>70</v>
      </c>
      <c r="AR23" s="222" t="s">
        <v>275</v>
      </c>
      <c r="AS23" s="220" t="s">
        <v>181</v>
      </c>
    </row>
    <row r="24" spans="1:45" ht="47.1" customHeight="1">
      <c r="A24" s="263"/>
      <c r="B24" s="263"/>
      <c r="C24" s="124" t="s">
        <v>280</v>
      </c>
      <c r="D24" s="124"/>
      <c r="E24" s="124" t="s">
        <v>281</v>
      </c>
      <c r="F24" s="4" t="s">
        <v>282</v>
      </c>
      <c r="G24" s="116">
        <v>6</v>
      </c>
      <c r="H24" s="117" t="s">
        <v>181</v>
      </c>
      <c r="I24" s="116" t="s">
        <v>181</v>
      </c>
      <c r="J24" s="120" t="s">
        <v>181</v>
      </c>
      <c r="K24" s="121" t="s">
        <v>181</v>
      </c>
      <c r="L24" s="121" t="s">
        <v>181</v>
      </c>
      <c r="M24" s="121" t="s">
        <v>181</v>
      </c>
      <c r="N24" s="121" t="s">
        <v>181</v>
      </c>
      <c r="O24" s="121" t="s">
        <v>181</v>
      </c>
      <c r="P24" s="121" t="s">
        <v>181</v>
      </c>
      <c r="Q24" s="121" t="s">
        <v>181</v>
      </c>
      <c r="R24" s="121" t="s">
        <v>181</v>
      </c>
      <c r="S24" s="121" t="s">
        <v>181</v>
      </c>
      <c r="T24" s="121" t="s">
        <v>181</v>
      </c>
      <c r="U24" s="121" t="s">
        <v>181</v>
      </c>
      <c r="V24" s="121" t="s">
        <v>181</v>
      </c>
      <c r="W24" s="121" t="s">
        <v>181</v>
      </c>
      <c r="X24" s="121" t="s">
        <v>181</v>
      </c>
      <c r="Y24" s="121" t="s">
        <v>181</v>
      </c>
      <c r="Z24" s="121" t="s">
        <v>181</v>
      </c>
      <c r="AA24" s="121" t="s">
        <v>181</v>
      </c>
      <c r="AB24" s="121" t="s">
        <v>181</v>
      </c>
      <c r="AC24" s="121" t="s">
        <v>181</v>
      </c>
      <c r="AD24" s="121" t="s">
        <v>181</v>
      </c>
      <c r="AE24" s="121" t="s">
        <v>181</v>
      </c>
      <c r="AF24" s="121" t="s">
        <v>181</v>
      </c>
      <c r="AG24" s="121" t="s">
        <v>181</v>
      </c>
      <c r="AH24" s="122"/>
      <c r="AI24" s="122" t="s">
        <v>181</v>
      </c>
      <c r="AJ24" s="121" t="s">
        <v>181</v>
      </c>
      <c r="AK24" s="124"/>
      <c r="AL24" s="124"/>
      <c r="AM24" s="134"/>
      <c r="AN24" s="143" t="s">
        <v>243</v>
      </c>
      <c r="AO24" s="143" t="s">
        <v>70</v>
      </c>
      <c r="AP24" s="143" t="s">
        <v>70</v>
      </c>
      <c r="AQ24" s="143" t="s">
        <v>70</v>
      </c>
      <c r="AR24" s="222" t="s">
        <v>275</v>
      </c>
      <c r="AS24" s="220" t="s">
        <v>181</v>
      </c>
    </row>
    <row r="25" spans="1:45" ht="48.95" customHeight="1">
      <c r="A25" s="263"/>
      <c r="B25" s="263"/>
      <c r="C25" s="124" t="s">
        <v>283</v>
      </c>
      <c r="D25" s="124"/>
      <c r="E25" s="124" t="s">
        <v>284</v>
      </c>
      <c r="F25" s="4" t="s">
        <v>285</v>
      </c>
      <c r="G25" s="116">
        <v>3</v>
      </c>
      <c r="H25" s="117" t="s">
        <v>181</v>
      </c>
      <c r="I25" s="116" t="s">
        <v>181</v>
      </c>
      <c r="J25" s="120" t="s">
        <v>181</v>
      </c>
      <c r="K25" s="121" t="s">
        <v>181</v>
      </c>
      <c r="L25" s="121" t="s">
        <v>181</v>
      </c>
      <c r="M25" s="121" t="s">
        <v>181</v>
      </c>
      <c r="N25" s="121" t="s">
        <v>181</v>
      </c>
      <c r="O25" s="121" t="s">
        <v>181</v>
      </c>
      <c r="P25" s="121" t="s">
        <v>181</v>
      </c>
      <c r="Q25" s="121" t="s">
        <v>181</v>
      </c>
      <c r="R25" s="121" t="s">
        <v>181</v>
      </c>
      <c r="S25" s="121" t="s">
        <v>181</v>
      </c>
      <c r="T25" s="121" t="s">
        <v>181</v>
      </c>
      <c r="U25" s="121" t="s">
        <v>181</v>
      </c>
      <c r="V25" s="121" t="s">
        <v>181</v>
      </c>
      <c r="W25" s="121" t="s">
        <v>181</v>
      </c>
      <c r="X25" s="121" t="s">
        <v>181</v>
      </c>
      <c r="Y25" s="121" t="s">
        <v>181</v>
      </c>
      <c r="Z25" s="121" t="s">
        <v>181</v>
      </c>
      <c r="AA25" s="121" t="s">
        <v>181</v>
      </c>
      <c r="AB25" s="121" t="s">
        <v>181</v>
      </c>
      <c r="AC25" s="121" t="s">
        <v>181</v>
      </c>
      <c r="AD25" s="121" t="s">
        <v>181</v>
      </c>
      <c r="AE25" s="121" t="s">
        <v>181</v>
      </c>
      <c r="AF25" s="121" t="s">
        <v>181</v>
      </c>
      <c r="AG25" s="121" t="s">
        <v>181</v>
      </c>
      <c r="AH25" s="122"/>
      <c r="AI25" s="122" t="s">
        <v>181</v>
      </c>
      <c r="AJ25" s="121" t="s">
        <v>181</v>
      </c>
      <c r="AK25" s="124"/>
      <c r="AL25" s="124"/>
      <c r="AM25" s="134"/>
      <c r="AN25" s="143" t="s">
        <v>243</v>
      </c>
      <c r="AO25" s="143" t="s">
        <v>70</v>
      </c>
      <c r="AP25" s="143" t="s">
        <v>70</v>
      </c>
      <c r="AQ25" s="143" t="s">
        <v>70</v>
      </c>
      <c r="AR25" s="222" t="s">
        <v>275</v>
      </c>
      <c r="AS25" s="220" t="s">
        <v>181</v>
      </c>
    </row>
    <row r="26" spans="1:45" ht="14.45"/>
  </sheetData>
  <mergeCells count="10">
    <mergeCell ref="R1:Y1"/>
    <mergeCell ref="AB1:AF1"/>
    <mergeCell ref="H1:O1"/>
    <mergeCell ref="A19:A25"/>
    <mergeCell ref="B19:B22"/>
    <mergeCell ref="B23:B25"/>
    <mergeCell ref="A3:A18"/>
    <mergeCell ref="B3:B10"/>
    <mergeCell ref="B11:B15"/>
    <mergeCell ref="B16:B18"/>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BAC11-40C1-4C93-95BE-CBB5107D994F}">
  <dimension ref="A1:B13"/>
  <sheetViews>
    <sheetView workbookViewId="0">
      <selection activeCell="B14" sqref="B14"/>
    </sheetView>
  </sheetViews>
  <sheetFormatPr defaultRowHeight="14.45"/>
  <cols>
    <col min="1" max="1" width="74.85546875" customWidth="1"/>
    <col min="2" max="2" width="48.28515625" customWidth="1"/>
  </cols>
  <sheetData>
    <row r="1" spans="1:2">
      <c r="A1" s="97" t="s">
        <v>329</v>
      </c>
    </row>
    <row r="2" spans="1:2" ht="37.5" customHeight="1">
      <c r="A2" s="180" t="s">
        <v>54</v>
      </c>
      <c r="B2" s="203"/>
    </row>
    <row r="3" spans="1:2" ht="35.25" customHeight="1">
      <c r="A3" s="180" t="s">
        <v>71</v>
      </c>
      <c r="B3" t="s">
        <v>330</v>
      </c>
    </row>
    <row r="4" spans="1:2" ht="36.75" customHeight="1">
      <c r="A4" s="179" t="s">
        <v>128</v>
      </c>
      <c r="B4" s="203"/>
    </row>
    <row r="5" spans="1:2" ht="33.75" customHeight="1">
      <c r="A5" s="179" t="s">
        <v>162</v>
      </c>
      <c r="B5" s="203" t="s">
        <v>331</v>
      </c>
    </row>
    <row r="6" spans="1:2" ht="36" customHeight="1">
      <c r="A6" s="179" t="s">
        <v>186</v>
      </c>
      <c r="B6" s="109" t="s">
        <v>332</v>
      </c>
    </row>
    <row r="7" spans="1:2" ht="35.25" customHeight="1">
      <c r="A7" s="179" t="s">
        <v>201</v>
      </c>
      <c r="B7" s="109" t="s">
        <v>333</v>
      </c>
    </row>
    <row r="8" spans="1:2" ht="48" customHeight="1">
      <c r="A8" s="179" t="s">
        <v>246</v>
      </c>
      <c r="B8" s="203"/>
    </row>
    <row r="9" spans="1:2" ht="41.25" customHeight="1">
      <c r="A9" s="179" t="s">
        <v>251</v>
      </c>
    </row>
    <row r="12" spans="1:2" ht="29.1">
      <c r="A12" s="5" t="s">
        <v>334</v>
      </c>
    </row>
    <row r="13" spans="1:2" ht="29.1">
      <c r="A13" s="5" t="s">
        <v>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F67FF-A9EE-47E6-9E33-AD89168594BF}">
  <dimension ref="A1:M24"/>
  <sheetViews>
    <sheetView workbookViewId="0">
      <selection activeCell="C3" sqref="C3"/>
    </sheetView>
  </sheetViews>
  <sheetFormatPr defaultRowHeight="14.45"/>
  <cols>
    <col min="1" max="1" width="12.85546875" customWidth="1"/>
    <col min="2" max="2" width="54" customWidth="1"/>
    <col min="3" max="3" width="17.5703125" customWidth="1"/>
    <col min="5" max="5" width="15.42578125" customWidth="1"/>
    <col min="6" max="6" width="14.42578125" customWidth="1"/>
    <col min="7" max="7" width="14.5703125" customWidth="1"/>
    <col min="8" max="8" width="15" customWidth="1"/>
    <col min="9" max="9" width="12.85546875" customWidth="1"/>
    <col min="10" max="10" width="26.5703125" customWidth="1"/>
    <col min="11" max="11" width="12.85546875" customWidth="1"/>
    <col min="12" max="12" width="13.140625" customWidth="1"/>
    <col min="14" max="14" width="13.7109375" customWidth="1"/>
  </cols>
  <sheetData>
    <row r="1" spans="1:13">
      <c r="A1" s="181" t="s">
        <v>335</v>
      </c>
      <c r="B1" s="182" t="s">
        <v>336</v>
      </c>
      <c r="C1" s="181" t="s">
        <v>335</v>
      </c>
      <c r="D1" s="181" t="s">
        <v>335</v>
      </c>
      <c r="E1" s="181" t="s">
        <v>335</v>
      </c>
      <c r="F1" s="181" t="s">
        <v>335</v>
      </c>
      <c r="G1" s="181" t="s">
        <v>335</v>
      </c>
      <c r="H1" s="181" t="s">
        <v>335</v>
      </c>
      <c r="I1" s="181" t="s">
        <v>335</v>
      </c>
      <c r="J1" s="181" t="s">
        <v>335</v>
      </c>
      <c r="K1" s="181" t="s">
        <v>335</v>
      </c>
      <c r="L1" s="181" t="s">
        <v>335</v>
      </c>
      <c r="M1" s="181" t="s">
        <v>335</v>
      </c>
    </row>
    <row r="2" spans="1:13">
      <c r="A2" s="181" t="s">
        <v>335</v>
      </c>
      <c r="B2" s="181" t="s">
        <v>335</v>
      </c>
      <c r="C2" s="181" t="s">
        <v>335</v>
      </c>
      <c r="D2" s="181" t="s">
        <v>335</v>
      </c>
      <c r="E2" s="181" t="s">
        <v>335</v>
      </c>
      <c r="F2" s="181" t="s">
        <v>335</v>
      </c>
      <c r="G2" s="181" t="s">
        <v>335</v>
      </c>
      <c r="H2" s="181" t="s">
        <v>335</v>
      </c>
      <c r="I2" s="181" t="s">
        <v>335</v>
      </c>
      <c r="J2" s="181" t="s">
        <v>335</v>
      </c>
      <c r="K2" s="181" t="s">
        <v>335</v>
      </c>
      <c r="L2" s="181" t="s">
        <v>335</v>
      </c>
      <c r="M2" s="181" t="s">
        <v>335</v>
      </c>
    </row>
    <row r="3" spans="1:13" ht="135" customHeight="1">
      <c r="A3" s="181" t="s">
        <v>335</v>
      </c>
      <c r="B3" s="183" t="s">
        <v>337</v>
      </c>
      <c r="C3" s="181" t="s">
        <v>335</v>
      </c>
      <c r="D3" s="181" t="s">
        <v>335</v>
      </c>
      <c r="E3" s="181" t="s">
        <v>335</v>
      </c>
      <c r="F3" s="181" t="s">
        <v>335</v>
      </c>
      <c r="G3" s="181" t="s">
        <v>335</v>
      </c>
      <c r="H3" s="181" t="s">
        <v>335</v>
      </c>
      <c r="I3" s="181" t="s">
        <v>335</v>
      </c>
      <c r="J3" s="181" t="s">
        <v>335</v>
      </c>
      <c r="K3" s="181" t="s">
        <v>335</v>
      </c>
      <c r="L3" s="181" t="s">
        <v>335</v>
      </c>
      <c r="M3" s="181" t="s">
        <v>335</v>
      </c>
    </row>
    <row r="4" spans="1:13">
      <c r="A4" s="181" t="s">
        <v>335</v>
      </c>
      <c r="B4" s="181" t="s">
        <v>338</v>
      </c>
      <c r="C4" s="181"/>
      <c r="D4" s="181" t="s">
        <v>335</v>
      </c>
      <c r="E4" s="181" t="s">
        <v>335</v>
      </c>
      <c r="F4" s="181" t="s">
        <v>335</v>
      </c>
      <c r="G4" s="181" t="s">
        <v>335</v>
      </c>
      <c r="H4" s="181" t="s">
        <v>335</v>
      </c>
      <c r="I4" s="181" t="s">
        <v>335</v>
      </c>
      <c r="J4" s="181" t="s">
        <v>335</v>
      </c>
      <c r="K4" s="181" t="s">
        <v>335</v>
      </c>
      <c r="L4" s="181" t="s">
        <v>335</v>
      </c>
      <c r="M4" s="181" t="s">
        <v>335</v>
      </c>
    </row>
    <row r="5" spans="1:13">
      <c r="A5" s="181" t="s">
        <v>335</v>
      </c>
      <c r="B5" s="181" t="s">
        <v>335</v>
      </c>
      <c r="C5" s="181" t="s">
        <v>335</v>
      </c>
      <c r="D5" s="181" t="s">
        <v>335</v>
      </c>
      <c r="E5" s="181" t="s">
        <v>335</v>
      </c>
      <c r="F5" s="181" t="s">
        <v>335</v>
      </c>
      <c r="G5" s="181" t="s">
        <v>335</v>
      </c>
      <c r="H5" s="181" t="s">
        <v>335</v>
      </c>
      <c r="I5" s="181" t="s">
        <v>335</v>
      </c>
      <c r="J5" s="181" t="s">
        <v>335</v>
      </c>
      <c r="K5" s="181" t="s">
        <v>335</v>
      </c>
      <c r="L5" s="181" t="s">
        <v>335</v>
      </c>
      <c r="M5" s="181" t="s">
        <v>335</v>
      </c>
    </row>
    <row r="6" spans="1:13">
      <c r="A6" s="267" t="s">
        <v>335</v>
      </c>
      <c r="B6" s="267" t="s">
        <v>21</v>
      </c>
      <c r="C6" s="267" t="s">
        <v>339</v>
      </c>
      <c r="D6" s="267" t="s">
        <v>340</v>
      </c>
      <c r="E6" s="271" t="s">
        <v>341</v>
      </c>
      <c r="F6" s="271"/>
      <c r="G6" s="271"/>
      <c r="H6" s="272"/>
      <c r="I6" s="267" t="s">
        <v>342</v>
      </c>
      <c r="J6" s="267" t="s">
        <v>343</v>
      </c>
      <c r="K6" s="269" t="s">
        <v>344</v>
      </c>
      <c r="L6" s="269"/>
      <c r="M6" s="270"/>
    </row>
    <row r="7" spans="1:13" ht="30.75" customHeight="1">
      <c r="A7" s="268"/>
      <c r="B7" s="268"/>
      <c r="C7" s="268"/>
      <c r="D7" s="268"/>
      <c r="E7" s="184" t="s">
        <v>345</v>
      </c>
      <c r="F7" s="184" t="s">
        <v>346</v>
      </c>
      <c r="G7" s="184" t="s">
        <v>347</v>
      </c>
      <c r="H7" s="184" t="s">
        <v>348</v>
      </c>
      <c r="I7" s="268"/>
      <c r="J7" s="268"/>
      <c r="K7" s="185" t="s">
        <v>349</v>
      </c>
      <c r="L7" s="185" t="s">
        <v>350</v>
      </c>
      <c r="M7" s="185" t="s">
        <v>351</v>
      </c>
    </row>
    <row r="8" spans="1:13" ht="65.25" customHeight="1">
      <c r="A8" s="186">
        <v>1</v>
      </c>
      <c r="B8" s="187" t="s">
        <v>352</v>
      </c>
      <c r="C8" s="189">
        <v>20000</v>
      </c>
      <c r="D8" s="188" t="s">
        <v>353</v>
      </c>
      <c r="E8" s="188" t="s">
        <v>335</v>
      </c>
      <c r="F8" s="190">
        <v>11500</v>
      </c>
      <c r="G8" s="188" t="s">
        <v>335</v>
      </c>
      <c r="H8" s="188" t="s">
        <v>335</v>
      </c>
      <c r="I8" s="190">
        <v>11500</v>
      </c>
      <c r="J8" s="188" t="s">
        <v>335</v>
      </c>
      <c r="K8" s="191">
        <v>10000</v>
      </c>
      <c r="L8" s="192" t="s">
        <v>335</v>
      </c>
      <c r="M8" s="193" t="s">
        <v>335</v>
      </c>
    </row>
    <row r="9" spans="1:13" ht="59.25" customHeight="1">
      <c r="A9" s="194">
        <v>2</v>
      </c>
      <c r="B9" s="184" t="s">
        <v>354</v>
      </c>
      <c r="C9" s="195">
        <v>5000</v>
      </c>
      <c r="D9" s="195" t="s">
        <v>355</v>
      </c>
      <c r="E9" s="195" t="s">
        <v>335</v>
      </c>
      <c r="F9" s="195" t="s">
        <v>335</v>
      </c>
      <c r="G9" s="195" t="s">
        <v>356</v>
      </c>
      <c r="H9" s="195" t="s">
        <v>335</v>
      </c>
      <c r="I9" s="195" t="s">
        <v>356</v>
      </c>
      <c r="J9" s="196" t="s">
        <v>357</v>
      </c>
      <c r="K9" s="192" t="s">
        <v>335</v>
      </c>
      <c r="L9" s="192" t="s">
        <v>335</v>
      </c>
      <c r="M9" s="193" t="s">
        <v>335</v>
      </c>
    </row>
    <row r="10" spans="1:13" ht="40.5" customHeight="1">
      <c r="A10" s="194">
        <v>3</v>
      </c>
      <c r="B10" s="184" t="s">
        <v>358</v>
      </c>
      <c r="C10" s="195">
        <v>4000</v>
      </c>
      <c r="D10" s="195" t="s">
        <v>355</v>
      </c>
      <c r="E10" s="195" t="s">
        <v>335</v>
      </c>
      <c r="F10" s="195" t="s">
        <v>335</v>
      </c>
      <c r="G10" s="195" t="s">
        <v>356</v>
      </c>
      <c r="H10" s="195" t="s">
        <v>335</v>
      </c>
      <c r="I10" s="195" t="s">
        <v>356</v>
      </c>
      <c r="J10" s="196" t="s">
        <v>359</v>
      </c>
      <c r="K10" s="192" t="s">
        <v>335</v>
      </c>
      <c r="L10" s="192" t="s">
        <v>335</v>
      </c>
      <c r="M10" s="193" t="s">
        <v>335</v>
      </c>
    </row>
    <row r="11" spans="1:13" ht="41.25" customHeight="1">
      <c r="A11" s="186">
        <v>4</v>
      </c>
      <c r="B11" s="187" t="s">
        <v>360</v>
      </c>
      <c r="C11" s="188">
        <v>200</v>
      </c>
      <c r="D11" s="188" t="s">
        <v>353</v>
      </c>
      <c r="E11" s="188" t="s">
        <v>335</v>
      </c>
      <c r="F11" s="188">
        <v>200</v>
      </c>
      <c r="G11" s="188" t="s">
        <v>335</v>
      </c>
      <c r="H11" s="188" t="s">
        <v>335</v>
      </c>
      <c r="I11" s="188">
        <v>200</v>
      </c>
      <c r="J11" s="197" t="s">
        <v>335</v>
      </c>
      <c r="K11" s="192" t="s">
        <v>335</v>
      </c>
      <c r="L11" s="192">
        <v>200</v>
      </c>
      <c r="M11" s="193" t="s">
        <v>335</v>
      </c>
    </row>
    <row r="12" spans="1:13" ht="44.25" customHeight="1">
      <c r="A12" s="186">
        <v>5</v>
      </c>
      <c r="B12" s="187" t="s">
        <v>361</v>
      </c>
      <c r="C12" s="188">
        <v>4000</v>
      </c>
      <c r="D12" s="188" t="s">
        <v>353</v>
      </c>
      <c r="E12" s="188" t="s">
        <v>335</v>
      </c>
      <c r="F12" s="189">
        <v>3000</v>
      </c>
      <c r="G12" s="188" t="s">
        <v>335</v>
      </c>
      <c r="H12" s="188" t="s">
        <v>335</v>
      </c>
      <c r="I12" s="190">
        <v>3000</v>
      </c>
      <c r="J12" s="197" t="s">
        <v>335</v>
      </c>
      <c r="K12" s="192" t="s">
        <v>335</v>
      </c>
      <c r="L12" s="192">
        <v>3000</v>
      </c>
      <c r="M12" s="193" t="s">
        <v>335</v>
      </c>
    </row>
    <row r="13" spans="1:13" ht="50.25" customHeight="1">
      <c r="A13" s="194" t="s">
        <v>335</v>
      </c>
      <c r="B13" s="184" t="s">
        <v>362</v>
      </c>
      <c r="C13" s="195">
        <v>200</v>
      </c>
      <c r="D13" s="195" t="s">
        <v>355</v>
      </c>
      <c r="E13" s="195" t="s">
        <v>335</v>
      </c>
      <c r="F13" s="195" t="s">
        <v>335</v>
      </c>
      <c r="G13" s="195">
        <v>200</v>
      </c>
      <c r="H13" s="195" t="s">
        <v>335</v>
      </c>
      <c r="I13" s="195" t="s">
        <v>335</v>
      </c>
      <c r="J13" s="196" t="s">
        <v>335</v>
      </c>
      <c r="K13" s="192" t="s">
        <v>335</v>
      </c>
      <c r="L13" s="192" t="s">
        <v>335</v>
      </c>
      <c r="M13" s="193" t="s">
        <v>335</v>
      </c>
    </row>
    <row r="14" spans="1:13" ht="105.75" customHeight="1">
      <c r="A14" s="194" t="s">
        <v>335</v>
      </c>
      <c r="B14" s="184" t="s">
        <v>363</v>
      </c>
      <c r="C14" s="195">
        <v>500</v>
      </c>
      <c r="D14" s="195" t="s">
        <v>355</v>
      </c>
      <c r="E14" s="195" t="s">
        <v>335</v>
      </c>
      <c r="F14" s="195">
        <v>500</v>
      </c>
      <c r="G14" s="195" t="s">
        <v>335</v>
      </c>
      <c r="H14" s="195" t="s">
        <v>335</v>
      </c>
      <c r="I14" s="195">
        <v>500</v>
      </c>
      <c r="J14" s="198" t="s">
        <v>364</v>
      </c>
      <c r="K14" s="192" t="s">
        <v>335</v>
      </c>
      <c r="L14" s="192" t="s">
        <v>335</v>
      </c>
      <c r="M14" s="193" t="s">
        <v>335</v>
      </c>
    </row>
    <row r="15" spans="1:13" ht="54" customHeight="1">
      <c r="A15" s="194">
        <v>6</v>
      </c>
      <c r="B15" s="184" t="s">
        <v>365</v>
      </c>
      <c r="C15" s="199">
        <v>10000</v>
      </c>
      <c r="D15" s="195" t="s">
        <v>355</v>
      </c>
      <c r="E15" s="195" t="s">
        <v>335</v>
      </c>
      <c r="F15" s="195" t="s">
        <v>335</v>
      </c>
      <c r="G15" s="200">
        <v>5000</v>
      </c>
      <c r="H15" s="195" t="s">
        <v>335</v>
      </c>
      <c r="I15" s="200">
        <v>5000</v>
      </c>
      <c r="J15" s="196" t="s">
        <v>335</v>
      </c>
      <c r="K15" s="192" t="s">
        <v>335</v>
      </c>
      <c r="L15" s="192" t="s">
        <v>335</v>
      </c>
      <c r="M15" s="193" t="s">
        <v>335</v>
      </c>
    </row>
    <row r="16" spans="1:13" ht="70.5" customHeight="1">
      <c r="A16" s="186">
        <v>7</v>
      </c>
      <c r="B16" s="187" t="s">
        <v>366</v>
      </c>
      <c r="C16" s="188">
        <v>800</v>
      </c>
      <c r="D16" s="188" t="s">
        <v>353</v>
      </c>
      <c r="E16" s="188" t="s">
        <v>335</v>
      </c>
      <c r="F16" s="188">
        <v>0</v>
      </c>
      <c r="G16" s="188">
        <v>500</v>
      </c>
      <c r="H16" s="188" t="s">
        <v>335</v>
      </c>
      <c r="I16" s="188">
        <v>500</v>
      </c>
      <c r="J16" s="197" t="s">
        <v>367</v>
      </c>
      <c r="K16" s="192" t="s">
        <v>335</v>
      </c>
      <c r="L16" s="192" t="s">
        <v>335</v>
      </c>
      <c r="M16" s="193">
        <v>500</v>
      </c>
    </row>
    <row r="17" spans="1:13" ht="36.75" customHeight="1">
      <c r="A17" s="186">
        <v>8</v>
      </c>
      <c r="B17" s="187" t="s">
        <v>368</v>
      </c>
      <c r="C17" s="188">
        <v>2500</v>
      </c>
      <c r="D17" s="188" t="s">
        <v>353</v>
      </c>
      <c r="E17" s="188" t="s">
        <v>335</v>
      </c>
      <c r="F17" s="188">
        <v>2500</v>
      </c>
      <c r="G17" s="188" t="s">
        <v>335</v>
      </c>
      <c r="H17" s="188" t="s">
        <v>335</v>
      </c>
      <c r="I17" s="190">
        <v>2500</v>
      </c>
      <c r="J17" s="197" t="s">
        <v>369</v>
      </c>
      <c r="K17" s="192" t="s">
        <v>335</v>
      </c>
      <c r="L17" s="192" t="s">
        <v>335</v>
      </c>
      <c r="M17" s="193">
        <v>2500</v>
      </c>
    </row>
    <row r="18" spans="1:13" ht="34.5" customHeight="1">
      <c r="A18" s="194">
        <v>9</v>
      </c>
      <c r="B18" s="184" t="s">
        <v>370</v>
      </c>
      <c r="C18" s="195">
        <v>2000</v>
      </c>
      <c r="D18" s="195" t="s">
        <v>355</v>
      </c>
      <c r="E18" s="195" t="s">
        <v>335</v>
      </c>
      <c r="F18" s="199">
        <v>1500</v>
      </c>
      <c r="G18" s="195" t="s">
        <v>335</v>
      </c>
      <c r="H18" s="195" t="s">
        <v>335</v>
      </c>
      <c r="I18" s="195" t="s">
        <v>356</v>
      </c>
      <c r="J18" s="196" t="s">
        <v>335</v>
      </c>
      <c r="K18" s="192" t="s">
        <v>335</v>
      </c>
      <c r="L18" s="192" t="s">
        <v>335</v>
      </c>
      <c r="M18" s="193">
        <v>1500</v>
      </c>
    </row>
    <row r="19" spans="1:13" ht="33.75" customHeight="1">
      <c r="A19" s="194">
        <v>10</v>
      </c>
      <c r="B19" s="184" t="s">
        <v>371</v>
      </c>
      <c r="C19" s="195">
        <v>1600</v>
      </c>
      <c r="D19" s="195" t="s">
        <v>355</v>
      </c>
      <c r="E19" s="195" t="s">
        <v>335</v>
      </c>
      <c r="F19" s="195" t="s">
        <v>335</v>
      </c>
      <c r="G19" s="195">
        <v>800</v>
      </c>
      <c r="H19" s="195" t="s">
        <v>335</v>
      </c>
      <c r="I19" s="195">
        <v>800</v>
      </c>
      <c r="J19" s="196" t="s">
        <v>335</v>
      </c>
      <c r="K19" s="192" t="s">
        <v>335</v>
      </c>
      <c r="L19" s="192" t="s">
        <v>335</v>
      </c>
      <c r="M19" s="193" t="s">
        <v>335</v>
      </c>
    </row>
    <row r="20" spans="1:13">
      <c r="A20" s="194" t="s">
        <v>335</v>
      </c>
      <c r="B20" s="184" t="s">
        <v>372</v>
      </c>
      <c r="C20" s="195" t="s">
        <v>335</v>
      </c>
      <c r="D20" s="195" t="s">
        <v>335</v>
      </c>
      <c r="E20" s="195" t="s">
        <v>335</v>
      </c>
      <c r="F20" s="200">
        <v>19200</v>
      </c>
      <c r="G20" s="200">
        <v>6500</v>
      </c>
      <c r="H20" s="195" t="s">
        <v>335</v>
      </c>
      <c r="I20" s="200">
        <v>24000</v>
      </c>
      <c r="J20" s="196" t="s">
        <v>335</v>
      </c>
      <c r="K20" s="201">
        <v>10000</v>
      </c>
      <c r="L20" s="202">
        <v>3200</v>
      </c>
      <c r="M20" s="202">
        <v>4500</v>
      </c>
    </row>
    <row r="21" spans="1:13">
      <c r="A21" s="181" t="s">
        <v>335</v>
      </c>
      <c r="B21" s="181" t="s">
        <v>373</v>
      </c>
      <c r="C21" s="181"/>
      <c r="D21" s="181"/>
      <c r="E21" s="181"/>
      <c r="F21" s="181"/>
      <c r="G21" s="181" t="s">
        <v>335</v>
      </c>
      <c r="H21" s="181" t="s">
        <v>335</v>
      </c>
      <c r="I21" s="181" t="s">
        <v>335</v>
      </c>
      <c r="J21" s="181" t="s">
        <v>335</v>
      </c>
      <c r="K21" s="181" t="s">
        <v>335</v>
      </c>
      <c r="L21" s="181" t="s">
        <v>335</v>
      </c>
      <c r="M21" s="181" t="s">
        <v>335</v>
      </c>
    </row>
    <row r="22" spans="1:13">
      <c r="A22" s="181" t="s">
        <v>335</v>
      </c>
      <c r="B22" s="181" t="s">
        <v>374</v>
      </c>
      <c r="C22" s="181"/>
      <c r="D22" s="181"/>
      <c r="E22" s="181"/>
      <c r="F22" s="181"/>
      <c r="G22" s="181" t="s">
        <v>335</v>
      </c>
      <c r="H22" s="181" t="s">
        <v>335</v>
      </c>
      <c r="I22" s="181" t="s">
        <v>335</v>
      </c>
      <c r="J22" s="181" t="s">
        <v>335</v>
      </c>
      <c r="K22" s="181" t="s">
        <v>335</v>
      </c>
      <c r="L22" s="181" t="s">
        <v>335</v>
      </c>
      <c r="M22" s="181" t="s">
        <v>335</v>
      </c>
    </row>
    <row r="23" spans="1:13">
      <c r="A23" s="181" t="s">
        <v>335</v>
      </c>
      <c r="B23" s="181" t="s">
        <v>375</v>
      </c>
      <c r="C23" s="181"/>
      <c r="D23" s="181"/>
      <c r="E23" s="181"/>
      <c r="F23" s="181" t="s">
        <v>335</v>
      </c>
      <c r="G23" s="181" t="s">
        <v>335</v>
      </c>
      <c r="H23" s="181" t="s">
        <v>335</v>
      </c>
      <c r="I23" s="181" t="s">
        <v>335</v>
      </c>
      <c r="J23" s="181" t="s">
        <v>335</v>
      </c>
      <c r="K23" s="181" t="s">
        <v>335</v>
      </c>
      <c r="L23" s="181" t="s">
        <v>335</v>
      </c>
      <c r="M23" s="181" t="s">
        <v>335</v>
      </c>
    </row>
    <row r="24" spans="1:13">
      <c r="A24" s="181" t="s">
        <v>335</v>
      </c>
      <c r="B24" s="181" t="s">
        <v>376</v>
      </c>
      <c r="C24" s="181"/>
      <c r="D24" s="181"/>
      <c r="E24" s="181"/>
      <c r="F24" s="181"/>
      <c r="G24" s="181"/>
      <c r="H24" s="181"/>
      <c r="I24" s="181" t="s">
        <v>335</v>
      </c>
      <c r="J24" s="181" t="s">
        <v>335</v>
      </c>
      <c r="K24" s="181" t="s">
        <v>335</v>
      </c>
      <c r="L24" s="181" t="s">
        <v>335</v>
      </c>
      <c r="M24" s="181" t="s">
        <v>335</v>
      </c>
    </row>
  </sheetData>
  <mergeCells count="8">
    <mergeCell ref="J6:J7"/>
    <mergeCell ref="K6:M6"/>
    <mergeCell ref="A6:A7"/>
    <mergeCell ref="B6:B7"/>
    <mergeCell ref="C6:C7"/>
    <mergeCell ref="D6:D7"/>
    <mergeCell ref="E6:H6"/>
    <mergeCell ref="I6:I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143FB-A5A7-4607-AB6F-05542F8C7D42}">
  <dimension ref="A1:Y160"/>
  <sheetViews>
    <sheetView zoomScaleNormal="100" workbookViewId="0">
      <pane ySplit="4" topLeftCell="A5" activePane="bottomLeft" state="frozen"/>
      <selection pane="bottomLeft" activeCell="O10" sqref="O10"/>
    </sheetView>
  </sheetViews>
  <sheetFormatPr defaultColWidth="8.85546875" defaultRowHeight="13.5" customHeight="1"/>
  <cols>
    <col min="1" max="1" width="13.85546875" style="14" bestFit="1" customWidth="1"/>
    <col min="2" max="2" width="33.42578125" style="14" customWidth="1"/>
    <col min="3" max="3" width="8.85546875" style="14" customWidth="1"/>
    <col min="4" max="4" width="6.42578125" style="14" customWidth="1"/>
    <col min="5" max="6" width="8.85546875" style="14" customWidth="1"/>
    <col min="7" max="7" width="33.85546875" style="14" customWidth="1"/>
    <col min="8" max="8" width="18.140625" style="14" customWidth="1"/>
    <col min="9" max="10" width="14.42578125" style="14" customWidth="1"/>
    <col min="11" max="22" width="8.85546875" style="14"/>
    <col min="23" max="23" width="15.140625" style="14" customWidth="1"/>
    <col min="24" max="24" width="14.42578125" style="14" customWidth="1"/>
    <col min="25" max="25" width="16.42578125" style="14" customWidth="1"/>
    <col min="26" max="16384" width="8.85546875" style="14"/>
  </cols>
  <sheetData>
    <row r="1" spans="1:25" ht="33" hidden="1" customHeight="1">
      <c r="A1" s="12" t="s">
        <v>377</v>
      </c>
      <c r="B1" s="13" t="s">
        <v>378</v>
      </c>
      <c r="C1" s="274"/>
      <c r="D1" s="274"/>
      <c r="E1" s="274"/>
      <c r="F1" s="274"/>
      <c r="G1" s="274"/>
      <c r="H1" s="274"/>
      <c r="I1" s="274"/>
      <c r="J1" s="274"/>
      <c r="K1" s="275"/>
    </row>
    <row r="2" spans="1:25" ht="12.95" hidden="1" customHeight="1">
      <c r="A2" s="15">
        <v>45900</v>
      </c>
      <c r="B2" s="16" t="s">
        <v>379</v>
      </c>
      <c r="C2" s="276"/>
      <c r="D2" s="276"/>
      <c r="E2" s="276"/>
      <c r="F2" s="276"/>
      <c r="G2" s="276"/>
      <c r="H2" s="276"/>
      <c r="I2" s="276"/>
      <c r="J2" s="276"/>
      <c r="K2" s="277"/>
    </row>
    <row r="3" spans="1:25" ht="12.95" hidden="1">
      <c r="A3" s="17"/>
      <c r="B3" s="17" t="s">
        <v>380</v>
      </c>
      <c r="C3" s="278"/>
      <c r="D3" s="278"/>
      <c r="E3" s="18" t="s">
        <v>381</v>
      </c>
      <c r="F3" s="18"/>
      <c r="G3" s="18"/>
      <c r="H3" s="18"/>
      <c r="I3" s="18" t="s">
        <v>382</v>
      </c>
      <c r="J3" s="18" t="s">
        <v>383</v>
      </c>
      <c r="K3" s="17" t="s">
        <v>384</v>
      </c>
    </row>
    <row r="4" spans="1:25" s="22" customFormat="1" ht="108">
      <c r="A4" s="19" t="s">
        <v>385</v>
      </c>
      <c r="B4" s="20" t="s">
        <v>386</v>
      </c>
      <c r="C4" s="19" t="s">
        <v>387</v>
      </c>
      <c r="D4" s="19" t="s">
        <v>388</v>
      </c>
      <c r="E4" s="19" t="s">
        <v>389</v>
      </c>
      <c r="F4" s="79" t="s">
        <v>390</v>
      </c>
      <c r="G4" s="79" t="s">
        <v>391</v>
      </c>
      <c r="H4" s="207" t="s">
        <v>392</v>
      </c>
      <c r="I4" s="19" t="s">
        <v>393</v>
      </c>
      <c r="J4" s="19" t="s">
        <v>394</v>
      </c>
      <c r="K4" s="21"/>
    </row>
    <row r="5" spans="1:25" ht="16.5" customHeight="1">
      <c r="A5" s="23"/>
      <c r="B5" s="23" t="s">
        <v>395</v>
      </c>
      <c r="C5" s="23"/>
      <c r="D5" s="23"/>
      <c r="E5" s="23"/>
      <c r="F5" s="23"/>
      <c r="G5" s="23"/>
      <c r="H5" s="23"/>
      <c r="I5" s="23"/>
      <c r="J5" s="23"/>
      <c r="K5" s="23"/>
    </row>
    <row r="6" spans="1:25" ht="15.95" customHeight="1">
      <c r="A6" s="24"/>
      <c r="B6" s="24"/>
      <c r="C6" s="24"/>
      <c r="D6" s="24"/>
      <c r="E6" s="24"/>
      <c r="F6" s="24"/>
      <c r="G6" s="24"/>
      <c r="H6" s="24"/>
      <c r="I6" s="24"/>
      <c r="J6" s="24"/>
      <c r="K6" s="24"/>
    </row>
    <row r="7" spans="1:25" ht="61.5" customHeight="1">
      <c r="A7" s="25" t="s">
        <v>396</v>
      </c>
      <c r="B7" s="26" t="s">
        <v>397</v>
      </c>
      <c r="C7" s="28" t="s">
        <v>398</v>
      </c>
      <c r="D7" s="26" t="s">
        <v>399</v>
      </c>
      <c r="E7" s="28" t="s">
        <v>400</v>
      </c>
      <c r="F7" s="28"/>
      <c r="G7" s="28"/>
      <c r="H7" s="28"/>
      <c r="I7" s="28" t="s">
        <v>401</v>
      </c>
      <c r="J7" s="28" t="s">
        <v>401</v>
      </c>
      <c r="K7" s="27"/>
    </row>
    <row r="8" spans="1:25" ht="12.95">
      <c r="A8" s="29"/>
      <c r="B8" s="30" t="s">
        <v>402</v>
      </c>
      <c r="C8" s="29"/>
      <c r="D8" s="29"/>
      <c r="E8" s="29"/>
      <c r="F8" s="29"/>
      <c r="G8" s="29"/>
      <c r="H8" s="29"/>
      <c r="I8" s="29"/>
      <c r="J8" s="29"/>
      <c r="K8" s="29"/>
    </row>
    <row r="9" spans="1:25" ht="141" customHeight="1">
      <c r="A9" s="31" t="s">
        <v>403</v>
      </c>
      <c r="B9" s="26" t="s">
        <v>404</v>
      </c>
      <c r="C9" s="28" t="s">
        <v>405</v>
      </c>
      <c r="D9" s="31" t="s">
        <v>406</v>
      </c>
      <c r="E9" s="28" t="s">
        <v>407</v>
      </c>
      <c r="F9" s="80" t="s">
        <v>408</v>
      </c>
      <c r="G9" s="26" t="s">
        <v>409</v>
      </c>
      <c r="H9" s="26"/>
      <c r="I9" s="28" t="s">
        <v>410</v>
      </c>
      <c r="J9" s="28" t="s">
        <v>411</v>
      </c>
      <c r="K9" s="27"/>
    </row>
    <row r="10" spans="1:25" ht="93" customHeight="1">
      <c r="A10" s="31" t="s">
        <v>412</v>
      </c>
      <c r="B10" s="26" t="s">
        <v>413</v>
      </c>
      <c r="C10" s="28" t="s">
        <v>414</v>
      </c>
      <c r="D10" s="27" t="s">
        <v>379</v>
      </c>
      <c r="E10" s="28" t="s">
        <v>415</v>
      </c>
      <c r="F10" s="80" t="s">
        <v>408</v>
      </c>
      <c r="G10" s="26" t="s">
        <v>416</v>
      </c>
      <c r="H10" s="26"/>
      <c r="I10" s="28" t="s">
        <v>417</v>
      </c>
      <c r="J10" s="28" t="s">
        <v>417</v>
      </c>
      <c r="K10" s="27"/>
    </row>
    <row r="11" spans="1:25" ht="143.1">
      <c r="A11" s="31" t="s">
        <v>418</v>
      </c>
      <c r="B11" s="26" t="s">
        <v>419</v>
      </c>
      <c r="C11" s="28" t="s">
        <v>420</v>
      </c>
      <c r="D11" s="27" t="s">
        <v>379</v>
      </c>
      <c r="E11" s="28" t="s">
        <v>421</v>
      </c>
      <c r="F11" s="80" t="s">
        <v>408</v>
      </c>
      <c r="G11" s="26" t="s">
        <v>416</v>
      </c>
      <c r="H11" s="26"/>
      <c r="I11" s="28" t="s">
        <v>422</v>
      </c>
      <c r="J11" s="28" t="s">
        <v>422</v>
      </c>
      <c r="K11" s="27"/>
    </row>
    <row r="12" spans="1:25" ht="96.95" customHeight="1">
      <c r="A12" s="32" t="s">
        <v>423</v>
      </c>
      <c r="B12" s="26" t="s">
        <v>424</v>
      </c>
      <c r="C12" s="28" t="s">
        <v>425</v>
      </c>
      <c r="D12" s="27" t="s">
        <v>379</v>
      </c>
      <c r="E12" s="28" t="s">
        <v>426</v>
      </c>
      <c r="F12" s="80" t="s">
        <v>408</v>
      </c>
      <c r="G12" s="26" t="s">
        <v>416</v>
      </c>
      <c r="H12" s="26"/>
      <c r="I12" s="28" t="s">
        <v>427</v>
      </c>
      <c r="J12" s="28" t="s">
        <v>428</v>
      </c>
      <c r="K12" s="27"/>
      <c r="M12" s="14" t="s">
        <v>429</v>
      </c>
    </row>
    <row r="13" spans="1:25" s="39" customFormat="1" ht="43.5" customHeight="1">
      <c r="A13" s="98" t="s">
        <v>430</v>
      </c>
      <c r="B13" s="99" t="s">
        <v>431</v>
      </c>
      <c r="C13" s="100">
        <v>0</v>
      </c>
      <c r="D13" s="101" t="s">
        <v>379</v>
      </c>
      <c r="E13" s="102">
        <v>10748</v>
      </c>
      <c r="F13" s="103">
        <v>5599</v>
      </c>
      <c r="G13" s="104"/>
      <c r="H13" s="104"/>
      <c r="I13" s="102">
        <v>6952</v>
      </c>
      <c r="J13" s="37">
        <v>17700</v>
      </c>
      <c r="K13" s="38"/>
      <c r="M13" s="105">
        <f>10748-5599</f>
        <v>5149</v>
      </c>
    </row>
    <row r="14" spans="1:25" s="39" customFormat="1" ht="20.100000000000001" customHeight="1">
      <c r="A14" s="40"/>
      <c r="B14" s="41" t="s">
        <v>432</v>
      </c>
      <c r="C14" s="35"/>
      <c r="D14" s="36"/>
      <c r="E14" s="26"/>
      <c r="F14" s="95" t="s">
        <v>335</v>
      </c>
      <c r="G14" s="44"/>
      <c r="H14" s="205"/>
      <c r="I14" s="26"/>
      <c r="J14" s="26"/>
      <c r="K14" s="42"/>
      <c r="P14" s="14"/>
      <c r="W14" s="82" t="s">
        <v>433</v>
      </c>
      <c r="X14" s="82" t="s">
        <v>434</v>
      </c>
      <c r="Y14" s="82" t="s">
        <v>435</v>
      </c>
    </row>
    <row r="15" spans="1:25" s="39" customFormat="1" ht="36" customHeight="1">
      <c r="A15" s="40"/>
      <c r="B15" s="43" t="s">
        <v>436</v>
      </c>
      <c r="C15" s="26">
        <f>C16+C17</f>
        <v>0</v>
      </c>
      <c r="D15" s="36"/>
      <c r="E15" s="44">
        <v>10748</v>
      </c>
      <c r="F15" s="95">
        <v>5599</v>
      </c>
      <c r="G15" s="44"/>
      <c r="H15" s="44"/>
      <c r="I15" s="44">
        <v>6952</v>
      </c>
      <c r="J15" s="26">
        <f>J16+J17</f>
        <v>17700</v>
      </c>
      <c r="K15" s="42"/>
      <c r="W15" s="273" t="s">
        <v>16</v>
      </c>
      <c r="X15" s="83" t="s">
        <v>437</v>
      </c>
      <c r="Y15" s="84" t="s">
        <v>438</v>
      </c>
    </row>
    <row r="16" spans="1:25" s="39" customFormat="1" ht="47.25" customHeight="1">
      <c r="A16" s="40"/>
      <c r="B16" s="45" t="s">
        <v>439</v>
      </c>
      <c r="C16" s="26">
        <f>C23+C20</f>
        <v>0</v>
      </c>
      <c r="D16" s="36"/>
      <c r="E16" s="44">
        <v>5739</v>
      </c>
      <c r="F16" s="95">
        <v>2798</v>
      </c>
      <c r="G16" s="44"/>
      <c r="H16" s="44"/>
      <c r="I16" s="44">
        <v>3713</v>
      </c>
      <c r="J16" s="46">
        <f>J23+J20</f>
        <v>9452</v>
      </c>
      <c r="K16" s="42"/>
      <c r="W16" s="273"/>
      <c r="X16" s="83" t="s">
        <v>440</v>
      </c>
      <c r="Y16" s="84" t="s">
        <v>441</v>
      </c>
    </row>
    <row r="17" spans="1:25" s="39" customFormat="1" ht="12.95">
      <c r="A17" s="40"/>
      <c r="B17" s="45" t="s">
        <v>442</v>
      </c>
      <c r="C17" s="26">
        <f>C24+C21</f>
        <v>0</v>
      </c>
      <c r="D17" s="36"/>
      <c r="E17" s="44">
        <v>5009</v>
      </c>
      <c r="F17" s="95">
        <v>2801</v>
      </c>
      <c r="G17" s="44"/>
      <c r="H17" s="44"/>
      <c r="I17" s="44">
        <v>3239</v>
      </c>
      <c r="J17" s="26">
        <f>J24+J21</f>
        <v>8248</v>
      </c>
      <c r="K17" s="42"/>
      <c r="W17" s="273" t="s">
        <v>17</v>
      </c>
      <c r="X17" s="83" t="s">
        <v>443</v>
      </c>
      <c r="Y17" s="84" t="s">
        <v>444</v>
      </c>
    </row>
    <row r="18" spans="1:25" s="39" customFormat="1" ht="35.25" customHeight="1">
      <c r="A18" s="40"/>
      <c r="B18" s="43" t="s">
        <v>445</v>
      </c>
      <c r="C18" s="26">
        <f>C22+C19</f>
        <v>0</v>
      </c>
      <c r="D18" s="36"/>
      <c r="E18" s="44">
        <v>10748</v>
      </c>
      <c r="F18" s="95">
        <v>5599</v>
      </c>
      <c r="G18" s="44"/>
      <c r="H18" s="44"/>
      <c r="I18" s="44">
        <v>6952</v>
      </c>
      <c r="J18" s="26">
        <f>J22+J19</f>
        <v>17700</v>
      </c>
      <c r="K18" s="38"/>
      <c r="W18" s="273"/>
      <c r="X18" s="83" t="s">
        <v>446</v>
      </c>
      <c r="Y18" s="84" t="s">
        <v>447</v>
      </c>
    </row>
    <row r="19" spans="1:25" s="39" customFormat="1" ht="26.1">
      <c r="A19" s="40"/>
      <c r="B19" s="47" t="s">
        <v>448</v>
      </c>
      <c r="C19" s="26">
        <f>C20+C21</f>
        <v>0</v>
      </c>
      <c r="D19" s="36"/>
      <c r="E19" s="37">
        <v>6448</v>
      </c>
      <c r="F19" s="95">
        <v>3912</v>
      </c>
      <c r="G19" s="44"/>
      <c r="H19" s="44"/>
      <c r="I19" s="37">
        <v>3493</v>
      </c>
      <c r="J19" s="46">
        <f>J20+J21</f>
        <v>9941</v>
      </c>
      <c r="K19" s="42"/>
      <c r="W19" s="83" t="s">
        <v>18</v>
      </c>
      <c r="X19" s="85" t="s">
        <v>449</v>
      </c>
      <c r="Y19" s="86" t="s">
        <v>450</v>
      </c>
    </row>
    <row r="20" spans="1:25" s="39" customFormat="1" ht="12.95">
      <c r="A20" s="40"/>
      <c r="B20" s="45" t="s">
        <v>439</v>
      </c>
      <c r="C20" s="35">
        <v>0</v>
      </c>
      <c r="D20" s="36"/>
      <c r="E20" s="37">
        <v>3443</v>
      </c>
      <c r="F20" s="95">
        <v>1942</v>
      </c>
      <c r="G20" s="44"/>
      <c r="H20" s="44"/>
      <c r="I20" s="37">
        <v>1866</v>
      </c>
      <c r="J20" s="48">
        <f>E20+I20</f>
        <v>5309</v>
      </c>
      <c r="K20" s="42"/>
    </row>
    <row r="21" spans="1:25" s="39" customFormat="1" ht="12.95">
      <c r="A21" s="40"/>
      <c r="B21" s="45" t="s">
        <v>442</v>
      </c>
      <c r="C21" s="35">
        <v>0</v>
      </c>
      <c r="D21" s="36"/>
      <c r="E21" s="37">
        <v>3005</v>
      </c>
      <c r="F21" s="95">
        <v>1970</v>
      </c>
      <c r="G21" s="44"/>
      <c r="H21" s="44"/>
      <c r="I21" s="37">
        <v>1627</v>
      </c>
      <c r="J21" s="48">
        <f>E21+I21</f>
        <v>4632</v>
      </c>
      <c r="K21" s="42"/>
    </row>
    <row r="22" spans="1:25" s="39" customFormat="1" ht="12.95">
      <c r="A22" s="40"/>
      <c r="B22" s="47" t="s">
        <v>451</v>
      </c>
      <c r="C22" s="26">
        <f>C23+C24</f>
        <v>0</v>
      </c>
      <c r="D22" s="36"/>
      <c r="E22" s="44">
        <v>4300</v>
      </c>
      <c r="F22" s="95">
        <v>1687</v>
      </c>
      <c r="G22" s="44"/>
      <c r="H22" s="44"/>
      <c r="I22" s="44">
        <v>3459</v>
      </c>
      <c r="J22" s="46">
        <f>J23+J24</f>
        <v>7759</v>
      </c>
      <c r="K22" s="42"/>
    </row>
    <row r="23" spans="1:25" s="39" customFormat="1" ht="12.95">
      <c r="A23" s="40"/>
      <c r="B23" s="45" t="s">
        <v>439</v>
      </c>
      <c r="C23" s="35">
        <v>0</v>
      </c>
      <c r="D23" s="36"/>
      <c r="E23" s="37">
        <v>2296</v>
      </c>
      <c r="F23" s="95">
        <v>856</v>
      </c>
      <c r="G23" s="44"/>
      <c r="H23" s="44"/>
      <c r="I23" s="37">
        <v>1847</v>
      </c>
      <c r="J23" s="48">
        <f>E23+I23</f>
        <v>4143</v>
      </c>
      <c r="K23" s="42"/>
    </row>
    <row r="24" spans="1:25" s="39" customFormat="1" ht="12.95">
      <c r="A24" s="49"/>
      <c r="B24" s="45" t="s">
        <v>442</v>
      </c>
      <c r="C24" s="35">
        <v>0</v>
      </c>
      <c r="D24" s="36"/>
      <c r="E24" s="37">
        <v>2004</v>
      </c>
      <c r="F24" s="95">
        <v>831</v>
      </c>
      <c r="G24" s="44"/>
      <c r="H24" s="44"/>
      <c r="I24" s="37">
        <v>1612</v>
      </c>
      <c r="J24" s="48">
        <f>E24+I24</f>
        <v>3616</v>
      </c>
      <c r="K24" s="42"/>
    </row>
    <row r="25" spans="1:25" ht="17.45" customHeight="1">
      <c r="A25" s="50"/>
      <c r="B25" s="51" t="s">
        <v>452</v>
      </c>
      <c r="C25" s="52" t="s">
        <v>453</v>
      </c>
      <c r="D25" s="52"/>
      <c r="E25" s="52"/>
      <c r="F25" s="52"/>
      <c r="G25" s="52"/>
      <c r="H25" s="52"/>
      <c r="I25" s="52"/>
      <c r="J25" s="52"/>
      <c r="K25" s="52"/>
    </row>
    <row r="26" spans="1:25" ht="59.25" customHeight="1">
      <c r="A26" s="53" t="s">
        <v>454</v>
      </c>
      <c r="B26" s="34" t="s">
        <v>455</v>
      </c>
      <c r="C26" s="48">
        <v>0</v>
      </c>
      <c r="D26" s="27" t="s">
        <v>379</v>
      </c>
      <c r="E26" s="37">
        <v>10000</v>
      </c>
      <c r="F26" s="87">
        <v>9177</v>
      </c>
      <c r="G26" s="44" t="s">
        <v>456</v>
      </c>
      <c r="H26" s="44"/>
      <c r="I26" s="37">
        <v>10000</v>
      </c>
      <c r="J26" s="54">
        <f>J32+J35+J38</f>
        <v>20000</v>
      </c>
      <c r="K26" s="27"/>
    </row>
    <row r="27" spans="1:25" s="39" customFormat="1" ht="20.100000000000001" customHeight="1">
      <c r="A27" s="40"/>
      <c r="B27" s="41" t="s">
        <v>432</v>
      </c>
      <c r="C27" s="35"/>
      <c r="D27" s="36"/>
      <c r="E27" s="44"/>
      <c r="F27" s="81"/>
      <c r="G27" s="44"/>
      <c r="H27" s="44"/>
      <c r="I27" s="44"/>
      <c r="J27" s="26"/>
      <c r="K27" s="42"/>
    </row>
    <row r="28" spans="1:25" s="39" customFormat="1" ht="20.100000000000001" customHeight="1">
      <c r="A28" s="40"/>
      <c r="B28" s="43" t="s">
        <v>436</v>
      </c>
      <c r="C28" s="35"/>
      <c r="D28" s="36"/>
      <c r="E28" s="44">
        <v>10000</v>
      </c>
      <c r="F28" s="81">
        <v>9177</v>
      </c>
      <c r="G28" s="44"/>
      <c r="H28" s="44"/>
      <c r="I28" s="44">
        <v>10000</v>
      </c>
      <c r="J28" s="26">
        <f>J29+J30</f>
        <v>20000</v>
      </c>
      <c r="K28" s="42"/>
    </row>
    <row r="29" spans="1:25" s="39" customFormat="1" ht="12.95">
      <c r="A29" s="40"/>
      <c r="B29" s="45" t="s">
        <v>439</v>
      </c>
      <c r="C29" s="35"/>
      <c r="D29" s="36"/>
      <c r="E29" s="44">
        <v>5340</v>
      </c>
      <c r="F29" s="81">
        <v>4499</v>
      </c>
      <c r="G29" s="44"/>
      <c r="H29" s="44"/>
      <c r="I29" s="44">
        <v>5340</v>
      </c>
      <c r="J29" s="26">
        <f>J33+J36+J39</f>
        <v>10680</v>
      </c>
      <c r="K29" s="42"/>
    </row>
    <row r="30" spans="1:25" s="39" customFormat="1" ht="12.95">
      <c r="A30" s="40"/>
      <c r="B30" s="45" t="s">
        <v>442</v>
      </c>
      <c r="C30" s="35"/>
      <c r="D30" s="36"/>
      <c r="E30" s="44">
        <v>4660</v>
      </c>
      <c r="F30" s="81">
        <v>4678</v>
      </c>
      <c r="G30" s="44"/>
      <c r="H30" s="44"/>
      <c r="I30" s="44">
        <v>4660</v>
      </c>
      <c r="J30" s="26">
        <f>J34+J37+J40</f>
        <v>9320</v>
      </c>
      <c r="K30" s="42"/>
    </row>
    <row r="31" spans="1:25" s="39" customFormat="1" ht="12.95">
      <c r="A31" s="40"/>
      <c r="B31" s="43" t="s">
        <v>445</v>
      </c>
      <c r="C31" s="35"/>
      <c r="D31" s="36"/>
      <c r="E31" s="44">
        <v>10000</v>
      </c>
      <c r="F31" s="88">
        <v>9177</v>
      </c>
      <c r="G31" s="44"/>
      <c r="H31" s="44"/>
      <c r="I31" s="37">
        <v>10000</v>
      </c>
      <c r="J31" s="46">
        <f>J32+J35+J38</f>
        <v>20000</v>
      </c>
      <c r="K31" s="42"/>
    </row>
    <row r="32" spans="1:25" s="39" customFormat="1" ht="12.95">
      <c r="A32" s="40"/>
      <c r="B32" s="47" t="s">
        <v>457</v>
      </c>
      <c r="C32" s="35">
        <v>0</v>
      </c>
      <c r="D32" s="36"/>
      <c r="E32" s="44">
        <v>4250</v>
      </c>
      <c r="F32" s="81">
        <v>3548</v>
      </c>
      <c r="G32" s="44"/>
      <c r="H32" s="44"/>
      <c r="I32" s="44">
        <v>4250</v>
      </c>
      <c r="J32" s="46">
        <f>J33+J34</f>
        <v>8500</v>
      </c>
      <c r="K32" s="42"/>
    </row>
    <row r="33" spans="1:11" s="39" customFormat="1" ht="12.95">
      <c r="A33" s="40"/>
      <c r="B33" s="45" t="s">
        <v>439</v>
      </c>
      <c r="C33" s="35"/>
      <c r="D33" s="36"/>
      <c r="E33" s="44">
        <v>2270</v>
      </c>
      <c r="F33" s="81">
        <v>1684</v>
      </c>
      <c r="G33" s="44"/>
      <c r="H33" s="44"/>
      <c r="I33" s="37">
        <v>2270</v>
      </c>
      <c r="J33" s="48">
        <f>E33+I33</f>
        <v>4540</v>
      </c>
      <c r="K33" s="42"/>
    </row>
    <row r="34" spans="1:11" s="39" customFormat="1" ht="12.95">
      <c r="A34" s="40"/>
      <c r="B34" s="45" t="s">
        <v>442</v>
      </c>
      <c r="C34" s="35"/>
      <c r="D34" s="36"/>
      <c r="E34" s="44">
        <v>1980</v>
      </c>
      <c r="F34" s="81">
        <v>1864</v>
      </c>
      <c r="G34" s="44"/>
      <c r="H34" s="44"/>
      <c r="I34" s="37">
        <v>1980</v>
      </c>
      <c r="J34" s="48">
        <f>E34+I34</f>
        <v>3960</v>
      </c>
      <c r="K34" s="42"/>
    </row>
    <row r="35" spans="1:11" s="39" customFormat="1" ht="12.95">
      <c r="A35" s="40"/>
      <c r="B35" s="47" t="s">
        <v>448</v>
      </c>
      <c r="C35" s="35">
        <v>0</v>
      </c>
      <c r="D35" s="36"/>
      <c r="E35" s="44">
        <v>3450</v>
      </c>
      <c r="F35" s="81">
        <v>3912</v>
      </c>
      <c r="G35" s="44"/>
      <c r="H35" s="44"/>
      <c r="I35" s="37">
        <v>3450</v>
      </c>
      <c r="J35" s="46">
        <f>J36+J37</f>
        <v>6900</v>
      </c>
      <c r="K35" s="42"/>
    </row>
    <row r="36" spans="1:11" s="39" customFormat="1" ht="12.95">
      <c r="A36" s="40"/>
      <c r="B36" s="45" t="s">
        <v>439</v>
      </c>
      <c r="C36" s="35"/>
      <c r="D36" s="36"/>
      <c r="E36" s="44">
        <v>1842</v>
      </c>
      <c r="F36" s="81">
        <v>1942</v>
      </c>
      <c r="G36" s="44"/>
      <c r="H36" s="44"/>
      <c r="I36" s="37">
        <v>1842</v>
      </c>
      <c r="J36" s="48">
        <f>E36+I36</f>
        <v>3684</v>
      </c>
      <c r="K36" s="42"/>
    </row>
    <row r="37" spans="1:11" s="39" customFormat="1" ht="12.95">
      <c r="A37" s="40"/>
      <c r="B37" s="45" t="s">
        <v>442</v>
      </c>
      <c r="C37" s="35"/>
      <c r="D37" s="36"/>
      <c r="E37" s="44">
        <v>1608</v>
      </c>
      <c r="F37" s="81">
        <v>1970</v>
      </c>
      <c r="G37" s="44"/>
      <c r="H37" s="44"/>
      <c r="I37" s="37">
        <v>1608</v>
      </c>
      <c r="J37" s="48">
        <f>E37+I37</f>
        <v>3216</v>
      </c>
      <c r="K37" s="42"/>
    </row>
    <row r="38" spans="1:11" s="39" customFormat="1" ht="12.95">
      <c r="A38" s="40"/>
      <c r="B38" s="47" t="s">
        <v>451</v>
      </c>
      <c r="C38" s="35">
        <v>0</v>
      </c>
      <c r="D38" s="36"/>
      <c r="E38" s="44">
        <v>2300</v>
      </c>
      <c r="F38" s="81">
        <v>1717</v>
      </c>
      <c r="G38" s="44"/>
      <c r="H38" s="44"/>
      <c r="I38" s="37">
        <v>2300</v>
      </c>
      <c r="J38" s="46">
        <f>J39+J40</f>
        <v>4600</v>
      </c>
      <c r="K38" s="42"/>
    </row>
    <row r="39" spans="1:11" s="39" customFormat="1" ht="12.95">
      <c r="A39" s="40"/>
      <c r="B39" s="45" t="s">
        <v>439</v>
      </c>
      <c r="C39" s="35"/>
      <c r="D39" s="36"/>
      <c r="E39" s="44">
        <v>1228</v>
      </c>
      <c r="F39" s="81">
        <v>873</v>
      </c>
      <c r="G39" s="44"/>
      <c r="H39" s="44"/>
      <c r="I39" s="37">
        <v>1228</v>
      </c>
      <c r="J39" s="48">
        <f>E39+I39</f>
        <v>2456</v>
      </c>
      <c r="K39" s="42"/>
    </row>
    <row r="40" spans="1:11" s="39" customFormat="1" ht="12.95">
      <c r="A40" s="40"/>
      <c r="B40" s="45" t="s">
        <v>442</v>
      </c>
      <c r="C40" s="35"/>
      <c r="D40" s="36"/>
      <c r="E40" s="44">
        <v>1072</v>
      </c>
      <c r="F40" s="81">
        <v>844</v>
      </c>
      <c r="G40" s="44"/>
      <c r="H40" s="44"/>
      <c r="I40" s="37">
        <v>1072</v>
      </c>
      <c r="J40" s="48">
        <f>E40+I40</f>
        <v>2144</v>
      </c>
      <c r="K40" s="42"/>
    </row>
    <row r="41" spans="1:11" ht="63.75" customHeight="1">
      <c r="A41" s="55" t="s">
        <v>458</v>
      </c>
      <c r="B41" s="34" t="s">
        <v>459</v>
      </c>
      <c r="C41" s="48">
        <f>C47+C50+C53</f>
        <v>0</v>
      </c>
      <c r="D41" s="27" t="s">
        <v>379</v>
      </c>
      <c r="E41" s="44">
        <v>10000</v>
      </c>
      <c r="F41" s="87">
        <v>9177</v>
      </c>
      <c r="G41" s="44" t="s">
        <v>460</v>
      </c>
      <c r="H41" s="44"/>
      <c r="I41" s="37">
        <v>10000</v>
      </c>
      <c r="J41" s="54">
        <f>J47+J50+J53</f>
        <v>20000</v>
      </c>
      <c r="K41" s="27"/>
    </row>
    <row r="42" spans="1:11" s="39" customFormat="1" ht="12.95">
      <c r="A42" s="40"/>
      <c r="B42" s="41" t="s">
        <v>432</v>
      </c>
      <c r="C42" s="35"/>
      <c r="D42" s="36"/>
      <c r="E42" s="44"/>
      <c r="F42" s="81"/>
      <c r="G42" s="44"/>
      <c r="H42" s="44"/>
      <c r="I42" s="44"/>
      <c r="J42" s="26"/>
      <c r="K42" s="42"/>
    </row>
    <row r="43" spans="1:11" s="39" customFormat="1" ht="12.95">
      <c r="A43" s="40"/>
      <c r="B43" s="43" t="s">
        <v>436</v>
      </c>
      <c r="C43" s="26">
        <f>C44+C45</f>
        <v>0</v>
      </c>
      <c r="D43" s="36"/>
      <c r="E43" s="44">
        <v>10000</v>
      </c>
      <c r="F43" s="81">
        <v>9177</v>
      </c>
      <c r="G43" s="44"/>
      <c r="H43" s="44"/>
      <c r="I43" s="44">
        <v>10000</v>
      </c>
      <c r="J43" s="26">
        <f>J44+J45</f>
        <v>20000</v>
      </c>
      <c r="K43" s="42"/>
    </row>
    <row r="44" spans="1:11" s="39" customFormat="1" ht="12.95">
      <c r="A44" s="40"/>
      <c r="B44" s="45" t="s">
        <v>439</v>
      </c>
      <c r="C44" s="26">
        <f>C48+C51+C54</f>
        <v>0</v>
      </c>
      <c r="D44" s="36"/>
      <c r="E44" s="44">
        <v>5340</v>
      </c>
      <c r="F44" s="81">
        <v>4499</v>
      </c>
      <c r="G44" s="44"/>
      <c r="H44" s="44"/>
      <c r="I44" s="44">
        <v>5340</v>
      </c>
      <c r="J44" s="26">
        <f>J48+J51+J54</f>
        <v>10680</v>
      </c>
      <c r="K44" s="42"/>
    </row>
    <row r="45" spans="1:11" s="39" customFormat="1" ht="12.95">
      <c r="A45" s="40"/>
      <c r="B45" s="45" t="s">
        <v>442</v>
      </c>
      <c r="C45" s="26">
        <f>C49+C52+C55</f>
        <v>0</v>
      </c>
      <c r="D45" s="36"/>
      <c r="E45" s="44">
        <v>4660</v>
      </c>
      <c r="F45" s="81">
        <v>4678</v>
      </c>
      <c r="G45" s="44"/>
      <c r="H45" s="44"/>
      <c r="I45" s="44">
        <v>4660</v>
      </c>
      <c r="J45" s="26">
        <f>J49+J52+J55</f>
        <v>9320</v>
      </c>
      <c r="K45" s="42"/>
    </row>
    <row r="46" spans="1:11" s="39" customFormat="1" ht="12.95">
      <c r="A46" s="40"/>
      <c r="B46" s="43" t="s">
        <v>445</v>
      </c>
      <c r="C46" s="46">
        <f>C47+C50+C53</f>
        <v>0</v>
      </c>
      <c r="D46" s="36"/>
      <c r="E46" s="37">
        <v>10000</v>
      </c>
      <c r="F46" s="88">
        <v>9177</v>
      </c>
      <c r="G46" s="44"/>
      <c r="H46" s="44"/>
      <c r="I46" s="37">
        <v>10000</v>
      </c>
      <c r="J46" s="46">
        <f>J47+J50+J53</f>
        <v>20000</v>
      </c>
      <c r="K46" s="42"/>
    </row>
    <row r="47" spans="1:11" s="39" customFormat="1" ht="12.95">
      <c r="A47" s="40"/>
      <c r="B47" s="47" t="s">
        <v>457</v>
      </c>
      <c r="C47" s="26">
        <f>C48+C49</f>
        <v>0</v>
      </c>
      <c r="D47" s="36"/>
      <c r="E47" s="44">
        <v>4250</v>
      </c>
      <c r="F47" s="81">
        <v>3548</v>
      </c>
      <c r="G47" s="44"/>
      <c r="H47" s="44"/>
      <c r="I47" s="44">
        <v>4250</v>
      </c>
      <c r="J47" s="46">
        <f>J48+J49</f>
        <v>8500</v>
      </c>
      <c r="K47" s="42"/>
    </row>
    <row r="48" spans="1:11" s="39" customFormat="1" ht="12.95">
      <c r="A48" s="40"/>
      <c r="B48" s="45" t="s">
        <v>439</v>
      </c>
      <c r="C48" s="26">
        <v>0</v>
      </c>
      <c r="D48" s="36"/>
      <c r="E48" s="37">
        <v>2270</v>
      </c>
      <c r="F48" s="81">
        <v>1684</v>
      </c>
      <c r="G48" s="44"/>
      <c r="H48" s="44"/>
      <c r="I48" s="37">
        <v>2270</v>
      </c>
      <c r="J48" s="48">
        <f>E48+I48</f>
        <v>4540</v>
      </c>
      <c r="K48" s="42"/>
    </row>
    <row r="49" spans="1:11" s="39" customFormat="1" ht="12.95">
      <c r="A49" s="40"/>
      <c r="B49" s="45" t="s">
        <v>442</v>
      </c>
      <c r="C49" s="26">
        <v>0</v>
      </c>
      <c r="D49" s="36"/>
      <c r="E49" s="37">
        <v>1980</v>
      </c>
      <c r="F49" s="81">
        <v>1864</v>
      </c>
      <c r="G49" s="44"/>
      <c r="H49" s="44"/>
      <c r="I49" s="37">
        <v>1980</v>
      </c>
      <c r="J49" s="48">
        <f>E49+I49</f>
        <v>3960</v>
      </c>
      <c r="K49" s="42"/>
    </row>
    <row r="50" spans="1:11" s="39" customFormat="1" ht="12.95">
      <c r="A50" s="40"/>
      <c r="B50" s="47" t="s">
        <v>448</v>
      </c>
      <c r="C50" s="26">
        <f>C51+C52</f>
        <v>0</v>
      </c>
      <c r="D50" s="36"/>
      <c r="E50" s="37">
        <v>3450</v>
      </c>
      <c r="F50" s="81">
        <v>3912</v>
      </c>
      <c r="G50" s="44"/>
      <c r="H50" s="44"/>
      <c r="I50" s="37">
        <v>3450</v>
      </c>
      <c r="J50" s="46">
        <f>J51+J52</f>
        <v>6900</v>
      </c>
      <c r="K50" s="42"/>
    </row>
    <row r="51" spans="1:11" s="39" customFormat="1" ht="12.95">
      <c r="A51" s="40"/>
      <c r="B51" s="45" t="s">
        <v>439</v>
      </c>
      <c r="C51" s="26">
        <v>0</v>
      </c>
      <c r="D51" s="36"/>
      <c r="E51" s="37">
        <v>1842</v>
      </c>
      <c r="F51" s="81">
        <v>1942</v>
      </c>
      <c r="G51" s="44"/>
      <c r="H51" s="44"/>
      <c r="I51" s="37">
        <v>1842</v>
      </c>
      <c r="J51" s="48">
        <f>E51+I51</f>
        <v>3684</v>
      </c>
      <c r="K51" s="42"/>
    </row>
    <row r="52" spans="1:11" s="39" customFormat="1" ht="12.95">
      <c r="A52" s="40"/>
      <c r="B52" s="45" t="s">
        <v>442</v>
      </c>
      <c r="C52" s="26">
        <v>0</v>
      </c>
      <c r="D52" s="36"/>
      <c r="E52" s="37">
        <v>1608</v>
      </c>
      <c r="F52" s="81">
        <v>1970</v>
      </c>
      <c r="G52" s="44"/>
      <c r="H52" s="44"/>
      <c r="I52" s="37">
        <v>1608</v>
      </c>
      <c r="J52" s="48">
        <f>E52+I52</f>
        <v>3216</v>
      </c>
      <c r="K52" s="42"/>
    </row>
    <row r="53" spans="1:11" s="39" customFormat="1" ht="12.95">
      <c r="A53" s="40"/>
      <c r="B53" s="47" t="s">
        <v>451</v>
      </c>
      <c r="C53" s="26">
        <f>C54+C55</f>
        <v>0</v>
      </c>
      <c r="D53" s="36"/>
      <c r="E53" s="37">
        <v>2300</v>
      </c>
      <c r="F53" s="81">
        <v>1717</v>
      </c>
      <c r="G53" s="44"/>
      <c r="H53" s="44"/>
      <c r="I53" s="37">
        <v>2300</v>
      </c>
      <c r="J53" s="46">
        <f>J54+J55</f>
        <v>4600</v>
      </c>
      <c r="K53" s="42"/>
    </row>
    <row r="54" spans="1:11" s="39" customFormat="1" ht="12.95">
      <c r="A54" s="40"/>
      <c r="B54" s="45" t="s">
        <v>439</v>
      </c>
      <c r="C54" s="26">
        <v>0</v>
      </c>
      <c r="D54" s="36"/>
      <c r="E54" s="37">
        <v>1228</v>
      </c>
      <c r="F54" s="81">
        <v>873</v>
      </c>
      <c r="G54" s="44"/>
      <c r="H54" s="44"/>
      <c r="I54" s="37">
        <v>1228</v>
      </c>
      <c r="J54" s="48">
        <f>E54+I54</f>
        <v>2456</v>
      </c>
      <c r="K54" s="42"/>
    </row>
    <row r="55" spans="1:11" s="39" customFormat="1" ht="12.95">
      <c r="A55" s="40"/>
      <c r="B55" s="45" t="s">
        <v>442</v>
      </c>
      <c r="C55" s="26">
        <v>0</v>
      </c>
      <c r="D55" s="36"/>
      <c r="E55" s="37">
        <v>1072</v>
      </c>
      <c r="F55" s="81">
        <v>844</v>
      </c>
      <c r="G55" s="44"/>
      <c r="H55" s="44"/>
      <c r="I55" s="37">
        <v>1072</v>
      </c>
      <c r="J55" s="48">
        <f>E55+I55</f>
        <v>2144</v>
      </c>
      <c r="K55" s="42"/>
    </row>
    <row r="56" spans="1:11" ht="156.94999999999999" customHeight="1">
      <c r="A56" s="53" t="s">
        <v>461</v>
      </c>
      <c r="B56" s="34" t="s">
        <v>462</v>
      </c>
      <c r="C56" s="48">
        <v>0</v>
      </c>
      <c r="D56" s="27" t="s">
        <v>379</v>
      </c>
      <c r="E56" s="37">
        <v>10000</v>
      </c>
      <c r="F56" s="89">
        <v>9177</v>
      </c>
      <c r="G56" s="44" t="s">
        <v>463</v>
      </c>
      <c r="H56" s="44"/>
      <c r="I56" s="37">
        <v>10000</v>
      </c>
      <c r="J56" s="54">
        <f>J62+J65+J68</f>
        <v>20000</v>
      </c>
      <c r="K56" s="27"/>
    </row>
    <row r="57" spans="1:11" s="39" customFormat="1" ht="20.100000000000001" customHeight="1">
      <c r="A57" s="40"/>
      <c r="B57" s="41" t="s">
        <v>432</v>
      </c>
      <c r="C57" s="35"/>
      <c r="D57" s="36"/>
      <c r="E57" s="44"/>
      <c r="F57" s="81"/>
      <c r="G57" s="44"/>
      <c r="H57" s="44"/>
      <c r="I57" s="44"/>
      <c r="J57" s="26"/>
      <c r="K57" s="42"/>
    </row>
    <row r="58" spans="1:11" s="39" customFormat="1" ht="20.100000000000001" customHeight="1">
      <c r="A58" s="40"/>
      <c r="B58" s="43" t="s">
        <v>436</v>
      </c>
      <c r="C58" s="35"/>
      <c r="D58" s="36"/>
      <c r="E58" s="44">
        <v>10000</v>
      </c>
      <c r="F58" s="81">
        <v>9177</v>
      </c>
      <c r="G58" s="44"/>
      <c r="H58" s="44"/>
      <c r="I58" s="44">
        <v>10000</v>
      </c>
      <c r="J58" s="26">
        <f>J59+J60</f>
        <v>20000</v>
      </c>
      <c r="K58" s="42"/>
    </row>
    <row r="59" spans="1:11" s="39" customFormat="1" ht="12.95">
      <c r="A59" s="40"/>
      <c r="B59" s="45" t="s">
        <v>439</v>
      </c>
      <c r="C59" s="35"/>
      <c r="D59" s="36"/>
      <c r="E59" s="44">
        <v>5340</v>
      </c>
      <c r="F59" s="81">
        <v>4499</v>
      </c>
      <c r="G59" s="44"/>
      <c r="H59" s="44"/>
      <c r="I59" s="44">
        <v>5340</v>
      </c>
      <c r="J59" s="26">
        <f>J63+J66+J69</f>
        <v>10680</v>
      </c>
      <c r="K59" s="42"/>
    </row>
    <row r="60" spans="1:11" s="39" customFormat="1" ht="12.95">
      <c r="A60" s="40"/>
      <c r="B60" s="45" t="s">
        <v>442</v>
      </c>
      <c r="C60" s="35"/>
      <c r="D60" s="36"/>
      <c r="E60" s="44">
        <v>4660</v>
      </c>
      <c r="F60" s="81">
        <v>4678</v>
      </c>
      <c r="G60" s="44"/>
      <c r="H60" s="44"/>
      <c r="I60" s="44">
        <v>4660</v>
      </c>
      <c r="J60" s="26">
        <f>J64+J67+J70</f>
        <v>9320</v>
      </c>
      <c r="K60" s="42"/>
    </row>
    <row r="61" spans="1:11" s="39" customFormat="1" ht="12.95">
      <c r="A61" s="40"/>
      <c r="B61" s="43" t="s">
        <v>445</v>
      </c>
      <c r="C61" s="35"/>
      <c r="D61" s="36"/>
      <c r="E61" s="37">
        <v>10000</v>
      </c>
      <c r="F61" s="88">
        <v>9177</v>
      </c>
      <c r="G61" s="44"/>
      <c r="H61" s="44"/>
      <c r="I61" s="37">
        <v>10000</v>
      </c>
      <c r="J61" s="46">
        <f>J62+J65+J68</f>
        <v>20000</v>
      </c>
      <c r="K61" s="42"/>
    </row>
    <row r="62" spans="1:11" s="39" customFormat="1" ht="12.95">
      <c r="A62" s="40"/>
      <c r="B62" s="47" t="s">
        <v>457</v>
      </c>
      <c r="C62" s="35">
        <v>0</v>
      </c>
      <c r="D62" s="36"/>
      <c r="E62" s="44">
        <v>4250</v>
      </c>
      <c r="F62" s="81">
        <v>3548</v>
      </c>
      <c r="G62" s="44"/>
      <c r="H62" s="44"/>
      <c r="I62" s="44">
        <v>4250</v>
      </c>
      <c r="J62" s="46">
        <f>J63+J64</f>
        <v>8500</v>
      </c>
      <c r="K62" s="42"/>
    </row>
    <row r="63" spans="1:11" s="39" customFormat="1" ht="12.95">
      <c r="A63" s="40"/>
      <c r="B63" s="45" t="s">
        <v>439</v>
      </c>
      <c r="C63" s="35"/>
      <c r="D63" s="36"/>
      <c r="E63" s="37">
        <v>2270</v>
      </c>
      <c r="F63" s="81">
        <v>1684</v>
      </c>
      <c r="G63" s="44"/>
      <c r="H63" s="44"/>
      <c r="I63" s="37">
        <v>2270</v>
      </c>
      <c r="J63" s="48">
        <f>E63+I63</f>
        <v>4540</v>
      </c>
      <c r="K63" s="42"/>
    </row>
    <row r="64" spans="1:11" s="39" customFormat="1" ht="12.95">
      <c r="A64" s="40"/>
      <c r="B64" s="45" t="s">
        <v>442</v>
      </c>
      <c r="C64" s="35"/>
      <c r="D64" s="36"/>
      <c r="E64" s="37">
        <v>1980</v>
      </c>
      <c r="F64" s="81">
        <v>1864</v>
      </c>
      <c r="G64" s="44"/>
      <c r="H64" s="44"/>
      <c r="I64" s="37">
        <v>1980</v>
      </c>
      <c r="J64" s="48">
        <f>E64+I64</f>
        <v>3960</v>
      </c>
      <c r="K64" s="42"/>
    </row>
    <row r="65" spans="1:11" s="39" customFormat="1" ht="12.95">
      <c r="A65" s="40"/>
      <c r="B65" s="47" t="s">
        <v>448</v>
      </c>
      <c r="C65" s="35">
        <v>0</v>
      </c>
      <c r="D65" s="36"/>
      <c r="E65" s="37">
        <v>3450</v>
      </c>
      <c r="F65" s="81">
        <v>3912</v>
      </c>
      <c r="G65" s="44"/>
      <c r="H65" s="44"/>
      <c r="I65" s="37">
        <v>3450</v>
      </c>
      <c r="J65" s="46">
        <f>J66+J67</f>
        <v>6900</v>
      </c>
      <c r="K65" s="42"/>
    </row>
    <row r="66" spans="1:11" s="39" customFormat="1" ht="12.95">
      <c r="A66" s="40"/>
      <c r="B66" s="45" t="s">
        <v>439</v>
      </c>
      <c r="C66" s="35"/>
      <c r="D66" s="36"/>
      <c r="E66" s="37">
        <v>1842</v>
      </c>
      <c r="F66" s="81">
        <v>1942</v>
      </c>
      <c r="G66" s="44"/>
      <c r="H66" s="44"/>
      <c r="I66" s="37">
        <v>1842</v>
      </c>
      <c r="J66" s="48">
        <f>E66+I66</f>
        <v>3684</v>
      </c>
      <c r="K66" s="42"/>
    </row>
    <row r="67" spans="1:11" s="39" customFormat="1" ht="12.95">
      <c r="A67" s="40"/>
      <c r="B67" s="45" t="s">
        <v>442</v>
      </c>
      <c r="C67" s="35"/>
      <c r="D67" s="36"/>
      <c r="E67" s="37">
        <v>1608</v>
      </c>
      <c r="F67" s="81">
        <v>1970</v>
      </c>
      <c r="G67" s="44"/>
      <c r="H67" s="44"/>
      <c r="I67" s="37">
        <v>1608</v>
      </c>
      <c r="J67" s="48">
        <f>E67+I67</f>
        <v>3216</v>
      </c>
      <c r="K67" s="42"/>
    </row>
    <row r="68" spans="1:11" s="39" customFormat="1" ht="12.95">
      <c r="A68" s="40"/>
      <c r="B68" s="47" t="s">
        <v>451</v>
      </c>
      <c r="C68" s="35">
        <v>0</v>
      </c>
      <c r="D68" s="36"/>
      <c r="E68" s="37">
        <v>2300</v>
      </c>
      <c r="F68" s="81">
        <v>1717</v>
      </c>
      <c r="G68" s="44"/>
      <c r="H68" s="44"/>
      <c r="I68" s="37">
        <v>2300</v>
      </c>
      <c r="J68" s="46">
        <f>J69+J70</f>
        <v>4600</v>
      </c>
      <c r="K68" s="42"/>
    </row>
    <row r="69" spans="1:11" s="39" customFormat="1" ht="12.95">
      <c r="A69" s="40"/>
      <c r="B69" s="45" t="s">
        <v>439</v>
      </c>
      <c r="C69" s="35"/>
      <c r="D69" s="36"/>
      <c r="E69" s="37">
        <v>1228</v>
      </c>
      <c r="F69" s="81">
        <v>873</v>
      </c>
      <c r="G69" s="44"/>
      <c r="H69" s="44"/>
      <c r="I69" s="37">
        <v>1228</v>
      </c>
      <c r="J69" s="48">
        <f>E69+I69</f>
        <v>2456</v>
      </c>
      <c r="K69" s="42"/>
    </row>
    <row r="70" spans="1:11" s="39" customFormat="1" ht="12.95">
      <c r="A70" s="40"/>
      <c r="B70" s="45" t="s">
        <v>442</v>
      </c>
      <c r="C70" s="35"/>
      <c r="D70" s="36"/>
      <c r="E70" s="37">
        <v>1072</v>
      </c>
      <c r="F70" s="81">
        <v>844</v>
      </c>
      <c r="G70" s="44"/>
      <c r="H70" s="44"/>
      <c r="I70" s="37">
        <v>1072</v>
      </c>
      <c r="J70" s="48">
        <f>E70+I70</f>
        <v>2144</v>
      </c>
      <c r="K70" s="42"/>
    </row>
    <row r="71" spans="1:11" ht="114.6" customHeight="1">
      <c r="A71" s="55" t="s">
        <v>464</v>
      </c>
      <c r="B71" s="34" t="s">
        <v>465</v>
      </c>
      <c r="C71" s="28">
        <v>0</v>
      </c>
      <c r="D71" s="27" t="s">
        <v>379</v>
      </c>
      <c r="E71" s="48">
        <f>E77+E80+E83</f>
        <v>3000</v>
      </c>
      <c r="F71" s="89">
        <v>100</v>
      </c>
      <c r="G71" s="44" t="s">
        <v>466</v>
      </c>
      <c r="H71" s="205"/>
      <c r="I71" s="48">
        <f>I77+I80+I83</f>
        <v>1000</v>
      </c>
      <c r="J71" s="54">
        <f>J77+J80+J83</f>
        <v>4000</v>
      </c>
      <c r="K71" s="27"/>
    </row>
    <row r="72" spans="1:11" s="39" customFormat="1" ht="12.95">
      <c r="A72" s="40"/>
      <c r="B72" s="41" t="s">
        <v>432</v>
      </c>
      <c r="C72" s="35"/>
      <c r="D72" s="36"/>
      <c r="E72" s="26"/>
      <c r="F72" s="81"/>
      <c r="G72" s="44"/>
      <c r="H72" s="205"/>
      <c r="I72" s="26"/>
      <c r="J72" s="26"/>
      <c r="K72" s="42"/>
    </row>
    <row r="73" spans="1:11" s="39" customFormat="1" ht="12.95">
      <c r="A73" s="40"/>
      <c r="B73" s="43" t="s">
        <v>436</v>
      </c>
      <c r="C73" s="35"/>
      <c r="D73" s="36"/>
      <c r="E73" s="44">
        <v>3000</v>
      </c>
      <c r="F73" s="81">
        <v>100</v>
      </c>
      <c r="G73" s="44"/>
      <c r="H73" s="44"/>
      <c r="I73" s="44">
        <v>1000</v>
      </c>
      <c r="J73" s="26">
        <f>J74+J75</f>
        <v>4000</v>
      </c>
      <c r="K73" s="42"/>
    </row>
    <row r="74" spans="1:11" s="39" customFormat="1" ht="12.95">
      <c r="A74" s="40"/>
      <c r="B74" s="45" t="s">
        <v>439</v>
      </c>
      <c r="C74" s="35"/>
      <c r="D74" s="36"/>
      <c r="E74" s="44">
        <v>2100</v>
      </c>
      <c r="F74" s="81">
        <v>58</v>
      </c>
      <c r="G74" s="44"/>
      <c r="H74" s="44"/>
      <c r="I74" s="44">
        <v>700</v>
      </c>
      <c r="J74" s="26">
        <f t="shared" ref="J74:J75" si="0">J78+J81+J84</f>
        <v>2800</v>
      </c>
      <c r="K74" s="42"/>
    </row>
    <row r="75" spans="1:11" s="39" customFormat="1" ht="12.95">
      <c r="A75" s="40"/>
      <c r="B75" s="45" t="s">
        <v>442</v>
      </c>
      <c r="C75" s="35"/>
      <c r="D75" s="36"/>
      <c r="E75" s="44">
        <v>900</v>
      </c>
      <c r="F75" s="81">
        <v>42</v>
      </c>
      <c r="G75" s="44"/>
      <c r="H75" s="44"/>
      <c r="I75" s="44">
        <v>300</v>
      </c>
      <c r="J75" s="26">
        <f t="shared" si="0"/>
        <v>1200</v>
      </c>
      <c r="K75" s="42"/>
    </row>
    <row r="76" spans="1:11" s="39" customFormat="1" ht="12.95">
      <c r="A76" s="40"/>
      <c r="B76" s="43" t="s">
        <v>445</v>
      </c>
      <c r="C76" s="35"/>
      <c r="D76" s="36"/>
      <c r="E76" s="37">
        <v>3000</v>
      </c>
      <c r="F76" s="88">
        <v>100</v>
      </c>
      <c r="G76" s="44"/>
      <c r="H76" s="44"/>
      <c r="I76" s="37">
        <v>1000</v>
      </c>
      <c r="J76" s="46">
        <f>J77+J80+J83</f>
        <v>4000</v>
      </c>
      <c r="K76" s="42"/>
    </row>
    <row r="77" spans="1:11" s="39" customFormat="1" ht="12.95">
      <c r="A77" s="40"/>
      <c r="B77" s="47" t="s">
        <v>457</v>
      </c>
      <c r="C77" s="35">
        <v>0</v>
      </c>
      <c r="D77" s="36"/>
      <c r="E77" s="44">
        <v>600</v>
      </c>
      <c r="F77" s="81">
        <v>33</v>
      </c>
      <c r="G77" s="44"/>
      <c r="H77" s="44"/>
      <c r="I77" s="44">
        <v>200</v>
      </c>
      <c r="J77" s="46">
        <f>J78+J79</f>
        <v>800</v>
      </c>
      <c r="K77" s="42"/>
    </row>
    <row r="78" spans="1:11" s="39" customFormat="1" ht="12.95">
      <c r="A78" s="40"/>
      <c r="B78" s="45" t="s">
        <v>439</v>
      </c>
      <c r="C78" s="35"/>
      <c r="D78" s="36"/>
      <c r="E78" s="37">
        <v>420</v>
      </c>
      <c r="F78" s="81">
        <v>15</v>
      </c>
      <c r="G78" s="44"/>
      <c r="H78" s="44"/>
      <c r="I78" s="37">
        <v>140</v>
      </c>
      <c r="J78" s="48">
        <f>E78+I78</f>
        <v>560</v>
      </c>
      <c r="K78" s="42"/>
    </row>
    <row r="79" spans="1:11" s="39" customFormat="1" ht="12.95">
      <c r="A79" s="40"/>
      <c r="B79" s="45" t="s">
        <v>442</v>
      </c>
      <c r="C79" s="35"/>
      <c r="D79" s="36"/>
      <c r="E79" s="37">
        <v>180</v>
      </c>
      <c r="F79" s="81">
        <v>18</v>
      </c>
      <c r="G79" s="44"/>
      <c r="H79" s="44"/>
      <c r="I79" s="37">
        <v>60</v>
      </c>
      <c r="J79" s="48">
        <f>E79+I79</f>
        <v>240</v>
      </c>
      <c r="K79" s="42"/>
    </row>
    <row r="80" spans="1:11" s="39" customFormat="1" ht="12.95">
      <c r="A80" s="40"/>
      <c r="B80" s="47" t="s">
        <v>448</v>
      </c>
      <c r="C80" s="35">
        <v>0</v>
      </c>
      <c r="D80" s="36"/>
      <c r="E80" s="37">
        <v>1440</v>
      </c>
      <c r="F80" s="81">
        <v>67</v>
      </c>
      <c r="G80" s="44"/>
      <c r="H80" s="44"/>
      <c r="I80" s="37">
        <v>480</v>
      </c>
      <c r="J80" s="46">
        <f>J81+J82</f>
        <v>1920</v>
      </c>
      <c r="K80" s="42"/>
    </row>
    <row r="81" spans="1:11" s="39" customFormat="1" ht="12.95">
      <c r="A81" s="40"/>
      <c r="B81" s="45" t="s">
        <v>439</v>
      </c>
      <c r="C81" s="35"/>
      <c r="D81" s="36"/>
      <c r="E81" s="37">
        <v>1008</v>
      </c>
      <c r="F81" s="81">
        <v>43</v>
      </c>
      <c r="G81" s="44"/>
      <c r="H81" s="44"/>
      <c r="I81" s="37">
        <v>336</v>
      </c>
      <c r="J81" s="48">
        <f>E81+I81</f>
        <v>1344</v>
      </c>
      <c r="K81" s="42"/>
    </row>
    <row r="82" spans="1:11" s="39" customFormat="1" ht="12.95">
      <c r="A82" s="40"/>
      <c r="B82" s="45" t="s">
        <v>442</v>
      </c>
      <c r="C82" s="35"/>
      <c r="D82" s="36"/>
      <c r="E82" s="37">
        <v>432</v>
      </c>
      <c r="F82" s="81">
        <v>24</v>
      </c>
      <c r="G82" s="44"/>
      <c r="H82" s="44"/>
      <c r="I82" s="37">
        <v>144</v>
      </c>
      <c r="J82" s="48">
        <f>E82+I82</f>
        <v>576</v>
      </c>
      <c r="K82" s="42"/>
    </row>
    <row r="83" spans="1:11" s="39" customFormat="1" ht="12.95">
      <c r="A83" s="40"/>
      <c r="B83" s="47" t="s">
        <v>451</v>
      </c>
      <c r="C83" s="35">
        <v>0</v>
      </c>
      <c r="D83" s="36"/>
      <c r="E83" s="37">
        <v>960</v>
      </c>
      <c r="F83" s="81">
        <v>0</v>
      </c>
      <c r="G83" s="44"/>
      <c r="H83" s="44"/>
      <c r="I83" s="37">
        <v>320</v>
      </c>
      <c r="J83" s="46">
        <f>J84+J85</f>
        <v>1280</v>
      </c>
      <c r="K83" s="42"/>
    </row>
    <row r="84" spans="1:11" s="39" customFormat="1" ht="12.95">
      <c r="A84" s="40"/>
      <c r="B84" s="45" t="s">
        <v>439</v>
      </c>
      <c r="C84" s="35"/>
      <c r="D84" s="36"/>
      <c r="E84" s="37">
        <v>672</v>
      </c>
      <c r="F84" s="81"/>
      <c r="G84" s="44"/>
      <c r="H84" s="44"/>
      <c r="I84" s="37">
        <v>224</v>
      </c>
      <c r="J84" s="48">
        <f>E84+I84</f>
        <v>896</v>
      </c>
      <c r="K84" s="42"/>
    </row>
    <row r="85" spans="1:11" s="39" customFormat="1" ht="12.95">
      <c r="A85" s="49"/>
      <c r="B85" s="45" t="s">
        <v>442</v>
      </c>
      <c r="C85" s="35"/>
      <c r="D85" s="36"/>
      <c r="E85" s="37">
        <v>288</v>
      </c>
      <c r="F85" s="81"/>
      <c r="G85" s="44"/>
      <c r="H85" s="44"/>
      <c r="I85" s="37">
        <v>96</v>
      </c>
      <c r="J85" s="48">
        <f>E85+I85</f>
        <v>384</v>
      </c>
      <c r="K85" s="42"/>
    </row>
    <row r="86" spans="1:11" ht="15.95" customHeight="1">
      <c r="A86" s="56"/>
      <c r="B86" s="51" t="s">
        <v>467</v>
      </c>
      <c r="C86" s="52"/>
      <c r="D86" s="52"/>
      <c r="E86" s="52"/>
      <c r="F86" s="52"/>
      <c r="G86" s="52"/>
      <c r="H86" s="52"/>
      <c r="I86" s="52"/>
      <c r="J86" s="52"/>
      <c r="K86" s="52"/>
    </row>
    <row r="87" spans="1:11" ht="39.75" customHeight="1">
      <c r="A87" s="31" t="s">
        <v>468</v>
      </c>
      <c r="B87" s="57" t="s">
        <v>469</v>
      </c>
      <c r="C87" s="28">
        <v>0</v>
      </c>
      <c r="D87" s="27" t="s">
        <v>379</v>
      </c>
      <c r="E87" s="28">
        <v>4</v>
      </c>
      <c r="F87" s="90">
        <v>0</v>
      </c>
      <c r="G87" s="44" t="s">
        <v>470</v>
      </c>
      <c r="H87" s="205"/>
      <c r="I87" s="28">
        <v>2</v>
      </c>
      <c r="J87" s="28">
        <v>6</v>
      </c>
      <c r="K87" s="27"/>
    </row>
    <row r="88" spans="1:11" ht="37.5" customHeight="1">
      <c r="A88" s="31" t="s">
        <v>471</v>
      </c>
      <c r="B88" s="57" t="s">
        <v>472</v>
      </c>
      <c r="C88" s="28">
        <v>0</v>
      </c>
      <c r="D88" s="27" t="s">
        <v>379</v>
      </c>
      <c r="E88" s="28">
        <v>3</v>
      </c>
      <c r="F88" s="90">
        <v>0</v>
      </c>
      <c r="G88" s="44" t="s">
        <v>473</v>
      </c>
      <c r="H88" s="205">
        <v>0</v>
      </c>
      <c r="I88" s="28">
        <v>2</v>
      </c>
      <c r="J88" s="28">
        <v>5</v>
      </c>
      <c r="K88" s="27"/>
    </row>
    <row r="89" spans="1:11" ht="48.75" customHeight="1">
      <c r="A89" s="58" t="s">
        <v>474</v>
      </c>
      <c r="B89" s="100" t="s">
        <v>475</v>
      </c>
      <c r="C89" s="48">
        <v>0</v>
      </c>
      <c r="D89" s="27" t="s">
        <v>379</v>
      </c>
      <c r="E89" s="48">
        <v>1000</v>
      </c>
      <c r="F89" s="90">
        <v>0</v>
      </c>
      <c r="G89" s="44" t="s">
        <v>476</v>
      </c>
      <c r="H89" s="205">
        <v>0</v>
      </c>
      <c r="I89" s="28">
        <v>510</v>
      </c>
      <c r="J89" s="48">
        <v>1510</v>
      </c>
      <c r="K89" s="27"/>
    </row>
    <row r="90" spans="1:11" ht="107.45" customHeight="1">
      <c r="A90" s="31" t="s">
        <v>477</v>
      </c>
      <c r="B90" s="35" t="s">
        <v>478</v>
      </c>
      <c r="C90" s="28">
        <v>0</v>
      </c>
      <c r="D90" s="27" t="s">
        <v>379</v>
      </c>
      <c r="E90" s="28">
        <v>10</v>
      </c>
      <c r="F90" s="90">
        <v>0</v>
      </c>
      <c r="G90" s="44" t="s">
        <v>479</v>
      </c>
      <c r="H90" s="205">
        <v>10</v>
      </c>
      <c r="I90" s="28">
        <v>0</v>
      </c>
      <c r="J90" s="28">
        <v>10</v>
      </c>
      <c r="K90" s="27"/>
    </row>
    <row r="91" spans="1:11" ht="15" customHeight="1">
      <c r="A91" s="52"/>
      <c r="B91" s="51" t="s">
        <v>480</v>
      </c>
      <c r="C91" s="52"/>
      <c r="D91" s="52"/>
      <c r="E91" s="52"/>
      <c r="F91" s="52"/>
      <c r="G91" s="52"/>
      <c r="H91" s="52"/>
      <c r="I91" s="52"/>
      <c r="J91" s="52"/>
      <c r="K91" s="52"/>
    </row>
    <row r="92" spans="1:11" ht="122.1" customHeight="1">
      <c r="A92" s="58" t="s">
        <v>481</v>
      </c>
      <c r="B92" s="57" t="s">
        <v>482</v>
      </c>
      <c r="C92" s="28">
        <v>0</v>
      </c>
      <c r="D92" s="27" t="s">
        <v>379</v>
      </c>
      <c r="E92" s="28">
        <v>12</v>
      </c>
      <c r="F92" s="90">
        <v>14</v>
      </c>
      <c r="G92" s="44" t="s">
        <v>483</v>
      </c>
      <c r="H92" s="205"/>
      <c r="I92" s="28">
        <v>0</v>
      </c>
      <c r="J92" s="28">
        <v>12</v>
      </c>
      <c r="K92" s="27"/>
    </row>
    <row r="93" spans="1:11" ht="62.45" customHeight="1">
      <c r="A93" s="58" t="s">
        <v>484</v>
      </c>
      <c r="B93" s="35" t="s">
        <v>485</v>
      </c>
      <c r="C93" s="28">
        <v>0</v>
      </c>
      <c r="D93" s="27" t="s">
        <v>379</v>
      </c>
      <c r="E93" s="28">
        <v>12</v>
      </c>
      <c r="F93" s="90">
        <v>14</v>
      </c>
      <c r="G93" s="44" t="s">
        <v>486</v>
      </c>
      <c r="H93" s="205"/>
      <c r="I93" s="28">
        <v>0</v>
      </c>
      <c r="J93" s="28">
        <v>12</v>
      </c>
      <c r="K93" s="27"/>
    </row>
    <row r="94" spans="1:11" ht="39" customHeight="1">
      <c r="A94" s="27" t="s">
        <v>487</v>
      </c>
      <c r="B94" s="35" t="s">
        <v>488</v>
      </c>
      <c r="C94" s="28">
        <v>0</v>
      </c>
      <c r="D94" s="27" t="s">
        <v>379</v>
      </c>
      <c r="E94" s="44">
        <v>7</v>
      </c>
      <c r="F94" s="90">
        <v>1</v>
      </c>
      <c r="G94" s="44" t="s">
        <v>489</v>
      </c>
      <c r="H94" s="44">
        <v>1</v>
      </c>
      <c r="I94" s="44">
        <v>0</v>
      </c>
      <c r="J94" s="28">
        <f>I94+E94</f>
        <v>7</v>
      </c>
      <c r="K94" s="27"/>
    </row>
    <row r="95" spans="1:11" ht="18.600000000000001" customHeight="1">
      <c r="A95" s="29"/>
      <c r="B95" s="59" t="s">
        <v>490</v>
      </c>
      <c r="C95" s="29"/>
      <c r="D95" s="29"/>
      <c r="E95" s="29"/>
      <c r="F95" s="29"/>
      <c r="G95" s="29"/>
      <c r="H95" s="29"/>
      <c r="I95" s="29"/>
      <c r="J95" s="29"/>
      <c r="K95" s="29"/>
    </row>
    <row r="96" spans="1:11" ht="41.25" customHeight="1">
      <c r="A96" s="60" t="s">
        <v>491</v>
      </c>
      <c r="B96" s="61" t="s">
        <v>492</v>
      </c>
      <c r="C96" s="28">
        <v>0</v>
      </c>
      <c r="D96" s="27" t="s">
        <v>379</v>
      </c>
      <c r="E96" s="44">
        <v>2500</v>
      </c>
      <c r="F96" s="91">
        <v>0</v>
      </c>
      <c r="G96" s="26"/>
      <c r="H96" s="206"/>
      <c r="I96" s="44">
        <v>2500</v>
      </c>
      <c r="J96" s="54">
        <f>J102+J105+J108</f>
        <v>5000</v>
      </c>
      <c r="K96" s="27"/>
    </row>
    <row r="97" spans="1:11" s="39" customFormat="1" ht="12.95">
      <c r="A97" s="33"/>
      <c r="B97" s="41" t="s">
        <v>432</v>
      </c>
      <c r="C97" s="35"/>
      <c r="D97" s="36"/>
      <c r="E97" s="44"/>
      <c r="F97" s="80"/>
      <c r="G97" s="26"/>
      <c r="H97" s="206"/>
      <c r="I97" s="44"/>
      <c r="J97" s="26"/>
      <c r="K97" s="42"/>
    </row>
    <row r="98" spans="1:11" s="39" customFormat="1" ht="12.95">
      <c r="A98" s="40"/>
      <c r="B98" s="43" t="s">
        <v>436</v>
      </c>
      <c r="C98" s="35"/>
      <c r="D98" s="36"/>
      <c r="E98" s="44">
        <v>2500</v>
      </c>
      <c r="F98" s="80">
        <f>F99+F100</f>
        <v>0</v>
      </c>
      <c r="G98" s="26"/>
      <c r="H98" s="206"/>
      <c r="I98" s="44">
        <v>2500</v>
      </c>
      <c r="J98" s="26">
        <f>J99+J100</f>
        <v>5000</v>
      </c>
      <c r="K98" s="42"/>
    </row>
    <row r="99" spans="1:11" s="39" customFormat="1" ht="12.95">
      <c r="A99" s="40"/>
      <c r="B99" s="45" t="s">
        <v>439</v>
      </c>
      <c r="C99" s="35"/>
      <c r="D99" s="36"/>
      <c r="E99" s="44">
        <v>1500</v>
      </c>
      <c r="F99" s="80">
        <f>F103+F106+F109</f>
        <v>0</v>
      </c>
      <c r="G99" s="26"/>
      <c r="H99" s="206"/>
      <c r="I99" s="44">
        <v>1500</v>
      </c>
      <c r="J99" s="26">
        <f t="shared" ref="J99:J100" si="1">J103+J106+J109</f>
        <v>3000</v>
      </c>
      <c r="K99" s="42"/>
    </row>
    <row r="100" spans="1:11" s="39" customFormat="1" ht="12.95">
      <c r="A100" s="40"/>
      <c r="B100" s="45" t="s">
        <v>442</v>
      </c>
      <c r="C100" s="35"/>
      <c r="D100" s="36"/>
      <c r="E100" s="44">
        <v>1000</v>
      </c>
      <c r="F100" s="80">
        <f>F104+F107+F110</f>
        <v>0</v>
      </c>
      <c r="G100" s="26"/>
      <c r="H100" s="206"/>
      <c r="I100" s="44">
        <v>1000</v>
      </c>
      <c r="J100" s="26">
        <f t="shared" si="1"/>
        <v>2000</v>
      </c>
      <c r="K100" s="42"/>
    </row>
    <row r="101" spans="1:11" s="39" customFormat="1" ht="12.95">
      <c r="A101" s="40"/>
      <c r="B101" s="43" t="s">
        <v>445</v>
      </c>
      <c r="C101" s="35"/>
      <c r="D101" s="36"/>
      <c r="E101" s="37">
        <v>2500</v>
      </c>
      <c r="F101" s="92">
        <f>F102+F105+F108</f>
        <v>0</v>
      </c>
      <c r="G101" s="26"/>
      <c r="H101" s="206"/>
      <c r="I101" s="37">
        <v>2500</v>
      </c>
      <c r="J101" s="46">
        <f>J102+J105+J108</f>
        <v>5000</v>
      </c>
      <c r="K101" s="42"/>
    </row>
    <row r="102" spans="1:11" s="39" customFormat="1" ht="12.95">
      <c r="A102" s="40"/>
      <c r="B102" s="47" t="s">
        <v>457</v>
      </c>
      <c r="C102" s="35">
        <v>0</v>
      </c>
      <c r="D102" s="36"/>
      <c r="E102" s="44">
        <v>1500</v>
      </c>
      <c r="F102" s="80">
        <f>F103+F104</f>
        <v>0</v>
      </c>
      <c r="G102" s="26"/>
      <c r="H102" s="206"/>
      <c r="I102" s="44">
        <v>1500</v>
      </c>
      <c r="J102" s="46">
        <f>J103+J104</f>
        <v>3000</v>
      </c>
      <c r="K102" s="42"/>
    </row>
    <row r="103" spans="1:11" s="39" customFormat="1" ht="12.95">
      <c r="A103" s="40"/>
      <c r="B103" s="45" t="s">
        <v>439</v>
      </c>
      <c r="C103" s="35"/>
      <c r="D103" s="36"/>
      <c r="E103" s="37">
        <v>1000</v>
      </c>
      <c r="F103" s="80">
        <v>0</v>
      </c>
      <c r="G103" s="26"/>
      <c r="H103" s="206"/>
      <c r="I103" s="37">
        <v>1000</v>
      </c>
      <c r="J103" s="48">
        <f>E103+I103</f>
        <v>2000</v>
      </c>
      <c r="K103" s="42"/>
    </row>
    <row r="104" spans="1:11" s="39" customFormat="1" ht="12.95">
      <c r="A104" s="40"/>
      <c r="B104" s="45" t="s">
        <v>442</v>
      </c>
      <c r="C104" s="35"/>
      <c r="D104" s="36"/>
      <c r="E104" s="37">
        <v>500</v>
      </c>
      <c r="F104" s="80">
        <v>0</v>
      </c>
      <c r="G104" s="26"/>
      <c r="H104" s="206"/>
      <c r="I104" s="37">
        <v>500</v>
      </c>
      <c r="J104" s="48">
        <f>E104+I104</f>
        <v>1000</v>
      </c>
      <c r="K104" s="42"/>
    </row>
    <row r="105" spans="1:11" s="39" customFormat="1" ht="12.95">
      <c r="A105" s="40"/>
      <c r="B105" s="47" t="s">
        <v>448</v>
      </c>
      <c r="C105" s="35">
        <v>0</v>
      </c>
      <c r="D105" s="36"/>
      <c r="E105" s="37">
        <v>600</v>
      </c>
      <c r="F105" s="80">
        <f>F106+F107</f>
        <v>0</v>
      </c>
      <c r="G105" s="26"/>
      <c r="H105" s="206"/>
      <c r="I105" s="37">
        <v>600</v>
      </c>
      <c r="J105" s="46">
        <f>J106+J107</f>
        <v>1200</v>
      </c>
      <c r="K105" s="42"/>
    </row>
    <row r="106" spans="1:11" s="39" customFormat="1" ht="12.95">
      <c r="A106" s="40"/>
      <c r="B106" s="45" t="s">
        <v>439</v>
      </c>
      <c r="C106" s="35"/>
      <c r="D106" s="36"/>
      <c r="E106" s="37">
        <v>300</v>
      </c>
      <c r="F106" s="80">
        <v>0</v>
      </c>
      <c r="G106" s="26"/>
      <c r="H106" s="206"/>
      <c r="I106" s="37">
        <v>300</v>
      </c>
      <c r="J106" s="48">
        <f>E106+I106</f>
        <v>600</v>
      </c>
      <c r="K106" s="42"/>
    </row>
    <row r="107" spans="1:11" s="39" customFormat="1" ht="12.95">
      <c r="A107" s="40"/>
      <c r="B107" s="45" t="s">
        <v>442</v>
      </c>
      <c r="C107" s="35"/>
      <c r="D107" s="36"/>
      <c r="E107" s="37">
        <v>300</v>
      </c>
      <c r="F107" s="80">
        <v>0</v>
      </c>
      <c r="G107" s="26"/>
      <c r="H107" s="206"/>
      <c r="I107" s="37">
        <v>300</v>
      </c>
      <c r="J107" s="48">
        <f>E107+I107</f>
        <v>600</v>
      </c>
      <c r="K107" s="42"/>
    </row>
    <row r="108" spans="1:11" s="39" customFormat="1" ht="12.95">
      <c r="A108" s="40"/>
      <c r="B108" s="47" t="s">
        <v>451</v>
      </c>
      <c r="C108" s="35">
        <v>0</v>
      </c>
      <c r="D108" s="36"/>
      <c r="E108" s="37">
        <v>400</v>
      </c>
      <c r="F108" s="80">
        <f>F109+F110</f>
        <v>0</v>
      </c>
      <c r="G108" s="26"/>
      <c r="H108" s="206"/>
      <c r="I108" s="37">
        <v>400</v>
      </c>
      <c r="J108" s="46">
        <f>J109+J110</f>
        <v>800</v>
      </c>
      <c r="K108" s="42"/>
    </row>
    <row r="109" spans="1:11" s="39" customFormat="1" ht="12.95">
      <c r="A109" s="40"/>
      <c r="B109" s="45" t="s">
        <v>439</v>
      </c>
      <c r="C109" s="35"/>
      <c r="D109" s="36"/>
      <c r="E109" s="37">
        <v>200</v>
      </c>
      <c r="F109" s="80">
        <v>0</v>
      </c>
      <c r="G109" s="26"/>
      <c r="H109" s="206"/>
      <c r="I109" s="37">
        <v>200</v>
      </c>
      <c r="J109" s="48">
        <f>E109+I109</f>
        <v>400</v>
      </c>
      <c r="K109" s="42"/>
    </row>
    <row r="110" spans="1:11" s="39" customFormat="1" ht="12.95">
      <c r="A110" s="49"/>
      <c r="B110" s="45" t="s">
        <v>442</v>
      </c>
      <c r="C110" s="35"/>
      <c r="D110" s="36"/>
      <c r="E110" s="37">
        <v>200</v>
      </c>
      <c r="F110" s="80">
        <v>0</v>
      </c>
      <c r="G110" s="26"/>
      <c r="H110" s="206"/>
      <c r="I110" s="37">
        <v>200</v>
      </c>
      <c r="J110" s="48">
        <f>E110+I110</f>
        <v>400</v>
      </c>
      <c r="K110" s="42"/>
    </row>
    <row r="111" spans="1:11" ht="143.1">
      <c r="A111" s="62" t="s">
        <v>493</v>
      </c>
      <c r="B111" s="26" t="s">
        <v>494</v>
      </c>
      <c r="C111" s="28" t="s">
        <v>420</v>
      </c>
      <c r="D111" s="27" t="s">
        <v>379</v>
      </c>
      <c r="E111" s="28" t="s">
        <v>421</v>
      </c>
      <c r="F111" s="91" t="s">
        <v>495</v>
      </c>
      <c r="G111" s="28"/>
      <c r="H111" s="28"/>
      <c r="I111" s="28" t="s">
        <v>422</v>
      </c>
      <c r="J111" s="28" t="s">
        <v>422</v>
      </c>
      <c r="K111" s="27"/>
    </row>
    <row r="112" spans="1:11" ht="65.099999999999994">
      <c r="A112" s="63" t="s">
        <v>496</v>
      </c>
      <c r="B112" s="64" t="s">
        <v>497</v>
      </c>
      <c r="C112" s="28" t="s">
        <v>498</v>
      </c>
      <c r="D112" s="27" t="s">
        <v>379</v>
      </c>
      <c r="E112" s="37">
        <v>1250</v>
      </c>
      <c r="F112" s="81">
        <v>275</v>
      </c>
      <c r="G112" s="44"/>
      <c r="H112" s="44"/>
      <c r="I112" s="37">
        <v>1250</v>
      </c>
      <c r="J112" s="48">
        <f>J118+J121</f>
        <v>2500</v>
      </c>
      <c r="K112" s="27"/>
    </row>
    <row r="113" spans="1:11" ht="12.95">
      <c r="A113" s="65"/>
      <c r="B113" s="41" t="s">
        <v>432</v>
      </c>
      <c r="C113" s="35"/>
      <c r="D113" s="36"/>
      <c r="E113" s="44"/>
      <c r="F113" s="81"/>
      <c r="G113" s="44"/>
      <c r="H113" s="44"/>
      <c r="I113" s="44"/>
      <c r="J113" s="26"/>
      <c r="K113" s="42"/>
    </row>
    <row r="114" spans="1:11" ht="12.95">
      <c r="A114" s="65"/>
      <c r="B114" s="43" t="s">
        <v>436</v>
      </c>
      <c r="C114" s="26">
        <f>C115+C116</f>
        <v>0</v>
      </c>
      <c r="D114" s="36"/>
      <c r="E114" s="44">
        <v>1250</v>
      </c>
      <c r="F114" s="81">
        <v>275</v>
      </c>
      <c r="G114" s="44"/>
      <c r="H114" s="44"/>
      <c r="I114" s="44">
        <v>1250</v>
      </c>
      <c r="J114" s="26">
        <f>J115+J116</f>
        <v>2500</v>
      </c>
      <c r="K114" s="42"/>
    </row>
    <row r="115" spans="1:11" ht="12.95">
      <c r="A115" s="65"/>
      <c r="B115" s="45" t="s">
        <v>439</v>
      </c>
      <c r="C115" s="26">
        <f>C122+C119</f>
        <v>0</v>
      </c>
      <c r="D115" s="36"/>
      <c r="E115" s="44">
        <v>750</v>
      </c>
      <c r="F115" s="81">
        <v>198</v>
      </c>
      <c r="G115" s="44"/>
      <c r="H115" s="44"/>
      <c r="I115" s="44">
        <v>750</v>
      </c>
      <c r="J115" s="46">
        <f t="shared" ref="J115:J116" si="2">J122+J119</f>
        <v>1500</v>
      </c>
      <c r="K115" s="42"/>
    </row>
    <row r="116" spans="1:11" ht="12.95">
      <c r="A116" s="65"/>
      <c r="B116" s="45" t="s">
        <v>442</v>
      </c>
      <c r="C116" s="26">
        <f>C123+C120</f>
        <v>0</v>
      </c>
      <c r="D116" s="36"/>
      <c r="E116" s="44">
        <v>500</v>
      </c>
      <c r="F116" s="81">
        <v>77</v>
      </c>
      <c r="G116" s="44"/>
      <c r="H116" s="44"/>
      <c r="I116" s="44">
        <v>500</v>
      </c>
      <c r="J116" s="26">
        <f t="shared" si="2"/>
        <v>1000</v>
      </c>
      <c r="K116" s="42"/>
    </row>
    <row r="117" spans="1:11" ht="12.95">
      <c r="A117" s="65"/>
      <c r="B117" s="43" t="s">
        <v>445</v>
      </c>
      <c r="C117" s="26">
        <f>C121+C118</f>
        <v>0</v>
      </c>
      <c r="D117" s="36"/>
      <c r="E117" s="44">
        <v>1250</v>
      </c>
      <c r="F117" s="81">
        <v>275</v>
      </c>
      <c r="G117" s="44"/>
      <c r="H117" s="44"/>
      <c r="I117" s="44">
        <v>1250</v>
      </c>
      <c r="J117" s="26">
        <f>J121+J118</f>
        <v>2500</v>
      </c>
      <c r="K117" s="42"/>
    </row>
    <row r="118" spans="1:11" ht="12.95">
      <c r="A118" s="65"/>
      <c r="B118" s="47" t="s">
        <v>448</v>
      </c>
      <c r="C118" s="26">
        <f>C119+C120</f>
        <v>0</v>
      </c>
      <c r="D118" s="36"/>
      <c r="E118" s="37">
        <v>750</v>
      </c>
      <c r="F118" s="81">
        <v>145</v>
      </c>
      <c r="G118" s="44"/>
      <c r="H118" s="44"/>
      <c r="I118" s="37">
        <v>750</v>
      </c>
      <c r="J118" s="46">
        <f>J119+J120</f>
        <v>1500</v>
      </c>
      <c r="K118" s="42"/>
    </row>
    <row r="119" spans="1:11" ht="12.95">
      <c r="A119" s="65"/>
      <c r="B119" s="45" t="s">
        <v>439</v>
      </c>
      <c r="C119" s="35">
        <v>0</v>
      </c>
      <c r="D119" s="36"/>
      <c r="E119" s="37">
        <v>450</v>
      </c>
      <c r="F119" s="81">
        <v>108</v>
      </c>
      <c r="G119" s="44"/>
      <c r="H119" s="44"/>
      <c r="I119" s="37">
        <v>450</v>
      </c>
      <c r="J119" s="48">
        <f>E119+I119</f>
        <v>900</v>
      </c>
      <c r="K119" s="42"/>
    </row>
    <row r="120" spans="1:11" ht="12.95">
      <c r="A120" s="65"/>
      <c r="B120" s="45" t="s">
        <v>442</v>
      </c>
      <c r="C120" s="35">
        <v>0</v>
      </c>
      <c r="D120" s="36"/>
      <c r="E120" s="37">
        <v>300</v>
      </c>
      <c r="F120" s="81">
        <v>37</v>
      </c>
      <c r="G120" s="44"/>
      <c r="H120" s="44"/>
      <c r="I120" s="37">
        <v>300</v>
      </c>
      <c r="J120" s="48">
        <f>E120+I120</f>
        <v>600</v>
      </c>
      <c r="K120" s="42"/>
    </row>
    <row r="121" spans="1:11" ht="12.95">
      <c r="A121" s="65"/>
      <c r="B121" s="47" t="s">
        <v>451</v>
      </c>
      <c r="C121" s="26">
        <f>C122+C123</f>
        <v>0</v>
      </c>
      <c r="D121" s="36"/>
      <c r="E121" s="44">
        <v>500</v>
      </c>
      <c r="F121" s="81">
        <v>130</v>
      </c>
      <c r="G121" s="44"/>
      <c r="H121" s="44"/>
      <c r="I121" s="44">
        <v>500</v>
      </c>
      <c r="J121" s="46">
        <f>J122+J123</f>
        <v>1000</v>
      </c>
      <c r="K121" s="42"/>
    </row>
    <row r="122" spans="1:11" ht="12.95">
      <c r="A122" s="65"/>
      <c r="B122" s="45" t="s">
        <v>439</v>
      </c>
      <c r="C122" s="35">
        <v>0</v>
      </c>
      <c r="D122" s="36"/>
      <c r="E122" s="37">
        <v>300</v>
      </c>
      <c r="F122" s="81">
        <v>90</v>
      </c>
      <c r="G122" s="44"/>
      <c r="H122" s="44"/>
      <c r="I122" s="37">
        <v>300</v>
      </c>
      <c r="J122" s="48">
        <f>E122+I122</f>
        <v>600</v>
      </c>
      <c r="K122" s="42"/>
    </row>
    <row r="123" spans="1:11" ht="12.95">
      <c r="A123" s="65"/>
      <c r="B123" s="45" t="s">
        <v>442</v>
      </c>
      <c r="C123" s="35">
        <v>0</v>
      </c>
      <c r="D123" s="36"/>
      <c r="E123" s="37">
        <v>200</v>
      </c>
      <c r="F123" s="81">
        <v>40</v>
      </c>
      <c r="G123" s="44"/>
      <c r="H123" s="44"/>
      <c r="I123" s="37">
        <v>200</v>
      </c>
      <c r="J123" s="48">
        <f>E123+I123</f>
        <v>400</v>
      </c>
      <c r="K123" s="42"/>
    </row>
    <row r="124" spans="1:11" ht="12.95">
      <c r="A124" s="56"/>
      <c r="B124" s="51" t="s">
        <v>499</v>
      </c>
      <c r="C124" s="52"/>
      <c r="D124" s="52"/>
      <c r="E124" s="52"/>
      <c r="F124" s="52"/>
      <c r="G124" s="52"/>
      <c r="H124" s="52"/>
      <c r="I124" s="52"/>
      <c r="J124" s="52"/>
      <c r="K124" s="52"/>
    </row>
    <row r="125" spans="1:11" ht="81" customHeight="1">
      <c r="A125" s="66" t="s">
        <v>500</v>
      </c>
      <c r="B125" s="57" t="s">
        <v>501</v>
      </c>
      <c r="C125" s="28">
        <v>0</v>
      </c>
      <c r="D125" s="27" t="s">
        <v>379</v>
      </c>
      <c r="E125" s="28">
        <v>10</v>
      </c>
      <c r="F125" s="90">
        <v>0</v>
      </c>
      <c r="G125" s="44" t="s">
        <v>502</v>
      </c>
      <c r="H125" s="205"/>
      <c r="I125" s="28">
        <v>7</v>
      </c>
      <c r="J125" s="28">
        <f>I125+E125</f>
        <v>17</v>
      </c>
      <c r="K125" s="27"/>
    </row>
    <row r="126" spans="1:11" ht="105.6" customHeight="1">
      <c r="A126" s="67" t="s">
        <v>503</v>
      </c>
      <c r="B126" s="68" t="s">
        <v>504</v>
      </c>
      <c r="C126" s="26">
        <f>C129+C130</f>
        <v>0</v>
      </c>
      <c r="D126" s="27" t="s">
        <v>379</v>
      </c>
      <c r="E126" s="44">
        <v>20</v>
      </c>
      <c r="F126" s="81">
        <v>0</v>
      </c>
      <c r="G126" s="44" t="s">
        <v>505</v>
      </c>
      <c r="H126" s="44"/>
      <c r="I126" s="44">
        <v>10</v>
      </c>
      <c r="J126" s="26">
        <f>J129+J130</f>
        <v>30</v>
      </c>
      <c r="K126" s="27"/>
    </row>
    <row r="127" spans="1:11" ht="12.95">
      <c r="A127" s="69"/>
      <c r="B127" s="41" t="s">
        <v>432</v>
      </c>
      <c r="C127" s="35"/>
      <c r="D127" s="36"/>
      <c r="E127" s="44"/>
      <c r="F127" s="81"/>
      <c r="G127" s="44"/>
      <c r="H127" s="44"/>
      <c r="I127" s="44"/>
      <c r="J127" s="26"/>
      <c r="K127" s="42"/>
    </row>
    <row r="128" spans="1:11" ht="12.95">
      <c r="A128" s="69"/>
      <c r="B128" s="43" t="s">
        <v>436</v>
      </c>
      <c r="C128" s="26">
        <f>C129+C130</f>
        <v>0</v>
      </c>
      <c r="D128" s="36"/>
      <c r="E128" s="44">
        <v>20</v>
      </c>
      <c r="F128" s="81">
        <v>0</v>
      </c>
      <c r="G128" s="44"/>
      <c r="H128" s="44"/>
      <c r="I128" s="44">
        <v>10</v>
      </c>
      <c r="J128" s="26">
        <f>E128+I128</f>
        <v>30</v>
      </c>
      <c r="K128" s="42"/>
    </row>
    <row r="129" spans="1:11" ht="12.95">
      <c r="A129" s="69"/>
      <c r="B129" s="45" t="s">
        <v>439</v>
      </c>
      <c r="C129" s="26">
        <v>0</v>
      </c>
      <c r="D129" s="36"/>
      <c r="E129" s="44">
        <v>10</v>
      </c>
      <c r="F129" s="81">
        <v>0</v>
      </c>
      <c r="G129" s="44"/>
      <c r="H129" s="44"/>
      <c r="I129" s="44">
        <v>5</v>
      </c>
      <c r="J129" s="26">
        <f>E129+I129</f>
        <v>15</v>
      </c>
      <c r="K129" s="42"/>
    </row>
    <row r="130" spans="1:11" ht="12.95">
      <c r="A130" s="70"/>
      <c r="B130" s="45" t="s">
        <v>442</v>
      </c>
      <c r="C130" s="26">
        <v>0</v>
      </c>
      <c r="D130" s="36"/>
      <c r="E130" s="44">
        <v>10</v>
      </c>
      <c r="F130" s="81">
        <v>0</v>
      </c>
      <c r="G130" s="44"/>
      <c r="H130" s="44"/>
      <c r="I130" s="44">
        <v>5</v>
      </c>
      <c r="J130" s="26">
        <f>E130+I130</f>
        <v>15</v>
      </c>
      <c r="K130" s="42"/>
    </row>
    <row r="131" spans="1:11" ht="129.94999999999999">
      <c r="A131" s="71" t="s">
        <v>506</v>
      </c>
      <c r="B131" s="26" t="s">
        <v>507</v>
      </c>
      <c r="C131" s="26">
        <v>0</v>
      </c>
      <c r="D131" s="27" t="s">
        <v>379</v>
      </c>
      <c r="E131" s="44">
        <v>1250</v>
      </c>
      <c r="F131" s="81">
        <v>275</v>
      </c>
      <c r="G131" s="44" t="s">
        <v>508</v>
      </c>
      <c r="H131" s="44"/>
      <c r="I131" s="44">
        <v>1250</v>
      </c>
      <c r="J131" s="26">
        <f>J137+J140</f>
        <v>2500</v>
      </c>
      <c r="K131" s="27"/>
    </row>
    <row r="132" spans="1:11" ht="12.95">
      <c r="A132" s="67"/>
      <c r="B132" s="41" t="s">
        <v>432</v>
      </c>
      <c r="C132" s="35"/>
      <c r="D132" s="36"/>
      <c r="E132" s="44"/>
      <c r="F132" s="81"/>
      <c r="G132" s="44"/>
      <c r="H132" s="44"/>
      <c r="I132" s="44"/>
      <c r="J132" s="26"/>
      <c r="K132" s="42"/>
    </row>
    <row r="133" spans="1:11" ht="12.95">
      <c r="A133" s="69"/>
      <c r="B133" s="43" t="s">
        <v>436</v>
      </c>
      <c r="C133" s="26">
        <f>C134+C135</f>
        <v>0</v>
      </c>
      <c r="D133" s="36"/>
      <c r="E133" s="44">
        <v>1250</v>
      </c>
      <c r="F133" s="81">
        <v>275</v>
      </c>
      <c r="G133" s="44"/>
      <c r="H133" s="44"/>
      <c r="I133" s="44">
        <v>1250</v>
      </c>
      <c r="J133" s="26">
        <f>J134+J135</f>
        <v>2500</v>
      </c>
      <c r="K133" s="42"/>
    </row>
    <row r="134" spans="1:11" ht="12.95">
      <c r="A134" s="69"/>
      <c r="B134" s="45" t="s">
        <v>439</v>
      </c>
      <c r="C134" s="26">
        <f>C141+C138</f>
        <v>0</v>
      </c>
      <c r="D134" s="36"/>
      <c r="E134" s="44">
        <v>750</v>
      </c>
      <c r="F134" s="81">
        <v>198</v>
      </c>
      <c r="G134" s="44"/>
      <c r="H134" s="44"/>
      <c r="I134" s="44">
        <v>750</v>
      </c>
      <c r="J134" s="46">
        <f t="shared" ref="J134:J135" si="3">J141+J138</f>
        <v>1500</v>
      </c>
      <c r="K134" s="42"/>
    </row>
    <row r="135" spans="1:11" ht="12.95">
      <c r="A135" s="69"/>
      <c r="B135" s="45" t="s">
        <v>442</v>
      </c>
      <c r="C135" s="26">
        <f>C142+C139</f>
        <v>0</v>
      </c>
      <c r="D135" s="36"/>
      <c r="E135" s="44">
        <v>500</v>
      </c>
      <c r="F135" s="81">
        <v>77</v>
      </c>
      <c r="G135" s="44"/>
      <c r="H135" s="44"/>
      <c r="I135" s="44">
        <v>500</v>
      </c>
      <c r="J135" s="26">
        <f t="shared" si="3"/>
        <v>1000</v>
      </c>
      <c r="K135" s="42"/>
    </row>
    <row r="136" spans="1:11" ht="12.95">
      <c r="A136" s="69"/>
      <c r="B136" s="43" t="s">
        <v>445</v>
      </c>
      <c r="C136" s="26">
        <f>C140+C137</f>
        <v>0</v>
      </c>
      <c r="D136" s="36"/>
      <c r="E136" s="44">
        <v>1250</v>
      </c>
      <c r="F136" s="81">
        <v>275</v>
      </c>
      <c r="G136" s="44"/>
      <c r="H136" s="44"/>
      <c r="I136" s="44">
        <v>1250</v>
      </c>
      <c r="J136" s="26">
        <f>J140+J137</f>
        <v>2500</v>
      </c>
      <c r="K136" s="42"/>
    </row>
    <row r="137" spans="1:11" ht="12.95">
      <c r="A137" s="69"/>
      <c r="B137" s="47" t="s">
        <v>448</v>
      </c>
      <c r="C137" s="26">
        <f>C138+C139</f>
        <v>0</v>
      </c>
      <c r="D137" s="36"/>
      <c r="E137" s="37">
        <v>746</v>
      </c>
      <c r="F137" s="81">
        <v>145</v>
      </c>
      <c r="G137" s="44"/>
      <c r="H137" s="44"/>
      <c r="I137" s="37">
        <v>746</v>
      </c>
      <c r="J137" s="46">
        <f>J138+J139</f>
        <v>1492</v>
      </c>
      <c r="K137" s="42"/>
    </row>
    <row r="138" spans="1:11" ht="12.95">
      <c r="A138" s="69"/>
      <c r="B138" s="45" t="s">
        <v>439</v>
      </c>
      <c r="C138" s="35">
        <v>0</v>
      </c>
      <c r="D138" s="36"/>
      <c r="E138" s="37">
        <v>448</v>
      </c>
      <c r="F138" s="81">
        <v>108</v>
      </c>
      <c r="G138" s="44"/>
      <c r="H138" s="44"/>
      <c r="I138" s="37">
        <v>448</v>
      </c>
      <c r="J138" s="48">
        <f>E138+I138</f>
        <v>896</v>
      </c>
      <c r="K138" s="42"/>
    </row>
    <row r="139" spans="1:11" ht="12.95">
      <c r="A139" s="69"/>
      <c r="B139" s="45" t="s">
        <v>442</v>
      </c>
      <c r="C139" s="35">
        <v>0</v>
      </c>
      <c r="D139" s="36"/>
      <c r="E139" s="37">
        <v>298</v>
      </c>
      <c r="F139" s="81">
        <v>37</v>
      </c>
      <c r="G139" s="44"/>
      <c r="H139" s="44"/>
      <c r="I139" s="37">
        <v>298</v>
      </c>
      <c r="J139" s="48">
        <f>E139+I139</f>
        <v>596</v>
      </c>
      <c r="K139" s="42"/>
    </row>
    <row r="140" spans="1:11" ht="12.95">
      <c r="A140" s="69"/>
      <c r="B140" s="47" t="s">
        <v>451</v>
      </c>
      <c r="C140" s="26">
        <f>C141+C142</f>
        <v>0</v>
      </c>
      <c r="D140" s="36"/>
      <c r="E140" s="44">
        <v>504</v>
      </c>
      <c r="F140" s="81">
        <v>130</v>
      </c>
      <c r="G140" s="44"/>
      <c r="H140" s="44"/>
      <c r="I140" s="44">
        <v>504</v>
      </c>
      <c r="J140" s="46">
        <f>J141+J142</f>
        <v>1008</v>
      </c>
      <c r="K140" s="42"/>
    </row>
    <row r="141" spans="1:11" ht="12.95">
      <c r="A141" s="69"/>
      <c r="B141" s="45" t="s">
        <v>439</v>
      </c>
      <c r="C141" s="35">
        <v>0</v>
      </c>
      <c r="D141" s="36"/>
      <c r="E141" s="37">
        <v>302</v>
      </c>
      <c r="F141" s="81">
        <v>90</v>
      </c>
      <c r="G141" s="44"/>
      <c r="H141" s="44"/>
      <c r="I141" s="37">
        <v>302</v>
      </c>
      <c r="J141" s="48">
        <f>E141+I141</f>
        <v>604</v>
      </c>
      <c r="K141" s="42"/>
    </row>
    <row r="142" spans="1:11" ht="12.95">
      <c r="A142" s="69"/>
      <c r="B142" s="45" t="s">
        <v>442</v>
      </c>
      <c r="C142" s="35">
        <v>0</v>
      </c>
      <c r="D142" s="36"/>
      <c r="E142" s="37">
        <v>202</v>
      </c>
      <c r="F142" s="81">
        <v>40</v>
      </c>
      <c r="G142" s="44"/>
      <c r="H142" s="44"/>
      <c r="I142" s="37">
        <v>202</v>
      </c>
      <c r="J142" s="48">
        <f>E142+I142</f>
        <v>404</v>
      </c>
      <c r="K142" s="42"/>
    </row>
    <row r="143" spans="1:11" ht="22.5" customHeight="1">
      <c r="A143" s="50"/>
      <c r="B143" s="51" t="s">
        <v>509</v>
      </c>
      <c r="C143" s="52"/>
      <c r="D143" s="52"/>
      <c r="E143" s="52"/>
      <c r="F143" s="52"/>
      <c r="G143" s="52"/>
      <c r="H143" s="52"/>
      <c r="I143" s="52"/>
      <c r="J143" s="52"/>
      <c r="K143" s="52"/>
    </row>
    <row r="144" spans="1:11" ht="46.5" customHeight="1">
      <c r="A144" s="72" t="s">
        <v>510</v>
      </c>
      <c r="B144" s="64" t="s">
        <v>511</v>
      </c>
      <c r="C144" s="28">
        <v>0</v>
      </c>
      <c r="D144" s="27" t="s">
        <v>379</v>
      </c>
      <c r="E144" s="73">
        <v>250</v>
      </c>
      <c r="F144" s="90">
        <v>0</v>
      </c>
      <c r="G144" s="44" t="s">
        <v>512</v>
      </c>
      <c r="H144" s="44"/>
      <c r="I144" s="73">
        <v>250</v>
      </c>
      <c r="J144" s="27">
        <f>J150+J153+J156</f>
        <v>500</v>
      </c>
      <c r="K144" s="27"/>
    </row>
    <row r="145" spans="1:11" ht="12.95">
      <c r="A145" s="74"/>
      <c r="B145" s="41" t="s">
        <v>432</v>
      </c>
      <c r="C145" s="35"/>
      <c r="D145" s="36"/>
      <c r="E145" s="44"/>
      <c r="F145" s="81"/>
      <c r="G145" s="44"/>
      <c r="H145" s="44"/>
      <c r="I145" s="44"/>
      <c r="J145" s="26"/>
      <c r="K145" s="42"/>
    </row>
    <row r="146" spans="1:11" ht="12.95">
      <c r="A146" s="74"/>
      <c r="B146" s="43" t="s">
        <v>436</v>
      </c>
      <c r="C146" s="35"/>
      <c r="D146" s="36"/>
      <c r="E146" s="44">
        <v>250</v>
      </c>
      <c r="F146" s="81">
        <v>0</v>
      </c>
      <c r="G146" s="44"/>
      <c r="H146" s="44"/>
      <c r="I146" s="44">
        <v>250</v>
      </c>
      <c r="J146" s="26">
        <f>J147+J148</f>
        <v>500</v>
      </c>
      <c r="K146" s="42"/>
    </row>
    <row r="147" spans="1:11" ht="12.95">
      <c r="A147" s="74"/>
      <c r="B147" s="45" t="s">
        <v>439</v>
      </c>
      <c r="C147" s="35"/>
      <c r="D147" s="36"/>
      <c r="E147" s="44">
        <v>138</v>
      </c>
      <c r="F147" s="81">
        <v>0</v>
      </c>
      <c r="G147" s="44"/>
      <c r="H147" s="44"/>
      <c r="I147" s="44">
        <v>138</v>
      </c>
      <c r="J147" s="26">
        <f t="shared" ref="J147:J148" si="4">J151+J154+J157</f>
        <v>276</v>
      </c>
      <c r="K147" s="42"/>
    </row>
    <row r="148" spans="1:11" ht="12.95">
      <c r="A148" s="74"/>
      <c r="B148" s="45" t="s">
        <v>442</v>
      </c>
      <c r="C148" s="35"/>
      <c r="D148" s="36"/>
      <c r="E148" s="44">
        <v>112</v>
      </c>
      <c r="F148" s="81">
        <v>0</v>
      </c>
      <c r="G148" s="44"/>
      <c r="H148" s="44"/>
      <c r="I148" s="44">
        <v>112</v>
      </c>
      <c r="J148" s="26">
        <f t="shared" si="4"/>
        <v>224</v>
      </c>
      <c r="K148" s="42"/>
    </row>
    <row r="149" spans="1:11" ht="12.95">
      <c r="A149" s="74"/>
      <c r="B149" s="43" t="s">
        <v>445</v>
      </c>
      <c r="C149" s="35"/>
      <c r="D149" s="36"/>
      <c r="E149" s="37">
        <v>250</v>
      </c>
      <c r="F149" s="88">
        <v>0</v>
      </c>
      <c r="G149" s="44"/>
      <c r="H149" s="44"/>
      <c r="I149" s="37">
        <v>250</v>
      </c>
      <c r="J149" s="46">
        <f>J150+J153+J156</f>
        <v>500</v>
      </c>
      <c r="K149" s="42"/>
    </row>
    <row r="150" spans="1:11" ht="12.95">
      <c r="A150" s="74"/>
      <c r="B150" s="47" t="s">
        <v>457</v>
      </c>
      <c r="C150" s="35">
        <v>0</v>
      </c>
      <c r="D150" s="36"/>
      <c r="E150" s="44">
        <v>138</v>
      </c>
      <c r="F150" s="81">
        <v>0</v>
      </c>
      <c r="G150" s="44"/>
      <c r="H150" s="44"/>
      <c r="I150" s="44">
        <v>138</v>
      </c>
      <c r="J150" s="46">
        <f>J151+J152</f>
        <v>276</v>
      </c>
      <c r="K150" s="42"/>
    </row>
    <row r="151" spans="1:11" ht="12.95">
      <c r="A151" s="74"/>
      <c r="B151" s="45" t="s">
        <v>439</v>
      </c>
      <c r="C151" s="35"/>
      <c r="D151" s="36"/>
      <c r="E151" s="37">
        <v>76</v>
      </c>
      <c r="F151" s="81">
        <v>0</v>
      </c>
      <c r="G151" s="44"/>
      <c r="H151" s="44"/>
      <c r="I151" s="37">
        <v>76</v>
      </c>
      <c r="J151" s="48">
        <f>E151+I151</f>
        <v>152</v>
      </c>
      <c r="K151" s="42"/>
    </row>
    <row r="152" spans="1:11" ht="12.95">
      <c r="A152" s="74"/>
      <c r="B152" s="45" t="s">
        <v>442</v>
      </c>
      <c r="C152" s="35"/>
      <c r="D152" s="36"/>
      <c r="E152" s="37">
        <v>62</v>
      </c>
      <c r="F152" s="81"/>
      <c r="G152" s="44"/>
      <c r="H152" s="44"/>
      <c r="I152" s="37">
        <v>62</v>
      </c>
      <c r="J152" s="48">
        <f>E152+I152</f>
        <v>124</v>
      </c>
      <c r="K152" s="42"/>
    </row>
    <row r="153" spans="1:11" ht="12.95">
      <c r="A153" s="74"/>
      <c r="B153" s="47" t="s">
        <v>448</v>
      </c>
      <c r="C153" s="35">
        <v>0</v>
      </c>
      <c r="D153" s="36"/>
      <c r="E153" s="37">
        <v>68</v>
      </c>
      <c r="F153" s="81">
        <v>0</v>
      </c>
      <c r="G153" s="44"/>
      <c r="H153" s="44"/>
      <c r="I153" s="37">
        <v>68</v>
      </c>
      <c r="J153" s="46">
        <f>J154+J155</f>
        <v>136</v>
      </c>
      <c r="K153" s="42"/>
    </row>
    <row r="154" spans="1:11" ht="12.95">
      <c r="A154" s="74"/>
      <c r="B154" s="45" t="s">
        <v>439</v>
      </c>
      <c r="C154" s="35"/>
      <c r="D154" s="36"/>
      <c r="E154" s="37">
        <v>38</v>
      </c>
      <c r="F154" s="81">
        <v>0</v>
      </c>
      <c r="G154" s="44"/>
      <c r="H154" s="44"/>
      <c r="I154" s="37">
        <v>38</v>
      </c>
      <c r="J154" s="48">
        <f>E154+I154</f>
        <v>76</v>
      </c>
      <c r="K154" s="42"/>
    </row>
    <row r="155" spans="1:11" ht="12.95">
      <c r="A155" s="74"/>
      <c r="B155" s="45" t="s">
        <v>442</v>
      </c>
      <c r="C155" s="35"/>
      <c r="D155" s="36"/>
      <c r="E155" s="37">
        <v>30</v>
      </c>
      <c r="F155" s="81">
        <v>0</v>
      </c>
      <c r="G155" s="44"/>
      <c r="H155" s="44"/>
      <c r="I155" s="37">
        <v>30</v>
      </c>
      <c r="J155" s="48">
        <f>E155+I155</f>
        <v>60</v>
      </c>
      <c r="K155" s="42"/>
    </row>
    <row r="156" spans="1:11" ht="12.95">
      <c r="A156" s="74"/>
      <c r="B156" s="47" t="s">
        <v>451</v>
      </c>
      <c r="C156" s="35">
        <v>0</v>
      </c>
      <c r="D156" s="36"/>
      <c r="E156" s="37">
        <v>44</v>
      </c>
      <c r="F156" s="81">
        <v>0</v>
      </c>
      <c r="G156" s="44"/>
      <c r="H156" s="44"/>
      <c r="I156" s="37">
        <v>44</v>
      </c>
      <c r="J156" s="46">
        <f>J157+J158</f>
        <v>88</v>
      </c>
      <c r="K156" s="42"/>
    </row>
    <row r="157" spans="1:11" ht="12.95">
      <c r="A157" s="74"/>
      <c r="B157" s="45" t="s">
        <v>439</v>
      </c>
      <c r="C157" s="35"/>
      <c r="D157" s="36"/>
      <c r="E157" s="37">
        <v>24</v>
      </c>
      <c r="F157" s="81">
        <v>0</v>
      </c>
      <c r="G157" s="44"/>
      <c r="H157" s="44"/>
      <c r="I157" s="37">
        <v>24</v>
      </c>
      <c r="J157" s="48">
        <f>E157+I157</f>
        <v>48</v>
      </c>
      <c r="K157" s="42"/>
    </row>
    <row r="158" spans="1:11" ht="12.95">
      <c r="A158" s="75"/>
      <c r="B158" s="45" t="s">
        <v>442</v>
      </c>
      <c r="C158" s="35"/>
      <c r="D158" s="36"/>
      <c r="E158" s="37">
        <v>20</v>
      </c>
      <c r="F158" s="81">
        <v>0</v>
      </c>
      <c r="G158" s="44"/>
      <c r="H158" s="44"/>
      <c r="I158" s="37">
        <v>20</v>
      </c>
      <c r="J158" s="48">
        <f>E158+I158</f>
        <v>40</v>
      </c>
      <c r="K158" s="42"/>
    </row>
    <row r="159" spans="1:11" ht="51.95">
      <c r="A159" s="76" t="s">
        <v>513</v>
      </c>
      <c r="B159" s="57" t="s">
        <v>514</v>
      </c>
      <c r="C159" s="28">
        <v>0</v>
      </c>
      <c r="D159" s="27" t="s">
        <v>379</v>
      </c>
      <c r="E159" s="28">
        <v>2</v>
      </c>
      <c r="F159" s="90">
        <v>0</v>
      </c>
      <c r="G159" s="44" t="s">
        <v>512</v>
      </c>
      <c r="H159" s="205"/>
      <c r="I159" s="28">
        <v>2</v>
      </c>
      <c r="J159" s="28">
        <v>4</v>
      </c>
      <c r="K159" s="27"/>
    </row>
    <row r="160" spans="1:11" ht="58.5" customHeight="1">
      <c r="A160" s="25" t="s">
        <v>515</v>
      </c>
      <c r="B160" s="57" t="s">
        <v>516</v>
      </c>
      <c r="C160" s="77">
        <v>0.4</v>
      </c>
      <c r="D160" s="27" t="s">
        <v>379</v>
      </c>
      <c r="E160" s="77">
        <v>0.5</v>
      </c>
      <c r="F160" s="90">
        <v>0</v>
      </c>
      <c r="G160" s="44"/>
      <c r="H160" s="205"/>
      <c r="I160" s="77">
        <v>0.85</v>
      </c>
      <c r="J160" s="77">
        <v>0.85</v>
      </c>
      <c r="K160" s="27"/>
    </row>
  </sheetData>
  <mergeCells count="5">
    <mergeCell ref="W17:W18"/>
    <mergeCell ref="C1:K1"/>
    <mergeCell ref="C2:K2"/>
    <mergeCell ref="C3:D3"/>
    <mergeCell ref="W15:W1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2B3BD-425C-4FF0-A772-2C40361036F5}">
  <dimension ref="A1:H23"/>
  <sheetViews>
    <sheetView workbookViewId="0">
      <pane ySplit="2" topLeftCell="D21" activePane="bottomLeft" state="frozen"/>
      <selection pane="bottomLeft" activeCell="G23" sqref="G23"/>
    </sheetView>
  </sheetViews>
  <sheetFormatPr defaultRowHeight="14.45"/>
  <cols>
    <col min="1" max="1" width="17.5703125" customWidth="1"/>
    <col min="2" max="2" width="34.85546875" customWidth="1"/>
    <col min="3" max="3" width="37" customWidth="1"/>
    <col min="4" max="4" width="32.85546875" customWidth="1"/>
    <col min="5" max="5" width="34" customWidth="1"/>
    <col min="6" max="6" width="38.7109375" customWidth="1"/>
    <col min="7" max="7" width="34.7109375" customWidth="1"/>
    <col min="8" max="8" width="59.140625" customWidth="1"/>
  </cols>
  <sheetData>
    <row r="1" spans="1:8">
      <c r="B1" s="279" t="s">
        <v>16</v>
      </c>
      <c r="C1" s="279"/>
      <c r="D1" s="280" t="s">
        <v>17</v>
      </c>
      <c r="E1" s="280"/>
      <c r="F1" s="107" t="s">
        <v>18</v>
      </c>
    </row>
    <row r="2" spans="1:8">
      <c r="A2" s="106" t="s">
        <v>517</v>
      </c>
      <c r="B2" s="106" t="s">
        <v>437</v>
      </c>
      <c r="C2" s="106" t="s">
        <v>440</v>
      </c>
      <c r="D2" s="106" t="s">
        <v>518</v>
      </c>
      <c r="E2" s="106" t="s">
        <v>446</v>
      </c>
      <c r="F2" s="106" t="s">
        <v>449</v>
      </c>
      <c r="G2" s="106" t="s">
        <v>519</v>
      </c>
      <c r="H2" s="106" t="s">
        <v>184</v>
      </c>
    </row>
    <row r="3" spans="1:8" ht="267.75" customHeight="1">
      <c r="A3" t="s">
        <v>520</v>
      </c>
      <c r="B3" s="5" t="s">
        <v>521</v>
      </c>
      <c r="C3" s="5" t="s">
        <v>522</v>
      </c>
      <c r="D3" s="112" t="s">
        <v>523</v>
      </c>
      <c r="E3" s="5" t="s">
        <v>524</v>
      </c>
      <c r="F3" s="5" t="s">
        <v>525</v>
      </c>
      <c r="G3" s="5" t="s">
        <v>526</v>
      </c>
      <c r="H3" s="5" t="s">
        <v>527</v>
      </c>
    </row>
    <row r="4" spans="1:8" ht="191.25" customHeight="1">
      <c r="A4" t="s">
        <v>528</v>
      </c>
      <c r="B4" s="5" t="s">
        <v>529</v>
      </c>
      <c r="C4" s="5" t="s">
        <v>530</v>
      </c>
      <c r="D4" s="112" t="s">
        <v>531</v>
      </c>
      <c r="E4" s="5" t="s">
        <v>532</v>
      </c>
      <c r="F4" s="5" t="s">
        <v>533</v>
      </c>
      <c r="H4" s="5" t="s">
        <v>534</v>
      </c>
    </row>
    <row r="5" spans="1:8" ht="252.75" customHeight="1">
      <c r="A5" t="s">
        <v>535</v>
      </c>
      <c r="B5" s="5" t="s">
        <v>536</v>
      </c>
      <c r="C5" s="5" t="s">
        <v>537</v>
      </c>
      <c r="D5" s="112" t="s">
        <v>538</v>
      </c>
      <c r="E5" s="5" t="s">
        <v>539</v>
      </c>
      <c r="F5" s="108" t="s">
        <v>540</v>
      </c>
      <c r="G5" s="5" t="s">
        <v>541</v>
      </c>
      <c r="H5" s="5" t="s">
        <v>542</v>
      </c>
    </row>
    <row r="6" spans="1:8" ht="191.25" customHeight="1">
      <c r="A6" t="s">
        <v>543</v>
      </c>
      <c r="B6" s="113" t="s">
        <v>544</v>
      </c>
      <c r="C6" s="5" t="s">
        <v>545</v>
      </c>
      <c r="D6" s="112" t="s">
        <v>546</v>
      </c>
      <c r="E6" s="5" t="s">
        <v>547</v>
      </c>
      <c r="F6" s="111" t="s">
        <v>548</v>
      </c>
      <c r="H6" s="5" t="s">
        <v>549</v>
      </c>
    </row>
    <row r="7" spans="1:8" ht="205.5" customHeight="1">
      <c r="A7" t="s">
        <v>550</v>
      </c>
      <c r="B7" s="112" t="s">
        <v>551</v>
      </c>
      <c r="C7" s="5" t="s">
        <v>552</v>
      </c>
      <c r="D7" s="112" t="s">
        <v>553</v>
      </c>
      <c r="E7" s="5" t="s">
        <v>554</v>
      </c>
      <c r="F7" s="114" t="s">
        <v>555</v>
      </c>
      <c r="G7" s="112" t="s">
        <v>556</v>
      </c>
      <c r="H7" s="5" t="s">
        <v>549</v>
      </c>
    </row>
    <row r="8" spans="1:8">
      <c r="A8" s="144"/>
      <c r="B8" s="144"/>
      <c r="C8" s="144"/>
      <c r="D8" s="144"/>
      <c r="E8" s="144"/>
      <c r="F8" s="144"/>
      <c r="G8" s="144"/>
      <c r="H8" s="144"/>
    </row>
    <row r="9" spans="1:8" ht="318.95">
      <c r="A9" t="s">
        <v>557</v>
      </c>
      <c r="B9" s="5" t="s">
        <v>558</v>
      </c>
      <c r="C9" s="108" t="s">
        <v>559</v>
      </c>
      <c r="D9" s="112" t="s">
        <v>560</v>
      </c>
      <c r="E9" s="5" t="s">
        <v>561</v>
      </c>
      <c r="F9" s="5" t="s">
        <v>562</v>
      </c>
      <c r="G9" s="5"/>
      <c r="H9" s="112" t="s">
        <v>563</v>
      </c>
    </row>
    <row r="10" spans="1:8" ht="409.5">
      <c r="A10" t="s">
        <v>564</v>
      </c>
      <c r="B10" s="5" t="s">
        <v>565</v>
      </c>
      <c r="C10" s="5" t="s">
        <v>566</v>
      </c>
      <c r="D10" s="108" t="s">
        <v>567</v>
      </c>
      <c r="E10" s="5" t="s">
        <v>568</v>
      </c>
      <c r="F10" s="108" t="s">
        <v>569</v>
      </c>
      <c r="H10" s="5" t="s">
        <v>570</v>
      </c>
    </row>
    <row r="11" spans="1:8" ht="246.6">
      <c r="A11" t="s">
        <v>571</v>
      </c>
      <c r="B11" s="5" t="s">
        <v>572</v>
      </c>
      <c r="C11" s="5" t="s">
        <v>573</v>
      </c>
      <c r="D11" s="5" t="s">
        <v>574</v>
      </c>
      <c r="E11" s="5" t="s">
        <v>575</v>
      </c>
      <c r="F11" s="5" t="s">
        <v>576</v>
      </c>
      <c r="G11" s="112"/>
      <c r="H11" s="112" t="s">
        <v>577</v>
      </c>
    </row>
    <row r="12" spans="1:8" ht="333.6">
      <c r="A12" t="s">
        <v>578</v>
      </c>
      <c r="B12" s="5" t="s">
        <v>579</v>
      </c>
      <c r="C12" s="112" t="s">
        <v>580</v>
      </c>
      <c r="D12" s="112" t="s">
        <v>581</v>
      </c>
      <c r="E12" s="112" t="s">
        <v>582</v>
      </c>
      <c r="F12" s="5" t="s">
        <v>583</v>
      </c>
      <c r="G12" s="5" t="s">
        <v>584</v>
      </c>
      <c r="H12" s="5" t="s">
        <v>585</v>
      </c>
    </row>
    <row r="13" spans="1:8" s="144" customFormat="1"/>
    <row r="14" spans="1:8" ht="116.1">
      <c r="A14" t="s">
        <v>586</v>
      </c>
      <c r="B14" s="5" t="s">
        <v>587</v>
      </c>
      <c r="C14" s="5" t="s">
        <v>588</v>
      </c>
      <c r="D14" s="5" t="s">
        <v>589</v>
      </c>
      <c r="E14" s="5" t="s">
        <v>590</v>
      </c>
      <c r="F14" s="113" t="s">
        <v>591</v>
      </c>
      <c r="H14" s="5" t="s">
        <v>592</v>
      </c>
    </row>
    <row r="15" spans="1:8" ht="203.1">
      <c r="A15" t="s">
        <v>593</v>
      </c>
      <c r="B15" s="5" t="s">
        <v>594</v>
      </c>
      <c r="C15" s="5" t="s">
        <v>595</v>
      </c>
      <c r="D15" s="177" t="s">
        <v>591</v>
      </c>
      <c r="E15" s="5" t="s">
        <v>596</v>
      </c>
      <c r="F15" s="5" t="s">
        <v>597</v>
      </c>
      <c r="H15" s="112" t="s">
        <v>598</v>
      </c>
    </row>
    <row r="16" spans="1:8" ht="174">
      <c r="A16" t="s">
        <v>599</v>
      </c>
      <c r="B16" s="5" t="s">
        <v>600</v>
      </c>
      <c r="C16" s="5" t="s">
        <v>601</v>
      </c>
      <c r="D16" s="5" t="s">
        <v>602</v>
      </c>
      <c r="E16" s="5" t="s">
        <v>603</v>
      </c>
      <c r="F16" s="5" t="s">
        <v>604</v>
      </c>
      <c r="H16" s="108" t="s">
        <v>605</v>
      </c>
    </row>
    <row r="17" spans="1:8" ht="203.1">
      <c r="A17" t="s">
        <v>606</v>
      </c>
      <c r="B17" s="5" t="s">
        <v>607</v>
      </c>
      <c r="C17" s="5" t="s">
        <v>608</v>
      </c>
      <c r="D17" s="5" t="s">
        <v>609</v>
      </c>
      <c r="E17" s="5" t="s">
        <v>610</v>
      </c>
      <c r="F17" s="5" t="s">
        <v>611</v>
      </c>
      <c r="H17" s="108" t="s">
        <v>612</v>
      </c>
    </row>
    <row r="18" spans="1:8" ht="246.6">
      <c r="A18" t="s">
        <v>613</v>
      </c>
      <c r="B18" s="178" t="s">
        <v>614</v>
      </c>
      <c r="C18" s="5" t="s">
        <v>615</v>
      </c>
      <c r="D18" s="5" t="s">
        <v>616</v>
      </c>
      <c r="E18" s="5" t="s">
        <v>617</v>
      </c>
      <c r="F18" s="177" t="s">
        <v>591</v>
      </c>
      <c r="H18" s="108" t="s">
        <v>618</v>
      </c>
    </row>
    <row r="19" spans="1:8" s="144" customFormat="1"/>
    <row r="20" spans="1:8" ht="203.1">
      <c r="A20" t="s">
        <v>619</v>
      </c>
      <c r="B20" s="112" t="s">
        <v>620</v>
      </c>
      <c r="C20" s="5" t="s">
        <v>621</v>
      </c>
      <c r="D20" s="5" t="s">
        <v>622</v>
      </c>
      <c r="E20" s="5" t="s">
        <v>623</v>
      </c>
      <c r="F20" s="5" t="s">
        <v>624</v>
      </c>
      <c r="H20" s="108" t="s">
        <v>625</v>
      </c>
    </row>
    <row r="21" spans="1:8" ht="304.5">
      <c r="A21" t="s">
        <v>626</v>
      </c>
      <c r="B21" s="112" t="s">
        <v>627</v>
      </c>
      <c r="C21" s="5" t="s">
        <v>628</v>
      </c>
      <c r="D21" s="5" t="s">
        <v>629</v>
      </c>
      <c r="E21" s="5" t="s">
        <v>630</v>
      </c>
      <c r="F21" s="177" t="s">
        <v>591</v>
      </c>
      <c r="H21" s="5" t="s">
        <v>631</v>
      </c>
    </row>
    <row r="22" spans="1:8" ht="261">
      <c r="A22" t="s">
        <v>632</v>
      </c>
      <c r="B22" s="5" t="s">
        <v>633</v>
      </c>
      <c r="C22" s="5" t="s">
        <v>634</v>
      </c>
      <c r="D22" s="5" t="s">
        <v>635</v>
      </c>
      <c r="E22" s="5" t="s">
        <v>636</v>
      </c>
      <c r="F22" s="177" t="s">
        <v>591</v>
      </c>
      <c r="H22" s="112" t="s">
        <v>637</v>
      </c>
    </row>
    <row r="23" spans="1:8" ht="409.6">
      <c r="A23" t="s">
        <v>638</v>
      </c>
      <c r="B23" s="5" t="s">
        <v>639</v>
      </c>
      <c r="C23" s="5" t="s">
        <v>640</v>
      </c>
      <c r="D23" s="5" t="s">
        <v>641</v>
      </c>
      <c r="E23" s="5" t="s">
        <v>642</v>
      </c>
      <c r="F23" s="177" t="s">
        <v>591</v>
      </c>
      <c r="H23" s="5" t="s">
        <v>643</v>
      </c>
    </row>
  </sheetData>
  <mergeCells count="2">
    <mergeCell ref="B1:C1"/>
    <mergeCell ref="D1:E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FD1C8-A71E-42A1-97FA-084F9166C69D}">
  <dimension ref="A1:H33"/>
  <sheetViews>
    <sheetView workbookViewId="0">
      <pane ySplit="2" topLeftCell="D33" activePane="bottomLeft" state="frozen"/>
      <selection pane="bottomLeft" activeCell="G33" sqref="G33"/>
    </sheetView>
  </sheetViews>
  <sheetFormatPr defaultRowHeight="14.45"/>
  <cols>
    <col min="1" max="1" width="21.85546875" customWidth="1"/>
    <col min="2" max="2" width="35.5703125" customWidth="1"/>
    <col min="3" max="3" width="40.7109375" customWidth="1"/>
    <col min="4" max="4" width="41.5703125" customWidth="1"/>
    <col min="5" max="5" width="41.42578125" customWidth="1"/>
    <col min="6" max="6" width="30.140625" customWidth="1"/>
    <col min="7" max="7" width="24.7109375" customWidth="1"/>
    <col min="8" max="8" width="55.140625" customWidth="1"/>
  </cols>
  <sheetData>
    <row r="1" spans="1:8">
      <c r="B1" s="279" t="s">
        <v>16</v>
      </c>
      <c r="C1" s="279"/>
      <c r="D1" s="280" t="s">
        <v>17</v>
      </c>
      <c r="E1" s="280"/>
      <c r="F1" s="107" t="s">
        <v>18</v>
      </c>
    </row>
    <row r="2" spans="1:8">
      <c r="A2" s="106" t="s">
        <v>517</v>
      </c>
      <c r="B2" s="106" t="s">
        <v>437</v>
      </c>
      <c r="C2" s="106" t="s">
        <v>440</v>
      </c>
      <c r="D2" s="106" t="s">
        <v>518</v>
      </c>
      <c r="E2" s="106" t="s">
        <v>446</v>
      </c>
      <c r="F2" s="106" t="s">
        <v>449</v>
      </c>
      <c r="G2" s="106" t="s">
        <v>519</v>
      </c>
      <c r="H2" s="106" t="s">
        <v>184</v>
      </c>
    </row>
    <row r="3" spans="1:8" ht="287.25" customHeight="1">
      <c r="A3" t="s">
        <v>520</v>
      </c>
      <c r="B3" s="5" t="s">
        <v>644</v>
      </c>
      <c r="C3" s="5" t="s">
        <v>645</v>
      </c>
      <c r="D3" s="5" t="s">
        <v>646</v>
      </c>
      <c r="E3" s="5" t="s">
        <v>647</v>
      </c>
      <c r="F3" s="5" t="s">
        <v>648</v>
      </c>
      <c r="G3" s="5" t="s">
        <v>526</v>
      </c>
      <c r="H3" s="5" t="s">
        <v>527</v>
      </c>
    </row>
    <row r="4" spans="1:8" ht="268.5" customHeight="1">
      <c r="A4" t="s">
        <v>528</v>
      </c>
      <c r="B4" s="5" t="s">
        <v>649</v>
      </c>
      <c r="C4" s="5" t="s">
        <v>650</v>
      </c>
      <c r="D4" s="5" t="s">
        <v>651</v>
      </c>
      <c r="E4" s="5" t="s">
        <v>652</v>
      </c>
      <c r="F4" s="5" t="s">
        <v>653</v>
      </c>
      <c r="H4" s="5" t="s">
        <v>534</v>
      </c>
    </row>
    <row r="5" spans="1:8" ht="203.25" customHeight="1">
      <c r="A5" t="s">
        <v>535</v>
      </c>
      <c r="B5" s="5" t="s">
        <v>654</v>
      </c>
      <c r="C5" s="5" t="s">
        <v>655</v>
      </c>
      <c r="D5" t="s">
        <v>656</v>
      </c>
      <c r="E5" t="s">
        <v>657</v>
      </c>
      <c r="F5" s="108" t="s">
        <v>658</v>
      </c>
      <c r="G5" s="5" t="s">
        <v>541</v>
      </c>
      <c r="H5" t="s">
        <v>542</v>
      </c>
    </row>
    <row r="6" spans="1:8" ht="228.75" customHeight="1">
      <c r="A6" t="s">
        <v>543</v>
      </c>
      <c r="B6" s="109"/>
      <c r="C6" s="5" t="s">
        <v>659</v>
      </c>
      <c r="D6" s="5" t="s">
        <v>660</v>
      </c>
      <c r="E6" s="5" t="s">
        <v>661</v>
      </c>
      <c r="F6" s="110" t="s">
        <v>662</v>
      </c>
      <c r="H6" s="5" t="s">
        <v>549</v>
      </c>
    </row>
    <row r="7" spans="1:8" ht="233.25" customHeight="1">
      <c r="A7" t="s">
        <v>550</v>
      </c>
      <c r="B7" s="5" t="s">
        <v>663</v>
      </c>
      <c r="C7" s="5" t="s">
        <v>664</v>
      </c>
      <c r="D7" s="5" t="s">
        <v>665</v>
      </c>
      <c r="E7" s="5" t="s">
        <v>666</v>
      </c>
      <c r="F7" s="111" t="s">
        <v>667</v>
      </c>
      <c r="G7" s="5" t="s">
        <v>668</v>
      </c>
      <c r="H7" s="5" t="s">
        <v>549</v>
      </c>
    </row>
    <row r="8" spans="1:8">
      <c r="A8" s="144"/>
      <c r="B8" s="144"/>
      <c r="C8" s="144"/>
      <c r="D8" s="144"/>
      <c r="E8" s="144"/>
      <c r="F8" s="144"/>
      <c r="G8" s="144"/>
      <c r="H8" s="144"/>
    </row>
    <row r="9" spans="1:8" ht="333.6">
      <c r="A9" t="s">
        <v>557</v>
      </c>
      <c r="B9" s="5" t="s">
        <v>669</v>
      </c>
      <c r="C9" s="108" t="s">
        <v>670</v>
      </c>
      <c r="D9" s="5" t="s">
        <v>671</v>
      </c>
      <c r="E9" s="112" t="s">
        <v>672</v>
      </c>
      <c r="F9" s="5" t="s">
        <v>673</v>
      </c>
      <c r="G9" s="5"/>
      <c r="H9" s="5" t="s">
        <v>674</v>
      </c>
    </row>
    <row r="10" spans="1:8" ht="409.5">
      <c r="A10" t="s">
        <v>564</v>
      </c>
      <c r="B10" s="5" t="s">
        <v>675</v>
      </c>
      <c r="C10" s="112" t="s">
        <v>676</v>
      </c>
      <c r="D10" s="5" t="s">
        <v>677</v>
      </c>
      <c r="E10" s="112" t="s">
        <v>678</v>
      </c>
      <c r="F10" s="5" t="s">
        <v>679</v>
      </c>
      <c r="H10" s="5" t="s">
        <v>680</v>
      </c>
    </row>
    <row r="11" spans="1:8" ht="409.5">
      <c r="A11" t="s">
        <v>571</v>
      </c>
      <c r="B11" s="5" t="s">
        <v>681</v>
      </c>
      <c r="C11" s="5" t="s">
        <v>682</v>
      </c>
      <c r="D11" s="176" t="s">
        <v>683</v>
      </c>
      <c r="E11" s="5" t="s">
        <v>684</v>
      </c>
      <c r="F11" s="5" t="s">
        <v>685</v>
      </c>
      <c r="G11" s="112" t="s">
        <v>686</v>
      </c>
      <c r="H11" s="112" t="s">
        <v>577</v>
      </c>
    </row>
    <row r="12" spans="1:8" ht="362.45">
      <c r="A12" t="s">
        <v>578</v>
      </c>
      <c r="B12" s="5" t="s">
        <v>687</v>
      </c>
      <c r="C12" s="5" t="s">
        <v>688</v>
      </c>
      <c r="D12" s="5" t="s">
        <v>689</v>
      </c>
      <c r="E12" s="112" t="s">
        <v>690</v>
      </c>
      <c r="F12" s="5" t="s">
        <v>691</v>
      </c>
      <c r="G12" s="5" t="s">
        <v>584</v>
      </c>
      <c r="H12" s="5" t="s">
        <v>585</v>
      </c>
    </row>
    <row r="13" spans="1:8" s="144" customFormat="1">
      <c r="B13" s="176"/>
      <c r="C13" s="176"/>
      <c r="D13" s="176"/>
      <c r="E13" s="208"/>
      <c r="F13" s="176"/>
      <c r="G13" s="176"/>
      <c r="H13" s="176"/>
    </row>
    <row r="14" spans="1:8" ht="405.95">
      <c r="A14" t="s">
        <v>586</v>
      </c>
      <c r="B14" s="5" t="s">
        <v>692</v>
      </c>
      <c r="C14" s="112" t="s">
        <v>693</v>
      </c>
      <c r="D14" s="5" t="s">
        <v>694</v>
      </c>
      <c r="E14" s="5" t="s">
        <v>695</v>
      </c>
      <c r="F14" s="113" t="s">
        <v>591</v>
      </c>
      <c r="H14" s="5" t="s">
        <v>592</v>
      </c>
    </row>
    <row r="15" spans="1:8" ht="333.6">
      <c r="A15" t="s">
        <v>593</v>
      </c>
      <c r="B15" s="5" t="s">
        <v>696</v>
      </c>
      <c r="C15" s="5" t="s">
        <v>697</v>
      </c>
      <c r="D15" s="177" t="s">
        <v>591</v>
      </c>
      <c r="E15" s="5" t="s">
        <v>698</v>
      </c>
      <c r="F15" s="5" t="s">
        <v>699</v>
      </c>
      <c r="H15" s="112" t="s">
        <v>598</v>
      </c>
    </row>
    <row r="16" spans="1:8" ht="362.45">
      <c r="A16" t="s">
        <v>599</v>
      </c>
      <c r="B16" s="5" t="s">
        <v>700</v>
      </c>
      <c r="C16" s="5" t="s">
        <v>701</v>
      </c>
      <c r="D16" s="5" t="s">
        <v>702</v>
      </c>
      <c r="E16" s="5" t="s">
        <v>703</v>
      </c>
      <c r="F16" s="5" t="s">
        <v>704</v>
      </c>
      <c r="H16" s="108" t="s">
        <v>705</v>
      </c>
    </row>
    <row r="17" spans="1:8" ht="362.45">
      <c r="A17" t="s">
        <v>606</v>
      </c>
      <c r="B17" s="112" t="s">
        <v>706</v>
      </c>
      <c r="C17" s="112" t="s">
        <v>707</v>
      </c>
      <c r="D17" s="5" t="s">
        <v>708</v>
      </c>
      <c r="E17" s="5" t="s">
        <v>709</v>
      </c>
      <c r="F17" s="5" t="s">
        <v>710</v>
      </c>
      <c r="H17" s="108" t="s">
        <v>711</v>
      </c>
    </row>
    <row r="18" spans="1:8" ht="409.5">
      <c r="A18" t="s">
        <v>613</v>
      </c>
      <c r="B18" s="178" t="s">
        <v>712</v>
      </c>
      <c r="C18" s="5" t="s">
        <v>713</v>
      </c>
      <c r="D18" s="5" t="s">
        <v>714</v>
      </c>
      <c r="E18" s="112" t="s">
        <v>715</v>
      </c>
      <c r="F18" s="177" t="s">
        <v>591</v>
      </c>
      <c r="H18" s="108" t="s">
        <v>618</v>
      </c>
    </row>
    <row r="19" spans="1:8" s="144" customFormat="1"/>
    <row r="20" spans="1:8" ht="409.5">
      <c r="A20" t="s">
        <v>619</v>
      </c>
      <c r="B20" s="112" t="s">
        <v>716</v>
      </c>
      <c r="C20" s="5" t="s">
        <v>717</v>
      </c>
      <c r="D20" s="5" t="s">
        <v>718</v>
      </c>
      <c r="E20" s="5" t="s">
        <v>719</v>
      </c>
      <c r="F20" s="5" t="s">
        <v>720</v>
      </c>
      <c r="H20" s="108" t="s">
        <v>625</v>
      </c>
    </row>
    <row r="21" spans="1:8" ht="318.95">
      <c r="A21" t="s">
        <v>626</v>
      </c>
      <c r="B21" s="112" t="s">
        <v>721</v>
      </c>
      <c r="C21" s="5" t="s">
        <v>722</v>
      </c>
      <c r="D21" s="5" t="s">
        <v>723</v>
      </c>
      <c r="E21" s="5" t="s">
        <v>630</v>
      </c>
      <c r="F21" s="177" t="s">
        <v>591</v>
      </c>
      <c r="H21" s="5" t="s">
        <v>631</v>
      </c>
    </row>
    <row r="22" spans="1:8" ht="290.10000000000002">
      <c r="A22" t="s">
        <v>632</v>
      </c>
      <c r="B22" s="5" t="s">
        <v>724</v>
      </c>
      <c r="C22" s="5" t="s">
        <v>725</v>
      </c>
      <c r="D22" s="5" t="s">
        <v>726</v>
      </c>
      <c r="E22" s="5" t="s">
        <v>727</v>
      </c>
      <c r="F22" s="177" t="s">
        <v>591</v>
      </c>
      <c r="G22" s="5" t="s">
        <v>728</v>
      </c>
      <c r="H22" s="112" t="s">
        <v>637</v>
      </c>
    </row>
    <row r="23" spans="1:8" ht="362.45">
      <c r="A23" t="s">
        <v>638</v>
      </c>
      <c r="B23" s="5" t="s">
        <v>729</v>
      </c>
      <c r="C23" s="5" t="s">
        <v>730</v>
      </c>
      <c r="D23" s="5" t="s">
        <v>641</v>
      </c>
      <c r="E23" s="5" t="s">
        <v>731</v>
      </c>
      <c r="F23" s="177" t="s">
        <v>591</v>
      </c>
      <c r="H23" s="5" t="s">
        <v>732</v>
      </c>
    </row>
    <row r="24" spans="1:8" s="144" customFormat="1"/>
    <row r="25" spans="1:8" ht="303.75">
      <c r="A25" t="s">
        <v>733</v>
      </c>
      <c r="B25" s="5" t="s">
        <v>734</v>
      </c>
      <c r="C25" s="178" t="s">
        <v>735</v>
      </c>
      <c r="D25" s="178" t="s">
        <v>736</v>
      </c>
      <c r="E25" s="178" t="s">
        <v>737</v>
      </c>
      <c r="F25" s="178" t="s">
        <v>738</v>
      </c>
      <c r="H25" s="5" t="s">
        <v>739</v>
      </c>
    </row>
    <row r="26" spans="1:8" ht="405">
      <c r="A26" t="s">
        <v>740</v>
      </c>
      <c r="B26" s="178" t="s">
        <v>741</v>
      </c>
      <c r="C26" s="112" t="s">
        <v>742</v>
      </c>
      <c r="D26" s="5" t="s">
        <v>743</v>
      </c>
      <c r="E26" s="5" t="s">
        <v>744</v>
      </c>
      <c r="F26" s="5" t="s">
        <v>745</v>
      </c>
      <c r="G26" s="5" t="s">
        <v>746</v>
      </c>
      <c r="H26" s="5" t="s">
        <v>747</v>
      </c>
    </row>
    <row r="27" spans="1:8" ht="409.6">
      <c r="A27" t="s">
        <v>748</v>
      </c>
      <c r="B27" s="5" t="s">
        <v>749</v>
      </c>
      <c r="C27" s="5" t="s">
        <v>750</v>
      </c>
      <c r="D27" s="112" t="s">
        <v>751</v>
      </c>
      <c r="E27" s="178" t="s">
        <v>752</v>
      </c>
      <c r="F27" t="s">
        <v>753</v>
      </c>
      <c r="G27" s="5" t="s">
        <v>754</v>
      </c>
      <c r="H27" s="112" t="s">
        <v>755</v>
      </c>
    </row>
    <row r="28" spans="1:8" ht="361.5">
      <c r="A28" t="s">
        <v>756</v>
      </c>
      <c r="B28" s="178" t="s">
        <v>757</v>
      </c>
      <c r="C28" s="5" t="s">
        <v>758</v>
      </c>
      <c r="D28" s="5" t="s">
        <v>759</v>
      </c>
      <c r="E28" s="178" t="s">
        <v>752</v>
      </c>
      <c r="F28" s="177" t="s">
        <v>591</v>
      </c>
      <c r="H28" s="5" t="s">
        <v>760</v>
      </c>
    </row>
    <row r="29" spans="1:8" ht="231">
      <c r="A29" t="s">
        <v>761</v>
      </c>
      <c r="B29" s="5" t="s">
        <v>762</v>
      </c>
      <c r="C29" s="5" t="s">
        <v>763</v>
      </c>
      <c r="D29" s="219" t="s">
        <v>764</v>
      </c>
      <c r="E29" s="5" t="s">
        <v>752</v>
      </c>
      <c r="F29" s="5" t="s">
        <v>765</v>
      </c>
      <c r="H29" s="108" t="s">
        <v>766</v>
      </c>
    </row>
    <row r="30" spans="1:8" ht="245.25">
      <c r="A30" t="s">
        <v>767</v>
      </c>
      <c r="B30" t="s">
        <v>768</v>
      </c>
      <c r="C30" s="108" t="s">
        <v>769</v>
      </c>
      <c r="D30" s="219" t="s">
        <v>770</v>
      </c>
      <c r="E30" s="5" t="s">
        <v>752</v>
      </c>
      <c r="H30" s="112" t="s">
        <v>771</v>
      </c>
    </row>
    <row r="31" spans="1:8" ht="409.6">
      <c r="A31" t="s">
        <v>772</v>
      </c>
      <c r="C31" s="108" t="s">
        <v>773</v>
      </c>
      <c r="D31" s="219" t="s">
        <v>774</v>
      </c>
      <c r="H31" s="108" t="s">
        <v>775</v>
      </c>
    </row>
    <row r="32" spans="1:8" ht="288.75">
      <c r="A32" t="s">
        <v>776</v>
      </c>
      <c r="B32" s="5" t="s">
        <v>777</v>
      </c>
      <c r="C32" s="5" t="s">
        <v>778</v>
      </c>
      <c r="F32" t="s">
        <v>779</v>
      </c>
      <c r="H32" s="108" t="s">
        <v>780</v>
      </c>
    </row>
    <row r="33" spans="1:8" ht="409.6">
      <c r="A33" t="s">
        <v>781</v>
      </c>
      <c r="B33" s="5" t="s">
        <v>782</v>
      </c>
      <c r="C33" s="5" t="s">
        <v>783</v>
      </c>
      <c r="D33" s="112" t="s">
        <v>784</v>
      </c>
      <c r="E33" s="112" t="s">
        <v>785</v>
      </c>
      <c r="H33" s="112" t="s">
        <v>786</v>
      </c>
    </row>
  </sheetData>
  <mergeCells count="2">
    <mergeCell ref="B1:C1"/>
    <mergeCell ref="D1:E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E51E-F56C-4735-9C3A-9C4B705A4FD6}">
  <dimension ref="A1:H25"/>
  <sheetViews>
    <sheetView topLeftCell="B1" workbookViewId="0">
      <selection activeCell="D1" sqref="D1"/>
    </sheetView>
  </sheetViews>
  <sheetFormatPr defaultColWidth="9.140625" defaultRowHeight="14.45"/>
  <cols>
    <col min="1" max="1" width="25.85546875" style="112" customWidth="1"/>
    <col min="2" max="2" width="36.7109375" style="112" customWidth="1"/>
    <col min="3" max="3" width="37.28515625" style="112" customWidth="1"/>
    <col min="4" max="4" width="33.28515625" style="112" customWidth="1"/>
    <col min="5" max="5" width="13.5703125" style="112" customWidth="1"/>
    <col min="6" max="6" width="13.85546875" style="112" customWidth="1"/>
    <col min="7" max="7" width="16.5703125" style="112" customWidth="1"/>
    <col min="8" max="8" width="51.28515625" style="112" customWidth="1"/>
    <col min="9" max="16384" width="9.140625" style="112"/>
  </cols>
  <sheetData>
    <row r="1" spans="1:8" ht="33" customHeight="1">
      <c r="A1" s="171" t="s">
        <v>787</v>
      </c>
      <c r="B1" s="172" t="s">
        <v>788</v>
      </c>
      <c r="C1" s="172" t="s">
        <v>789</v>
      </c>
      <c r="D1" s="172" t="s">
        <v>790</v>
      </c>
      <c r="E1" s="172" t="s">
        <v>25</v>
      </c>
      <c r="F1" s="172" t="s">
        <v>791</v>
      </c>
      <c r="G1" s="172" t="s">
        <v>792</v>
      </c>
      <c r="H1" s="172" t="s">
        <v>793</v>
      </c>
    </row>
    <row r="2" spans="1:8" ht="80.25" customHeight="1">
      <c r="A2" s="145" t="s">
        <v>794</v>
      </c>
      <c r="B2" s="146" t="s">
        <v>795</v>
      </c>
      <c r="C2" s="146" t="s">
        <v>796</v>
      </c>
      <c r="D2" s="146" t="s">
        <v>797</v>
      </c>
      <c r="E2" s="146" t="s">
        <v>335</v>
      </c>
      <c r="F2" s="146" t="s">
        <v>335</v>
      </c>
      <c r="G2" s="146" t="s">
        <v>335</v>
      </c>
      <c r="H2" s="173" t="s">
        <v>335</v>
      </c>
    </row>
    <row r="3" spans="1:8" ht="21" customHeight="1">
      <c r="A3" s="147" t="s">
        <v>798</v>
      </c>
      <c r="B3" s="148" t="s">
        <v>335</v>
      </c>
      <c r="C3" s="148" t="s">
        <v>335</v>
      </c>
      <c r="D3" s="148" t="s">
        <v>335</v>
      </c>
      <c r="E3" s="148" t="s">
        <v>335</v>
      </c>
      <c r="F3" s="148" t="s">
        <v>335</v>
      </c>
      <c r="G3" s="148" t="s">
        <v>335</v>
      </c>
      <c r="H3" s="149" t="s">
        <v>335</v>
      </c>
    </row>
    <row r="4" spans="1:8" ht="89.25" customHeight="1">
      <c r="A4" s="150" t="s">
        <v>799</v>
      </c>
      <c r="B4" s="151" t="s">
        <v>800</v>
      </c>
      <c r="C4" s="152" t="s">
        <v>801</v>
      </c>
      <c r="D4" s="151" t="s">
        <v>802</v>
      </c>
      <c r="E4" s="152">
        <v>2</v>
      </c>
      <c r="F4" s="152">
        <v>0</v>
      </c>
      <c r="G4" s="152" t="s">
        <v>803</v>
      </c>
      <c r="H4" s="151" t="s">
        <v>804</v>
      </c>
    </row>
    <row r="5" spans="1:8" ht="72.75" customHeight="1">
      <c r="A5" s="153" t="s">
        <v>805</v>
      </c>
      <c r="B5" s="154" t="s">
        <v>806</v>
      </c>
      <c r="C5" s="155" t="s">
        <v>807</v>
      </c>
      <c r="D5" s="155" t="s">
        <v>808</v>
      </c>
      <c r="E5" s="155">
        <v>1</v>
      </c>
      <c r="F5" s="155">
        <v>1</v>
      </c>
      <c r="G5" s="155" t="s">
        <v>809</v>
      </c>
      <c r="H5" s="154" t="s">
        <v>810</v>
      </c>
    </row>
    <row r="6" spans="1:8">
      <c r="A6" s="156" t="s">
        <v>811</v>
      </c>
      <c r="B6" s="157" t="s">
        <v>335</v>
      </c>
      <c r="C6" s="157" t="s">
        <v>335</v>
      </c>
      <c r="D6" s="157" t="s">
        <v>335</v>
      </c>
      <c r="E6" s="157" t="s">
        <v>335</v>
      </c>
      <c r="F6" s="157" t="s">
        <v>335</v>
      </c>
      <c r="G6" s="157" t="s">
        <v>335</v>
      </c>
      <c r="H6" s="158" t="s">
        <v>335</v>
      </c>
    </row>
    <row r="7" spans="1:8" ht="66" customHeight="1">
      <c r="A7" s="159" t="s">
        <v>812</v>
      </c>
      <c r="B7" s="160" t="s">
        <v>813</v>
      </c>
      <c r="C7" s="161" t="s">
        <v>814</v>
      </c>
      <c r="D7" s="161" t="s">
        <v>815</v>
      </c>
      <c r="E7" s="161">
        <v>4</v>
      </c>
      <c r="F7" s="161">
        <v>1</v>
      </c>
      <c r="G7" s="161" t="s">
        <v>816</v>
      </c>
      <c r="H7" s="160" t="s">
        <v>817</v>
      </c>
    </row>
    <row r="8" spans="1:8" ht="187.5" customHeight="1">
      <c r="A8" s="150" t="s">
        <v>818</v>
      </c>
      <c r="B8" s="151" t="s">
        <v>819</v>
      </c>
      <c r="C8" s="151" t="s">
        <v>820</v>
      </c>
      <c r="D8" s="151" t="s">
        <v>821</v>
      </c>
      <c r="E8" s="152">
        <v>12</v>
      </c>
      <c r="F8" s="152">
        <v>7</v>
      </c>
      <c r="G8" s="152" t="s">
        <v>822</v>
      </c>
      <c r="H8" s="151" t="s">
        <v>823</v>
      </c>
    </row>
    <row r="9" spans="1:8">
      <c r="A9" s="162" t="s">
        <v>811</v>
      </c>
      <c r="B9" s="163" t="s">
        <v>335</v>
      </c>
      <c r="C9" s="163" t="s">
        <v>335</v>
      </c>
      <c r="D9" s="163" t="s">
        <v>335</v>
      </c>
      <c r="E9" s="163" t="s">
        <v>335</v>
      </c>
      <c r="F9" s="163" t="s">
        <v>335</v>
      </c>
      <c r="G9" s="163" t="s">
        <v>335</v>
      </c>
      <c r="H9" s="164" t="s">
        <v>335</v>
      </c>
    </row>
    <row r="10" spans="1:8" ht="93.75" customHeight="1">
      <c r="A10" s="159" t="s">
        <v>824</v>
      </c>
      <c r="B10" s="160" t="s">
        <v>825</v>
      </c>
      <c r="C10" s="161" t="s">
        <v>826</v>
      </c>
      <c r="D10" s="161" t="s">
        <v>815</v>
      </c>
      <c r="E10" s="161">
        <v>12</v>
      </c>
      <c r="F10" s="161">
        <v>2</v>
      </c>
      <c r="G10" s="161" t="s">
        <v>827</v>
      </c>
      <c r="H10" s="165" t="s">
        <v>828</v>
      </c>
    </row>
    <row r="11" spans="1:8" ht="93" customHeight="1">
      <c r="A11" s="145" t="s">
        <v>829</v>
      </c>
      <c r="B11" s="146" t="s">
        <v>830</v>
      </c>
      <c r="C11" s="166" t="s">
        <v>831</v>
      </c>
      <c r="D11" s="166" t="s">
        <v>832</v>
      </c>
      <c r="E11" s="166">
        <v>2</v>
      </c>
      <c r="F11" s="166">
        <v>1</v>
      </c>
      <c r="G11" s="166" t="s">
        <v>833</v>
      </c>
      <c r="H11" s="167" t="s">
        <v>834</v>
      </c>
    </row>
    <row r="12" spans="1:8" ht="58.5" customHeight="1">
      <c r="A12" s="159" t="s">
        <v>835</v>
      </c>
      <c r="B12" s="160" t="s">
        <v>836</v>
      </c>
      <c r="C12" s="161" t="s">
        <v>837</v>
      </c>
      <c r="D12" s="161" t="s">
        <v>808</v>
      </c>
      <c r="E12" s="161" t="s">
        <v>335</v>
      </c>
      <c r="F12" s="161" t="s">
        <v>335</v>
      </c>
      <c r="G12" s="161" t="s">
        <v>838</v>
      </c>
      <c r="H12" s="160" t="s">
        <v>839</v>
      </c>
    </row>
    <row r="13" spans="1:8">
      <c r="A13" s="168" t="s">
        <v>840</v>
      </c>
      <c r="B13" s="169" t="s">
        <v>335</v>
      </c>
      <c r="C13" s="169" t="s">
        <v>335</v>
      </c>
      <c r="D13" s="169" t="s">
        <v>335</v>
      </c>
      <c r="E13" s="169" t="s">
        <v>335</v>
      </c>
      <c r="F13" s="169" t="s">
        <v>335</v>
      </c>
      <c r="G13" s="169" t="s">
        <v>335</v>
      </c>
      <c r="H13" s="170" t="s">
        <v>335</v>
      </c>
    </row>
    <row r="14" spans="1:8" ht="58.5" customHeight="1">
      <c r="A14" s="159" t="s">
        <v>841</v>
      </c>
      <c r="B14" s="160" t="s">
        <v>842</v>
      </c>
      <c r="C14" s="161" t="s">
        <v>843</v>
      </c>
      <c r="D14" s="161" t="s">
        <v>844</v>
      </c>
      <c r="E14" s="161" t="s">
        <v>335</v>
      </c>
      <c r="F14" s="161" t="s">
        <v>335</v>
      </c>
      <c r="G14" s="161" t="s">
        <v>845</v>
      </c>
      <c r="H14" s="160" t="s">
        <v>846</v>
      </c>
    </row>
    <row r="15" spans="1:8" ht="59.25" customHeight="1">
      <c r="A15" s="145" t="s">
        <v>847</v>
      </c>
      <c r="B15" s="146" t="s">
        <v>848</v>
      </c>
      <c r="C15" s="166" t="s">
        <v>849</v>
      </c>
      <c r="D15" s="166" t="s">
        <v>850</v>
      </c>
      <c r="E15" s="166">
        <v>2</v>
      </c>
      <c r="F15" s="166">
        <v>0</v>
      </c>
      <c r="G15" s="166" t="s">
        <v>845</v>
      </c>
      <c r="H15" s="146" t="s">
        <v>851</v>
      </c>
    </row>
    <row r="16" spans="1:8" ht="66" customHeight="1">
      <c r="A16" s="159" t="s">
        <v>852</v>
      </c>
      <c r="B16" s="160" t="s">
        <v>853</v>
      </c>
      <c r="C16" s="161" t="s">
        <v>854</v>
      </c>
      <c r="D16" s="161" t="s">
        <v>855</v>
      </c>
      <c r="E16" s="161" t="s">
        <v>335</v>
      </c>
      <c r="F16" s="161" t="s">
        <v>335</v>
      </c>
      <c r="G16" s="161" t="s">
        <v>335</v>
      </c>
      <c r="H16" s="160" t="s">
        <v>846</v>
      </c>
    </row>
    <row r="17" spans="1:8">
      <c r="A17" s="162" t="s">
        <v>856</v>
      </c>
      <c r="B17" s="163" t="s">
        <v>335</v>
      </c>
      <c r="C17" s="163" t="s">
        <v>335</v>
      </c>
      <c r="D17" s="163" t="s">
        <v>335</v>
      </c>
      <c r="E17" s="163" t="s">
        <v>335</v>
      </c>
      <c r="F17" s="163" t="s">
        <v>335</v>
      </c>
      <c r="G17" s="163" t="s">
        <v>335</v>
      </c>
      <c r="H17" s="164" t="s">
        <v>335</v>
      </c>
    </row>
    <row r="18" spans="1:8" ht="57" customHeight="1">
      <c r="A18" s="159" t="s">
        <v>114</v>
      </c>
      <c r="B18" s="160" t="s">
        <v>857</v>
      </c>
      <c r="C18" s="160" t="s">
        <v>858</v>
      </c>
      <c r="D18" s="161" t="s">
        <v>859</v>
      </c>
      <c r="E18" s="161" t="s">
        <v>335</v>
      </c>
      <c r="F18" s="161" t="s">
        <v>335</v>
      </c>
      <c r="G18" s="161" t="s">
        <v>335</v>
      </c>
      <c r="H18" s="160" t="s">
        <v>860</v>
      </c>
    </row>
    <row r="19" spans="1:8" ht="57.75" customHeight="1">
      <c r="A19" s="145" t="s">
        <v>861</v>
      </c>
      <c r="B19" s="146" t="s">
        <v>862</v>
      </c>
      <c r="C19" s="166" t="s">
        <v>863</v>
      </c>
      <c r="D19" s="166" t="s">
        <v>864</v>
      </c>
      <c r="E19" s="166">
        <v>1</v>
      </c>
      <c r="F19" s="166">
        <v>0</v>
      </c>
      <c r="G19" s="166" t="s">
        <v>865</v>
      </c>
      <c r="H19" s="146" t="s">
        <v>839</v>
      </c>
    </row>
    <row r="20" spans="1:8" ht="39" customHeight="1">
      <c r="A20" s="147" t="s">
        <v>866</v>
      </c>
      <c r="B20" s="148" t="s">
        <v>335</v>
      </c>
      <c r="C20" s="148" t="s">
        <v>335</v>
      </c>
      <c r="D20" s="148" t="s">
        <v>335</v>
      </c>
      <c r="E20" s="148" t="s">
        <v>335</v>
      </c>
      <c r="F20" s="148" t="s">
        <v>335</v>
      </c>
      <c r="G20" s="148" t="s">
        <v>335</v>
      </c>
      <c r="H20" s="149" t="s">
        <v>335</v>
      </c>
    </row>
    <row r="21" spans="1:8" ht="69" customHeight="1">
      <c r="A21" s="145" t="s">
        <v>867</v>
      </c>
      <c r="B21" s="146" t="s">
        <v>868</v>
      </c>
      <c r="C21" s="166" t="s">
        <v>869</v>
      </c>
      <c r="D21" s="166" t="s">
        <v>870</v>
      </c>
      <c r="E21" s="166">
        <v>1</v>
      </c>
      <c r="F21" s="166">
        <v>0</v>
      </c>
      <c r="G21" s="166" t="s">
        <v>871</v>
      </c>
      <c r="H21" s="146" t="s">
        <v>872</v>
      </c>
    </row>
    <row r="22" spans="1:8" ht="26.25" customHeight="1">
      <c r="A22" s="147" t="s">
        <v>873</v>
      </c>
      <c r="B22" s="148" t="s">
        <v>335</v>
      </c>
      <c r="C22" s="148" t="s">
        <v>335</v>
      </c>
      <c r="D22" s="148" t="s">
        <v>335</v>
      </c>
      <c r="E22" s="148" t="s">
        <v>335</v>
      </c>
      <c r="F22" s="148" t="s">
        <v>335</v>
      </c>
      <c r="G22" s="148" t="s">
        <v>335</v>
      </c>
      <c r="H22" s="149" t="s">
        <v>335</v>
      </c>
    </row>
    <row r="23" spans="1:8" ht="56.25" customHeight="1">
      <c r="A23" s="145" t="s">
        <v>874</v>
      </c>
      <c r="B23" s="146" t="s">
        <v>875</v>
      </c>
      <c r="C23" s="166" t="s">
        <v>876</v>
      </c>
      <c r="D23" s="166" t="s">
        <v>877</v>
      </c>
      <c r="E23" s="166" t="s">
        <v>335</v>
      </c>
      <c r="F23" s="166" t="s">
        <v>335</v>
      </c>
      <c r="G23" s="166" t="s">
        <v>335</v>
      </c>
      <c r="H23" s="146" t="s">
        <v>878</v>
      </c>
    </row>
    <row r="24" spans="1:8" ht="61.5" customHeight="1">
      <c r="A24" s="159" t="s">
        <v>879</v>
      </c>
      <c r="B24" s="160" t="s">
        <v>880</v>
      </c>
      <c r="C24" s="161" t="s">
        <v>881</v>
      </c>
      <c r="D24" s="161" t="s">
        <v>882</v>
      </c>
      <c r="E24" s="161" t="s">
        <v>335</v>
      </c>
      <c r="F24" s="161" t="s">
        <v>335</v>
      </c>
      <c r="G24" s="161" t="s">
        <v>335</v>
      </c>
      <c r="H24" s="160" t="s">
        <v>883</v>
      </c>
    </row>
    <row r="25" spans="1:8">
      <c r="A25" s="175" t="s">
        <v>884</v>
      </c>
      <c r="B25" s="174"/>
      <c r="C25" s="174"/>
      <c r="D25" s="174"/>
      <c r="E25" s="174">
        <v>37</v>
      </c>
      <c r="F25" s="174">
        <v>12</v>
      </c>
      <c r="G25" s="174"/>
      <c r="H25" s="174"/>
    </row>
  </sheetData>
  <hyperlinks>
    <hyperlink ref="H11" r:id="rId1" xr:uid="{7E729873-0AC8-41AC-AED2-54E2295DC82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0EEE2-CB63-4688-81B5-07A3423225E1}">
  <dimension ref="A1:T6"/>
  <sheetViews>
    <sheetView topLeftCell="A4" workbookViewId="0">
      <selection activeCell="J18" sqref="J18"/>
    </sheetView>
  </sheetViews>
  <sheetFormatPr defaultRowHeight="15"/>
  <cols>
    <col min="1" max="1" width="15.28515625" customWidth="1"/>
    <col min="2" max="2" width="13.28515625" customWidth="1"/>
    <col min="3" max="3" width="18.5703125" customWidth="1"/>
    <col min="4" max="4" width="23.140625" customWidth="1"/>
    <col min="5" max="5" width="25.5703125" customWidth="1"/>
    <col min="6" max="6" width="13.7109375" customWidth="1"/>
    <col min="7" max="7" width="14.42578125" customWidth="1"/>
    <col min="8" max="8" width="14" customWidth="1"/>
    <col min="9" max="10" width="11.42578125" customWidth="1"/>
    <col min="11" max="11" width="13.28515625" customWidth="1"/>
    <col min="12" max="12" width="13" customWidth="1"/>
    <col min="13" max="13" width="12.5703125" customWidth="1"/>
    <col min="14" max="14" width="12.28515625" customWidth="1"/>
    <col min="15" max="15" width="15.5703125" customWidth="1"/>
    <col min="16" max="16" width="12.140625" customWidth="1"/>
    <col min="17" max="17" width="11.7109375" customWidth="1"/>
    <col min="19" max="19" width="10.5703125" customWidth="1"/>
  </cols>
  <sheetData>
    <row r="1" spans="1:20" ht="72.75">
      <c r="A1" s="230" t="s">
        <v>885</v>
      </c>
      <c r="B1" s="230" t="s">
        <v>886</v>
      </c>
      <c r="C1" s="230" t="s">
        <v>887</v>
      </c>
      <c r="D1" s="230" t="s">
        <v>888</v>
      </c>
      <c r="E1" s="230" t="s">
        <v>889</v>
      </c>
      <c r="F1" s="230" t="s">
        <v>890</v>
      </c>
      <c r="G1" s="230" t="s">
        <v>891</v>
      </c>
      <c r="H1" s="230" t="s">
        <v>892</v>
      </c>
      <c r="I1" s="230" t="s">
        <v>893</v>
      </c>
      <c r="J1" s="230" t="s">
        <v>894</v>
      </c>
      <c r="K1" s="231" t="s">
        <v>895</v>
      </c>
      <c r="L1" s="230" t="s">
        <v>896</v>
      </c>
      <c r="M1" s="230" t="s">
        <v>897</v>
      </c>
      <c r="N1" s="230" t="s">
        <v>898</v>
      </c>
      <c r="O1" s="230" t="s">
        <v>899</v>
      </c>
      <c r="P1" s="230" t="s">
        <v>900</v>
      </c>
      <c r="Q1" s="230" t="s">
        <v>901</v>
      </c>
      <c r="R1" s="230" t="s">
        <v>902</v>
      </c>
      <c r="S1" s="230" t="s">
        <v>903</v>
      </c>
      <c r="T1" s="232"/>
    </row>
    <row r="2" spans="1:20" ht="29.25">
      <c r="A2" s="221" t="s">
        <v>16</v>
      </c>
      <c r="B2" s="221" t="s">
        <v>904</v>
      </c>
      <c r="C2" s="221" t="s">
        <v>905</v>
      </c>
      <c r="D2" s="143" t="s">
        <v>906</v>
      </c>
      <c r="E2" s="221" t="s">
        <v>907</v>
      </c>
      <c r="F2" s="221"/>
      <c r="G2" s="221"/>
      <c r="H2" s="221"/>
      <c r="I2" s="221"/>
      <c r="J2" s="221"/>
      <c r="K2" s="221">
        <v>8</v>
      </c>
      <c r="L2" s="221"/>
      <c r="M2" s="221"/>
      <c r="N2" s="221">
        <v>20000</v>
      </c>
      <c r="O2" s="221">
        <v>5000</v>
      </c>
      <c r="P2" s="257">
        <v>1</v>
      </c>
      <c r="Q2" s="221"/>
      <c r="R2" s="221"/>
      <c r="S2" s="221"/>
    </row>
    <row r="3" spans="1:20" ht="29.25">
      <c r="A3" s="221" t="s">
        <v>16</v>
      </c>
      <c r="B3" s="221" t="s">
        <v>908</v>
      </c>
      <c r="C3" s="221" t="s">
        <v>909</v>
      </c>
      <c r="D3" s="143" t="s">
        <v>906</v>
      </c>
      <c r="E3" s="221" t="s">
        <v>910</v>
      </c>
      <c r="F3" s="221"/>
      <c r="G3" s="221"/>
      <c r="H3" s="221"/>
      <c r="I3" s="221"/>
      <c r="J3" s="221"/>
      <c r="K3" s="221">
        <v>8</v>
      </c>
      <c r="L3" s="221"/>
      <c r="M3" s="221"/>
      <c r="N3" s="221">
        <v>20000</v>
      </c>
      <c r="O3" s="221">
        <v>6000</v>
      </c>
      <c r="P3" s="257">
        <v>1</v>
      </c>
      <c r="Q3" s="221"/>
      <c r="R3" s="221"/>
      <c r="S3" s="221"/>
    </row>
    <row r="4" spans="1:20" ht="43.5">
      <c r="A4" s="221" t="s">
        <v>17</v>
      </c>
      <c r="B4" s="221" t="s">
        <v>911</v>
      </c>
      <c r="C4" s="221" t="s">
        <v>912</v>
      </c>
      <c r="D4" s="143" t="s">
        <v>913</v>
      </c>
      <c r="E4" s="221" t="s">
        <v>914</v>
      </c>
      <c r="F4" s="221"/>
      <c r="G4" s="221"/>
      <c r="H4" s="221"/>
      <c r="I4" s="221"/>
      <c r="J4" s="221"/>
      <c r="K4" s="221">
        <v>8</v>
      </c>
      <c r="L4" s="221"/>
      <c r="M4" s="221"/>
      <c r="N4" s="221">
        <v>4000</v>
      </c>
      <c r="O4" s="221">
        <v>2000</v>
      </c>
      <c r="P4" s="257">
        <v>1</v>
      </c>
      <c r="Q4" s="221"/>
      <c r="R4" s="221"/>
      <c r="S4" s="221"/>
    </row>
    <row r="5" spans="1:20" ht="29.25">
      <c r="A5" s="221" t="s">
        <v>17</v>
      </c>
      <c r="B5" s="221" t="s">
        <v>911</v>
      </c>
      <c r="C5" s="221" t="s">
        <v>915</v>
      </c>
      <c r="D5" s="143" t="s">
        <v>916</v>
      </c>
      <c r="E5" s="258" t="s">
        <v>917</v>
      </c>
      <c r="F5" s="221"/>
      <c r="G5" s="221"/>
      <c r="H5" s="221"/>
      <c r="I5" s="221"/>
      <c r="J5" s="221"/>
      <c r="K5" s="221">
        <v>8</v>
      </c>
      <c r="L5" s="221"/>
      <c r="M5" s="221"/>
      <c r="N5" s="221">
        <v>4000</v>
      </c>
      <c r="O5" s="221">
        <v>2000</v>
      </c>
      <c r="P5" s="257">
        <v>1</v>
      </c>
      <c r="Q5" s="221"/>
      <c r="R5" s="221"/>
      <c r="S5" s="221"/>
    </row>
    <row r="6" spans="1:20" ht="29.25">
      <c r="A6" s="221" t="s">
        <v>17</v>
      </c>
      <c r="B6" s="221" t="s">
        <v>444</v>
      </c>
      <c r="C6" s="221" t="s">
        <v>918</v>
      </c>
      <c r="D6" s="143" t="s">
        <v>916</v>
      </c>
      <c r="E6" s="258" t="s">
        <v>919</v>
      </c>
      <c r="F6" s="221"/>
      <c r="G6" s="221"/>
      <c r="H6" s="221"/>
      <c r="I6" s="221"/>
      <c r="J6" s="221"/>
      <c r="K6" s="221">
        <v>8</v>
      </c>
      <c r="L6" s="221"/>
      <c r="M6" s="221"/>
      <c r="N6" s="259">
        <v>30000</v>
      </c>
      <c r="O6" s="221">
        <v>8000</v>
      </c>
      <c r="P6" s="257">
        <v>1</v>
      </c>
      <c r="Q6" s="221"/>
      <c r="R6" s="221"/>
      <c r="S6" s="221"/>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A25E-6EFB-4332-BC86-FCA7A785897B}">
  <dimension ref="A1:K15"/>
  <sheetViews>
    <sheetView workbookViewId="0">
      <selection activeCell="D20" sqref="D20"/>
    </sheetView>
  </sheetViews>
  <sheetFormatPr defaultRowHeight="15"/>
  <cols>
    <col min="1" max="1" width="5.42578125" customWidth="1"/>
    <col min="2" max="3" width="14" customWidth="1"/>
    <col min="4" max="4" width="43.5703125" customWidth="1"/>
    <col min="5" max="5" width="25.5703125" customWidth="1"/>
    <col min="6" max="6" width="19.42578125" customWidth="1"/>
    <col min="7" max="7" width="23.140625" customWidth="1"/>
    <col min="8" max="8" width="11.7109375" customWidth="1"/>
    <col min="9" max="9" width="15.28515625" customWidth="1"/>
    <col min="10" max="11" width="13.7109375" customWidth="1"/>
    <col min="12" max="12" width="10.85546875" customWidth="1"/>
    <col min="13" max="13" width="12.28515625" customWidth="1"/>
    <col min="14" max="14" width="11.5703125" customWidth="1"/>
    <col min="15" max="15" width="16.28515625" customWidth="1"/>
    <col min="16" max="16" width="10.28515625" customWidth="1"/>
    <col min="17" max="17" width="11.140625" customWidth="1"/>
    <col min="18" max="18" width="10.140625" customWidth="1"/>
    <col min="19" max="19" width="11" customWidth="1"/>
  </cols>
  <sheetData>
    <row r="1" spans="1:11" ht="43.5">
      <c r="A1" s="237" t="s">
        <v>920</v>
      </c>
      <c r="B1" s="237" t="s">
        <v>433</v>
      </c>
      <c r="C1" s="256" t="s">
        <v>921</v>
      </c>
      <c r="D1" s="237" t="s">
        <v>922</v>
      </c>
      <c r="E1" s="237" t="s">
        <v>923</v>
      </c>
      <c r="F1" s="237" t="s">
        <v>924</v>
      </c>
      <c r="G1" s="237" t="s">
        <v>925</v>
      </c>
      <c r="H1" s="237" t="s">
        <v>926</v>
      </c>
      <c r="I1" s="237" t="s">
        <v>927</v>
      </c>
      <c r="J1" s="237" t="s">
        <v>928</v>
      </c>
      <c r="K1" s="237" t="s">
        <v>903</v>
      </c>
    </row>
    <row r="2" spans="1:11" ht="29.25">
      <c r="A2" s="238">
        <v>1</v>
      </c>
      <c r="B2" s="284" t="s">
        <v>16</v>
      </c>
      <c r="C2" s="251"/>
      <c r="D2" s="252" t="s">
        <v>929</v>
      </c>
      <c r="E2" s="239" t="s">
        <v>930</v>
      </c>
      <c r="F2" s="282" t="s">
        <v>931</v>
      </c>
      <c r="G2" s="239" t="s">
        <v>932</v>
      </c>
      <c r="H2" s="240" t="s">
        <v>335</v>
      </c>
      <c r="I2" s="241">
        <v>1</v>
      </c>
      <c r="J2" s="285" t="s">
        <v>335</v>
      </c>
    </row>
    <row r="3" spans="1:11" ht="29.25">
      <c r="A3" s="238">
        <v>2</v>
      </c>
      <c r="B3" s="286"/>
      <c r="C3" s="251"/>
      <c r="D3" s="252" t="s">
        <v>933</v>
      </c>
      <c r="E3" s="239" t="s">
        <v>930</v>
      </c>
      <c r="F3" s="287"/>
      <c r="G3" s="239" t="s">
        <v>934</v>
      </c>
      <c r="H3" s="240" t="s">
        <v>335</v>
      </c>
      <c r="I3" s="241">
        <v>1</v>
      </c>
      <c r="J3" s="288"/>
    </row>
    <row r="4" spans="1:11" ht="29.25">
      <c r="A4" s="238">
        <v>3</v>
      </c>
      <c r="B4" s="289"/>
      <c r="C4" s="251"/>
      <c r="D4" s="252" t="s">
        <v>935</v>
      </c>
      <c r="E4" s="239" t="s">
        <v>930</v>
      </c>
      <c r="F4" s="290"/>
      <c r="G4" s="239" t="s">
        <v>936</v>
      </c>
      <c r="H4" s="240" t="s">
        <v>335</v>
      </c>
      <c r="I4" s="241">
        <v>1</v>
      </c>
      <c r="J4" s="291"/>
    </row>
    <row r="5" spans="1:11">
      <c r="A5" s="242">
        <v>4</v>
      </c>
      <c r="B5" s="292" t="s">
        <v>17</v>
      </c>
      <c r="C5" s="251"/>
      <c r="D5" s="253" t="s">
        <v>937</v>
      </c>
      <c r="E5" s="243" t="s">
        <v>930</v>
      </c>
      <c r="F5" s="283" t="s">
        <v>938</v>
      </c>
      <c r="G5" s="243" t="s">
        <v>939</v>
      </c>
      <c r="H5" s="244" t="s">
        <v>335</v>
      </c>
      <c r="I5" s="245">
        <v>1</v>
      </c>
      <c r="J5" s="293" t="s">
        <v>335</v>
      </c>
    </row>
    <row r="6" spans="1:11">
      <c r="A6" s="242">
        <v>5</v>
      </c>
      <c r="B6" s="294"/>
      <c r="C6" s="251"/>
      <c r="D6" s="253" t="s">
        <v>940</v>
      </c>
      <c r="E6" s="243" t="s">
        <v>930</v>
      </c>
      <c r="F6" s="295"/>
      <c r="G6" s="243" t="s">
        <v>941</v>
      </c>
      <c r="H6" s="244" t="s">
        <v>335</v>
      </c>
      <c r="I6" s="245">
        <v>1</v>
      </c>
      <c r="J6" s="296"/>
    </row>
    <row r="7" spans="1:11">
      <c r="A7" s="242">
        <v>6</v>
      </c>
      <c r="B7" s="297"/>
      <c r="C7" s="251"/>
      <c r="D7" s="253" t="s">
        <v>942</v>
      </c>
      <c r="E7" s="243" t="s">
        <v>930</v>
      </c>
      <c r="F7" s="298"/>
      <c r="G7" s="243" t="s">
        <v>943</v>
      </c>
      <c r="H7" s="244" t="s">
        <v>335</v>
      </c>
      <c r="I7" s="245">
        <v>1</v>
      </c>
      <c r="J7" s="299"/>
    </row>
    <row r="8" spans="1:11">
      <c r="A8" s="246">
        <v>7</v>
      </c>
      <c r="B8" s="300" t="s">
        <v>944</v>
      </c>
      <c r="C8" s="251"/>
      <c r="D8" s="260" t="s">
        <v>945</v>
      </c>
      <c r="E8" s="247" t="s">
        <v>930</v>
      </c>
      <c r="F8" s="281" t="s">
        <v>946</v>
      </c>
      <c r="G8" s="247" t="s">
        <v>947</v>
      </c>
      <c r="H8" s="248" t="s">
        <v>335</v>
      </c>
      <c r="I8" s="249">
        <v>1</v>
      </c>
      <c r="J8" s="301" t="s">
        <v>335</v>
      </c>
    </row>
    <row r="9" spans="1:11">
      <c r="A9" s="250"/>
      <c r="B9" s="302"/>
      <c r="C9" s="251"/>
      <c r="D9" s="255" t="s">
        <v>948</v>
      </c>
      <c r="E9" s="250"/>
      <c r="F9" s="303"/>
      <c r="G9" s="250"/>
      <c r="H9" s="250"/>
      <c r="I9" s="250"/>
      <c r="J9" s="304"/>
    </row>
    <row r="10" spans="1:11">
      <c r="A10" s="246">
        <v>8</v>
      </c>
      <c r="B10" s="302"/>
      <c r="C10" s="251"/>
      <c r="D10" s="254" t="s">
        <v>949</v>
      </c>
      <c r="E10" s="247" t="s">
        <v>930</v>
      </c>
      <c r="F10" s="303"/>
      <c r="G10" s="247" t="s">
        <v>950</v>
      </c>
      <c r="H10" s="248" t="s">
        <v>335</v>
      </c>
      <c r="I10" s="249">
        <v>1</v>
      </c>
      <c r="J10" s="304"/>
    </row>
    <row r="11" spans="1:11">
      <c r="A11" s="250"/>
      <c r="B11" s="302"/>
      <c r="C11" s="251"/>
      <c r="D11" s="255" t="s">
        <v>951</v>
      </c>
      <c r="E11" s="250"/>
      <c r="F11" s="303"/>
      <c r="G11" s="250"/>
      <c r="H11" s="250"/>
      <c r="I11" s="250"/>
      <c r="J11" s="304"/>
    </row>
    <row r="12" spans="1:11">
      <c r="A12" s="246">
        <v>9</v>
      </c>
      <c r="B12" s="302"/>
      <c r="C12" s="251"/>
      <c r="D12" s="254" t="s">
        <v>952</v>
      </c>
      <c r="E12" s="247" t="s">
        <v>930</v>
      </c>
      <c r="F12" s="303"/>
      <c r="G12" s="247" t="s">
        <v>953</v>
      </c>
      <c r="H12" s="248" t="s">
        <v>335</v>
      </c>
      <c r="I12" s="249">
        <v>1</v>
      </c>
      <c r="J12" s="304"/>
    </row>
    <row r="13" spans="1:11">
      <c r="A13" s="250"/>
      <c r="B13" s="302"/>
      <c r="C13" s="251"/>
      <c r="D13" s="255" t="s">
        <v>954</v>
      </c>
      <c r="E13" s="250"/>
      <c r="F13" s="303"/>
      <c r="G13" s="250"/>
      <c r="H13" s="250"/>
      <c r="I13" s="250"/>
      <c r="J13" s="304"/>
    </row>
    <row r="14" spans="1:11">
      <c r="A14" s="246">
        <v>10</v>
      </c>
      <c r="B14" s="302"/>
      <c r="C14" s="251"/>
      <c r="D14" s="254" t="s">
        <v>955</v>
      </c>
      <c r="E14" s="247" t="s">
        <v>930</v>
      </c>
      <c r="F14" s="303"/>
      <c r="G14" s="247" t="s">
        <v>956</v>
      </c>
      <c r="H14" s="248" t="s">
        <v>335</v>
      </c>
      <c r="I14" s="249">
        <v>1</v>
      </c>
      <c r="J14" s="304"/>
    </row>
    <row r="15" spans="1:11">
      <c r="A15" s="250"/>
      <c r="B15" s="305"/>
      <c r="C15" s="251"/>
      <c r="D15" s="255" t="s">
        <v>957</v>
      </c>
      <c r="E15" s="250"/>
      <c r="F15" s="306"/>
      <c r="G15" s="250"/>
      <c r="H15" s="250"/>
      <c r="I15" s="250"/>
      <c r="J15" s="307"/>
    </row>
  </sheetData>
  <mergeCells count="9">
    <mergeCell ref="B8:B15"/>
    <mergeCell ref="F8:F15"/>
    <mergeCell ref="J8:J15"/>
    <mergeCell ref="B2:B4"/>
    <mergeCell ref="F2:F4"/>
    <mergeCell ref="J2:J4"/>
    <mergeCell ref="B5:B7"/>
    <mergeCell ref="F5:F7"/>
    <mergeCell ref="J5:J7"/>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FB90-6F68-43C6-B48F-903031DF8489}">
  <dimension ref="A1:J2"/>
  <sheetViews>
    <sheetView tabSelected="1" workbookViewId="0">
      <selection activeCell="A2" sqref="A2:J2"/>
    </sheetView>
  </sheetViews>
  <sheetFormatPr defaultRowHeight="15"/>
  <cols>
    <col min="1" max="1" width="6.140625" customWidth="1"/>
    <col min="2" max="2" width="14.42578125" customWidth="1"/>
    <col min="3" max="3" width="17.5703125" customWidth="1"/>
    <col min="4" max="4" width="18.140625" customWidth="1"/>
    <col min="5" max="5" width="15.85546875" customWidth="1"/>
    <col min="6" max="6" width="19.7109375" customWidth="1"/>
    <col min="7" max="7" width="17.85546875" customWidth="1"/>
    <col min="8" max="8" width="16.28515625" customWidth="1"/>
    <col min="9" max="9" width="14.28515625" customWidth="1"/>
    <col min="10" max="10" width="13" customWidth="1"/>
  </cols>
  <sheetData>
    <row r="1" spans="1:10" ht="29.25">
      <c r="A1" s="256" t="s">
        <v>920</v>
      </c>
      <c r="B1" s="256" t="s">
        <v>433</v>
      </c>
      <c r="C1" s="256" t="s">
        <v>886</v>
      </c>
      <c r="D1" s="256" t="s">
        <v>921</v>
      </c>
      <c r="E1" s="256" t="s">
        <v>924</v>
      </c>
      <c r="F1" s="256" t="s">
        <v>925</v>
      </c>
      <c r="G1" s="256" t="s">
        <v>926</v>
      </c>
      <c r="H1" s="256" t="s">
        <v>927</v>
      </c>
      <c r="I1" s="256" t="s">
        <v>928</v>
      </c>
      <c r="J1" s="256" t="s">
        <v>903</v>
      </c>
    </row>
    <row r="2" spans="1:10" ht="29.25">
      <c r="A2" s="261">
        <v>1</v>
      </c>
      <c r="B2" s="261" t="s">
        <v>958</v>
      </c>
      <c r="C2" s="261" t="s">
        <v>959</v>
      </c>
      <c r="D2" s="261" t="s">
        <v>960</v>
      </c>
      <c r="E2" s="115" t="s">
        <v>961</v>
      </c>
      <c r="F2" s="261"/>
      <c r="G2" s="261" t="s">
        <v>962</v>
      </c>
      <c r="H2" s="261" t="s">
        <v>963</v>
      </c>
      <c r="I2" s="261" t="s">
        <v>964</v>
      </c>
      <c r="J2" s="261" t="s">
        <v>965</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22A87-86E9-4E29-BB46-5480E5D5D263}">
  <dimension ref="A1:D49"/>
  <sheetViews>
    <sheetView topLeftCell="B1" workbookViewId="0">
      <selection activeCell="C41" sqref="C41:D44"/>
    </sheetView>
  </sheetViews>
  <sheetFormatPr defaultRowHeight="15"/>
  <cols>
    <col min="1" max="1" width="13" customWidth="1"/>
    <col min="2" max="2" width="14.7109375" customWidth="1"/>
    <col min="3" max="3" width="19.85546875" customWidth="1"/>
    <col min="4" max="4" width="57.7109375" bestFit="1" customWidth="1"/>
  </cols>
  <sheetData>
    <row r="1" spans="1:4">
      <c r="A1" s="234" t="s">
        <v>433</v>
      </c>
      <c r="B1" s="234" t="s">
        <v>434</v>
      </c>
      <c r="C1" s="234" t="s">
        <v>886</v>
      </c>
      <c r="D1" s="234" t="s">
        <v>966</v>
      </c>
    </row>
    <row r="2" spans="1:4" ht="14.25" customHeight="1">
      <c r="A2" s="235" t="s">
        <v>17</v>
      </c>
      <c r="B2" s="235" t="s">
        <v>446</v>
      </c>
      <c r="C2" s="233" t="s">
        <v>911</v>
      </c>
      <c r="D2" s="233" t="s">
        <v>967</v>
      </c>
    </row>
    <row r="3" spans="1:4" ht="17.25" customHeight="1">
      <c r="A3" s="235" t="s">
        <v>17</v>
      </c>
      <c r="B3" s="235" t="s">
        <v>446</v>
      </c>
      <c r="C3" s="233" t="s">
        <v>911</v>
      </c>
      <c r="D3" s="233" t="s">
        <v>968</v>
      </c>
    </row>
    <row r="4" spans="1:4" ht="17.25" customHeight="1">
      <c r="A4" s="235" t="s">
        <v>17</v>
      </c>
      <c r="B4" s="235" t="s">
        <v>446</v>
      </c>
      <c r="C4" s="233" t="s">
        <v>911</v>
      </c>
      <c r="D4" s="233" t="s">
        <v>969</v>
      </c>
    </row>
    <row r="5" spans="1:4">
      <c r="A5" s="235" t="s">
        <v>17</v>
      </c>
      <c r="B5" s="235" t="s">
        <v>446</v>
      </c>
      <c r="C5" s="233" t="s">
        <v>911</v>
      </c>
      <c r="D5" s="233" t="s">
        <v>970</v>
      </c>
    </row>
    <row r="6" spans="1:4">
      <c r="A6" s="235" t="s">
        <v>17</v>
      </c>
      <c r="B6" s="235" t="s">
        <v>446</v>
      </c>
      <c r="C6" s="233" t="s">
        <v>911</v>
      </c>
      <c r="D6" s="233" t="s">
        <v>971</v>
      </c>
    </row>
    <row r="7" spans="1:4">
      <c r="A7" s="235" t="s">
        <v>17</v>
      </c>
      <c r="B7" s="235" t="s">
        <v>446</v>
      </c>
      <c r="C7" s="233" t="s">
        <v>911</v>
      </c>
      <c r="D7" s="233" t="s">
        <v>972</v>
      </c>
    </row>
    <row r="8" spans="1:4" ht="17.25" customHeight="1">
      <c r="A8" s="235" t="s">
        <v>17</v>
      </c>
      <c r="B8" s="235" t="s">
        <v>518</v>
      </c>
      <c r="C8" s="233" t="s">
        <v>973</v>
      </c>
      <c r="D8" s="233" t="s">
        <v>974</v>
      </c>
    </row>
    <row r="9" spans="1:4" ht="16.5" customHeight="1">
      <c r="A9" s="235" t="s">
        <v>17</v>
      </c>
      <c r="B9" s="235" t="s">
        <v>518</v>
      </c>
      <c r="C9" s="233" t="s">
        <v>973</v>
      </c>
      <c r="D9" s="233" t="s">
        <v>975</v>
      </c>
    </row>
    <row r="10" spans="1:4">
      <c r="A10" s="235" t="s">
        <v>17</v>
      </c>
      <c r="B10" s="235" t="s">
        <v>518</v>
      </c>
      <c r="C10" s="233" t="s">
        <v>973</v>
      </c>
      <c r="D10" s="233" t="s">
        <v>976</v>
      </c>
    </row>
    <row r="11" spans="1:4">
      <c r="A11" s="235" t="s">
        <v>17</v>
      </c>
      <c r="B11" s="235" t="s">
        <v>518</v>
      </c>
      <c r="C11" s="233" t="s">
        <v>973</v>
      </c>
      <c r="D11" s="233" t="s">
        <v>977</v>
      </c>
    </row>
    <row r="12" spans="1:4" ht="15.75" customHeight="1">
      <c r="A12" s="235" t="s">
        <v>17</v>
      </c>
      <c r="B12" s="235" t="s">
        <v>518</v>
      </c>
      <c r="C12" s="233" t="s">
        <v>973</v>
      </c>
      <c r="D12" s="233" t="s">
        <v>978</v>
      </c>
    </row>
    <row r="13" spans="1:4" ht="15" customHeight="1">
      <c r="A13" s="235" t="s">
        <v>17</v>
      </c>
      <c r="B13" s="235" t="s">
        <v>518</v>
      </c>
      <c r="C13" s="233" t="s">
        <v>973</v>
      </c>
      <c r="D13" s="233" t="s">
        <v>979</v>
      </c>
    </row>
    <row r="14" spans="1:4" ht="17.25" customHeight="1">
      <c r="A14" s="235" t="s">
        <v>17</v>
      </c>
      <c r="B14" s="235" t="s">
        <v>446</v>
      </c>
      <c r="C14" s="233" t="s">
        <v>980</v>
      </c>
      <c r="D14" s="233" t="s">
        <v>981</v>
      </c>
    </row>
    <row r="15" spans="1:4" ht="19.5" customHeight="1">
      <c r="A15" s="235" t="s">
        <v>17</v>
      </c>
      <c r="B15" s="235" t="s">
        <v>446</v>
      </c>
      <c r="C15" s="233" t="s">
        <v>980</v>
      </c>
      <c r="D15" s="233" t="s">
        <v>982</v>
      </c>
    </row>
    <row r="16" spans="1:4" ht="16.5" customHeight="1">
      <c r="A16" s="235" t="s">
        <v>17</v>
      </c>
      <c r="B16" s="235" t="s">
        <v>446</v>
      </c>
      <c r="C16" s="233" t="s">
        <v>980</v>
      </c>
      <c r="D16" s="233" t="s">
        <v>983</v>
      </c>
    </row>
    <row r="17" spans="1:4">
      <c r="A17" s="235" t="s">
        <v>17</v>
      </c>
      <c r="B17" s="235" t="s">
        <v>446</v>
      </c>
      <c r="C17" s="233" t="s">
        <v>980</v>
      </c>
      <c r="D17" s="233" t="s">
        <v>984</v>
      </c>
    </row>
    <row r="18" spans="1:4" ht="18.75" customHeight="1">
      <c r="A18" s="235" t="s">
        <v>17</v>
      </c>
      <c r="B18" s="235" t="s">
        <v>446</v>
      </c>
      <c r="C18" s="233" t="s">
        <v>980</v>
      </c>
      <c r="D18" s="233" t="s">
        <v>985</v>
      </c>
    </row>
    <row r="19" spans="1:4">
      <c r="A19" s="235" t="s">
        <v>16</v>
      </c>
      <c r="B19" s="235" t="s">
        <v>437</v>
      </c>
      <c r="C19" s="233" t="s">
        <v>986</v>
      </c>
      <c r="D19" s="233" t="s">
        <v>987</v>
      </c>
    </row>
    <row r="20" spans="1:4" ht="15" customHeight="1">
      <c r="A20" s="235" t="s">
        <v>16</v>
      </c>
      <c r="B20" s="235" t="s">
        <v>437</v>
      </c>
      <c r="C20" s="233" t="s">
        <v>986</v>
      </c>
      <c r="D20" s="233" t="s">
        <v>988</v>
      </c>
    </row>
    <row r="21" spans="1:4" ht="15.75" customHeight="1">
      <c r="A21" s="235" t="s">
        <v>16</v>
      </c>
      <c r="B21" s="235" t="s">
        <v>437</v>
      </c>
      <c r="C21" s="233" t="s">
        <v>986</v>
      </c>
      <c r="D21" s="233" t="s">
        <v>989</v>
      </c>
    </row>
    <row r="22" spans="1:4" ht="18.75" customHeight="1">
      <c r="A22" s="235" t="s">
        <v>16</v>
      </c>
      <c r="B22" s="235" t="s">
        <v>437</v>
      </c>
      <c r="C22" s="233" t="s">
        <v>16</v>
      </c>
      <c r="D22" s="233" t="s">
        <v>990</v>
      </c>
    </row>
    <row r="23" spans="1:4" ht="15" customHeight="1">
      <c r="A23" s="235" t="s">
        <v>16</v>
      </c>
      <c r="B23" s="235" t="s">
        <v>437</v>
      </c>
      <c r="C23" s="233" t="s">
        <v>16</v>
      </c>
      <c r="D23" s="233" t="s">
        <v>991</v>
      </c>
    </row>
    <row r="24" spans="1:4">
      <c r="A24" s="235" t="s">
        <v>16</v>
      </c>
      <c r="B24" s="235" t="s">
        <v>437</v>
      </c>
      <c r="C24" s="233" t="s">
        <v>16</v>
      </c>
      <c r="D24" s="233" t="s">
        <v>992</v>
      </c>
    </row>
    <row r="25" spans="1:4" ht="18" customHeight="1">
      <c r="A25" s="235" t="s">
        <v>16</v>
      </c>
      <c r="B25" s="235" t="s">
        <v>440</v>
      </c>
      <c r="C25" s="233" t="s">
        <v>908</v>
      </c>
      <c r="D25" s="233" t="s">
        <v>993</v>
      </c>
    </row>
    <row r="26" spans="1:4">
      <c r="A26" s="235" t="s">
        <v>16</v>
      </c>
      <c r="B26" s="235" t="s">
        <v>440</v>
      </c>
      <c r="C26" s="233" t="s">
        <v>908</v>
      </c>
      <c r="D26" s="233" t="s">
        <v>994</v>
      </c>
    </row>
    <row r="27" spans="1:4" ht="18.75" customHeight="1">
      <c r="A27" s="235" t="s">
        <v>16</v>
      </c>
      <c r="B27" s="235" t="s">
        <v>440</v>
      </c>
      <c r="C27" s="233" t="s">
        <v>908</v>
      </c>
      <c r="D27" s="233" t="s">
        <v>995</v>
      </c>
    </row>
    <row r="28" spans="1:4" ht="18" customHeight="1">
      <c r="A28" s="235" t="s">
        <v>16</v>
      </c>
      <c r="B28" s="235" t="s">
        <v>440</v>
      </c>
      <c r="C28" s="233" t="s">
        <v>908</v>
      </c>
      <c r="D28" s="233" t="s">
        <v>996</v>
      </c>
    </row>
    <row r="29" spans="1:4" ht="20.25" customHeight="1">
      <c r="A29" s="235" t="s">
        <v>16</v>
      </c>
      <c r="B29" s="235" t="s">
        <v>440</v>
      </c>
      <c r="C29" s="233" t="s">
        <v>997</v>
      </c>
      <c r="D29" s="233" t="s">
        <v>998</v>
      </c>
    </row>
    <row r="30" spans="1:4" ht="20.25" customHeight="1">
      <c r="A30" s="235" t="s">
        <v>16</v>
      </c>
      <c r="B30" s="235" t="s">
        <v>440</v>
      </c>
      <c r="C30" s="233" t="s">
        <v>997</v>
      </c>
      <c r="D30" s="233" t="s">
        <v>999</v>
      </c>
    </row>
    <row r="31" spans="1:4" ht="15" customHeight="1">
      <c r="A31" s="235" t="s">
        <v>18</v>
      </c>
      <c r="B31" s="236" t="s">
        <v>449</v>
      </c>
      <c r="C31" s="233" t="s">
        <v>1000</v>
      </c>
      <c r="D31" s="233" t="s">
        <v>1001</v>
      </c>
    </row>
    <row r="32" spans="1:4">
      <c r="A32" s="235" t="s">
        <v>18</v>
      </c>
      <c r="B32" s="235" t="s">
        <v>449</v>
      </c>
      <c r="C32" s="233" t="s">
        <v>1002</v>
      </c>
      <c r="D32" s="233" t="s">
        <v>1003</v>
      </c>
    </row>
    <row r="33" spans="1:4" ht="13.5" customHeight="1">
      <c r="A33" s="235" t="s">
        <v>18</v>
      </c>
      <c r="B33" s="235" t="s">
        <v>449</v>
      </c>
      <c r="C33" s="233" t="s">
        <v>1002</v>
      </c>
      <c r="D33" s="233" t="s">
        <v>1004</v>
      </c>
    </row>
    <row r="34" spans="1:4" ht="15" customHeight="1">
      <c r="A34" s="235" t="s">
        <v>18</v>
      </c>
      <c r="B34" s="235" t="s">
        <v>449</v>
      </c>
      <c r="C34" s="233" t="s">
        <v>1002</v>
      </c>
      <c r="D34" s="233" t="s">
        <v>1005</v>
      </c>
    </row>
    <row r="35" spans="1:4">
      <c r="A35" s="235" t="s">
        <v>16</v>
      </c>
      <c r="B35" s="235" t="s">
        <v>1006</v>
      </c>
      <c r="C35" s="235" t="s">
        <v>16</v>
      </c>
      <c r="D35" s="235" t="s">
        <v>1007</v>
      </c>
    </row>
    <row r="36" spans="1:4">
      <c r="A36" s="235" t="s">
        <v>16</v>
      </c>
      <c r="B36" s="235" t="s">
        <v>1006</v>
      </c>
      <c r="C36" s="235" t="s">
        <v>16</v>
      </c>
      <c r="D36" s="235" t="s">
        <v>1008</v>
      </c>
    </row>
    <row r="37" spans="1:4">
      <c r="A37" s="235" t="s">
        <v>16</v>
      </c>
      <c r="B37" s="235" t="s">
        <v>1006</v>
      </c>
      <c r="C37" s="235" t="s">
        <v>16</v>
      </c>
      <c r="D37" s="235" t="s">
        <v>1009</v>
      </c>
    </row>
    <row r="38" spans="1:4">
      <c r="A38" s="235" t="s">
        <v>17</v>
      </c>
      <c r="B38" s="235" t="s">
        <v>1006</v>
      </c>
      <c r="C38" s="235" t="s">
        <v>911</v>
      </c>
      <c r="D38" s="235" t="s">
        <v>1010</v>
      </c>
    </row>
    <row r="39" spans="1:4">
      <c r="A39" s="235" t="s">
        <v>17</v>
      </c>
      <c r="B39" s="235" t="s">
        <v>1006</v>
      </c>
      <c r="C39" s="235" t="s">
        <v>911</v>
      </c>
      <c r="D39" s="235" t="s">
        <v>1011</v>
      </c>
    </row>
    <row r="40" spans="1:4">
      <c r="A40" s="235" t="s">
        <v>17</v>
      </c>
      <c r="B40" s="235" t="s">
        <v>1006</v>
      </c>
      <c r="C40" s="235" t="s">
        <v>911</v>
      </c>
      <c r="D40" s="235" t="s">
        <v>1012</v>
      </c>
    </row>
    <row r="41" spans="1:4">
      <c r="A41" s="235" t="s">
        <v>944</v>
      </c>
      <c r="B41" s="235" t="s">
        <v>1006</v>
      </c>
      <c r="C41" s="235" t="s">
        <v>1000</v>
      </c>
      <c r="D41" s="235" t="s">
        <v>1013</v>
      </c>
    </row>
    <row r="42" spans="1:4">
      <c r="A42" s="235" t="s">
        <v>944</v>
      </c>
      <c r="B42" s="235" t="s">
        <v>1006</v>
      </c>
      <c r="C42" s="235" t="s">
        <v>1000</v>
      </c>
      <c r="D42" s="235" t="s">
        <v>1014</v>
      </c>
    </row>
    <row r="43" spans="1:4">
      <c r="A43" s="235" t="s">
        <v>944</v>
      </c>
      <c r="B43" s="235" t="s">
        <v>1006</v>
      </c>
      <c r="C43" s="235" t="s">
        <v>1000</v>
      </c>
      <c r="D43" s="235" t="s">
        <v>1015</v>
      </c>
    </row>
    <row r="44" spans="1:4">
      <c r="A44" s="235" t="s">
        <v>944</v>
      </c>
      <c r="B44" s="235" t="s">
        <v>1006</v>
      </c>
      <c r="C44" s="235" t="s">
        <v>1016</v>
      </c>
      <c r="D44" s="235" t="s">
        <v>1017</v>
      </c>
    </row>
    <row r="45" spans="1:4">
      <c r="A45" s="235" t="s">
        <v>16</v>
      </c>
      <c r="B45" s="235" t="s">
        <v>1006</v>
      </c>
      <c r="C45" s="235" t="s">
        <v>904</v>
      </c>
      <c r="D45" s="235" t="s">
        <v>905</v>
      </c>
    </row>
    <row r="46" spans="1:4">
      <c r="A46" s="235" t="s">
        <v>16</v>
      </c>
      <c r="B46" s="235" t="s">
        <v>1006</v>
      </c>
      <c r="C46" s="235" t="s">
        <v>908</v>
      </c>
      <c r="D46" s="235" t="s">
        <v>909</v>
      </c>
    </row>
    <row r="47" spans="1:4">
      <c r="A47" s="235" t="s">
        <v>17</v>
      </c>
      <c r="B47" s="235" t="s">
        <v>1006</v>
      </c>
      <c r="C47" s="235" t="s">
        <v>911</v>
      </c>
      <c r="D47" s="235" t="s">
        <v>912</v>
      </c>
    </row>
    <row r="48" spans="1:4">
      <c r="A48" s="235" t="s">
        <v>17</v>
      </c>
      <c r="B48" s="235" t="s">
        <v>1006</v>
      </c>
      <c r="C48" s="235" t="s">
        <v>911</v>
      </c>
      <c r="D48" s="235" t="s">
        <v>915</v>
      </c>
    </row>
    <row r="49" spans="1:4">
      <c r="A49" s="235" t="s">
        <v>17</v>
      </c>
      <c r="B49" s="235" t="s">
        <v>1006</v>
      </c>
      <c r="C49" s="235" t="s">
        <v>444</v>
      </c>
      <c r="D49" s="235" t="s">
        <v>918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c5a8ea-eaed-4de4-a4c1-bb274ab7d611">
      <Terms xmlns="http://schemas.microsoft.com/office/infopath/2007/PartnerControls"/>
    </lcf76f155ced4ddcb4097134ff3c332f>
    <TaxCatchAll xmlns="8dcc6fa3-9f4a-44be-8138-52b0a771460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E7B6247FD234A9D5B6036ABF788CD" ma:contentTypeVersion="13" ma:contentTypeDescription="Create a new document." ma:contentTypeScope="" ma:versionID="b50dc4aa3594d91fde16775b8441a32e">
  <xsd:schema xmlns:xsd="http://www.w3.org/2001/XMLSchema" xmlns:xs="http://www.w3.org/2001/XMLSchema" xmlns:p="http://schemas.microsoft.com/office/2006/metadata/properties" xmlns:ns2="6fc5a8ea-eaed-4de4-a4c1-bb274ab7d611" xmlns:ns3="8dcc6fa3-9f4a-44be-8138-52b0a7714600" targetNamespace="http://schemas.microsoft.com/office/2006/metadata/properties" ma:root="true" ma:fieldsID="1877d62fc6685f2668d5ea3d4d9ea396" ns2:_="" ns3:_="">
    <xsd:import namespace="6fc5a8ea-eaed-4de4-a4c1-bb274ab7d611"/>
    <xsd:import namespace="8dcc6fa3-9f4a-44be-8138-52b0a77146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5a8ea-eaed-4de4-a4c1-bb274ab7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cc6fa3-9f4a-44be-8138-52b0a77146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e6159-c170-46ef-874c-a5c14db90d07}" ma:internalName="TaxCatchAll" ma:showField="CatchAllData" ma:web="8dcc6fa3-9f4a-44be-8138-52b0a77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DED452-D97F-44FD-A38C-BB22FA1E86F6}"/>
</file>

<file path=customXml/itemProps2.xml><?xml version="1.0" encoding="utf-8"?>
<ds:datastoreItem xmlns:ds="http://schemas.openxmlformats.org/officeDocument/2006/customXml" ds:itemID="{DAA6E2E8-33E5-495C-A487-0938CCD18C0E}"/>
</file>

<file path=customXml/itemProps3.xml><?xml version="1.0" encoding="utf-8"?>
<ds:datastoreItem xmlns:ds="http://schemas.openxmlformats.org/officeDocument/2006/customXml" ds:itemID="{53DDE10B-97E8-41B4-A0F8-99B6A099D2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Marrian Gebreselassie</dc:creator>
  <cp:keywords/>
  <dc:description/>
  <cp:lastModifiedBy/>
  <cp:revision/>
  <dcterms:created xsi:type="dcterms:W3CDTF">2025-10-15T13:52:05Z</dcterms:created>
  <dcterms:modified xsi:type="dcterms:W3CDTF">2026-10-18T21:44:36Z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0x0101009E1E7B6247FD234A9D5B6036ABF788CD</vt:lpwstr>
  </property>
  <property fmtid="{D5CDD505-2E9C-101B-9397-08002B2CF9AE}" pid="3" name="MediaServiceImageTags">
    <vt:lpwstr/>
  </property>
</Properties>
</file>