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611"/>
  <workbookPr/>
  <mc:AlternateContent xmlns:mc="http://schemas.openxmlformats.org/markup-compatibility/2006">
    <mc:Choice Requires="x15">
      <x15ac:absPath xmlns:x15ac="http://schemas.microsoft.com/office/spreadsheetml/2010/11/ac" url="https://undp.sharepoint.com/sites/sudanresilience/Shared Documents/Project Implmentation/Kuwait/"/>
    </mc:Choice>
  </mc:AlternateContent>
  <xr:revisionPtr revIDLastSave="0" documentId="8_{FE04DEFD-AB3A-4B8E-9FBD-3BE530E61C25}" xr6:coauthVersionLast="47" xr6:coauthVersionMax="47" xr10:uidLastSave="{00000000-0000-0000-0000-000000000000}"/>
  <bookViews>
    <workbookView xWindow="-110" yWindow="-110" windowWidth="19420" windowHeight="10300" firstSheet="5" activeTab="5" xr2:uid="{F47D05D0-0436-4D2F-9DA2-B4852A730735}"/>
  </bookViews>
  <sheets>
    <sheet name="Project_FactSheet" sheetId="2" r:id="rId1"/>
    <sheet name="Kuwait_Tracker" sheetId="1" r:id="rId2"/>
    <sheet name="Kuwait_RN_WaterSites" sheetId="3" r:id="rId3"/>
    <sheet name="Weekly_Updates" sheetId="4" r:id="rId4"/>
    <sheet name="WaterSites" sheetId="5" r:id="rId5"/>
    <sheet name="WUAs" sheetId="7" r:id="rId6"/>
    <sheet name="Toolkits" sheetId="8" r:id="rId7"/>
    <sheet name="Locations" sheetId="6" r:id="rId8"/>
  </sheets>
  <definedNames>
    <definedName name="_xlnm._FilterDatabase" localSheetId="5" hidden="1">WUAs!$A$1:$L$105</definedName>
    <definedName name="_xlnm._FilterDatabase" localSheetId="4" hidden="1">WaterSites!$A$1:$T$25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7" i="1" l="1"/>
  <c r="G7" i="1"/>
  <c r="H37" i="3"/>
  <c r="O26" i="5"/>
  <c r="P26" i="5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tc={E5F026DC-6721-4C99-8BD6-8B7AA681B4A8}</author>
    <author>tc={39EE8329-C46F-40D6-8755-15D485D068ED}</author>
    <author>tc={93FE1638-2C85-4D4C-8B82-AAAEFDCEA33E}</author>
  </authors>
  <commentList>
    <comment ref="T1" authorId="0" shapeId="0" xr:uid="{E5F026DC-6721-4C99-8BD6-8B7AA681B4A8}">
      <text>
        <t>[Threaded comment]
Your version of Excel allows you to read this threaded comment; however, any edits to it will get removed if the file is opened in a newer version of Excel. Learn more: https://go.microsoft.com/fwlink/?linkid=870924
Comment:
    @Yahya Mohammed @Alaa Belal @Mustafa Hassan @Ahmed Adam  please complete this information for sites handed over under Kuwait-447</t>
      </text>
    </comment>
    <comment ref="P17" authorId="1" shapeId="0" xr:uid="{39EE8329-C46F-40D6-8755-15D485D068ED}">
      <text>
        <t>[Threaded comment]
Your version of Excel allows you to read this threaded comment; however, any edits to it will get removed if the file is opened in a newer version of Excel. Learn more: https://go.microsoft.com/fwlink/?linkid=870924
Comment:
    @Yahya Mohammed Please fill out for water sites under old kuwait based on water output
cc: @Alaa Belal 
Reply:
    Done</t>
      </text>
    </comment>
    <comment ref="Q23" authorId="2" shapeId="0" xr:uid="{93FE1638-2C85-4D4C-8B82-AAAEFDCEA33E}">
      <text>
        <t>[Threaded comment]
Your version of Excel allows you to read this threaded comment; however, any edits to it will get removed if the file is opened in a newer version of Excel. Learn more: https://go.microsoft.com/fwlink/?linkid=870924
Comment:
    @Yassir Zahir / @Ahmed Adam  please fill in the percentage of completion</t>
      </text>
    </comment>
  </commentList>
</comments>
</file>

<file path=xl/sharedStrings.xml><?xml version="1.0" encoding="utf-8"?>
<sst xmlns="http://schemas.openxmlformats.org/spreadsheetml/2006/main" count="1621" uniqueCount="383">
  <si>
    <t>Project Name:</t>
  </si>
  <si>
    <t>Enhancing Access To Water Infrastructure For IDPs Refugees And Host Communities Project in the Republic of Sudan</t>
  </si>
  <si>
    <t>Award No:</t>
  </si>
  <si>
    <t>1382316–Kuwait (447)</t>
  </si>
  <si>
    <t>Donor:</t>
  </si>
  <si>
    <t>Kuwait Fund for Arab Economic Development (KFAED)</t>
  </si>
  <si>
    <t>Total budget:</t>
  </si>
  <si>
    <t>Start date:</t>
  </si>
  <si>
    <t>End date:</t>
  </si>
  <si>
    <t>Project Duration:</t>
  </si>
  <si>
    <t>12 months</t>
  </si>
  <si>
    <t>Target locations:</t>
  </si>
  <si>
    <t>River Nile, Gedaref, Sennar, Al Gazeera</t>
  </si>
  <si>
    <t>Implementing Partners:</t>
  </si>
  <si>
    <t>-</t>
  </si>
  <si>
    <t>Last update to tracker:</t>
  </si>
  <si>
    <t>Outcome</t>
  </si>
  <si>
    <t>Output</t>
  </si>
  <si>
    <t>Activity</t>
  </si>
  <si>
    <t>PIMS_ToI</t>
  </si>
  <si>
    <t>Target</t>
  </si>
  <si>
    <t>Estimated Total ($)</t>
  </si>
  <si>
    <t>Actual (12.11)</t>
  </si>
  <si>
    <t>Actual (10.02)</t>
  </si>
  <si>
    <t>Comment</t>
  </si>
  <si>
    <t>Improved infrastructure in Sudan for accessing clean water with reduced
risk of waterborne and water related diseases</t>
  </si>
  <si>
    <t>Output 1: Access of Vulnerable population to clean and safe water improved which meets Sphere and WHO standards in terms of quantity and quality</t>
  </si>
  <si>
    <t>Activity 1.1 Establish and solarize 8 new water yards and extension of distribution points and installation of solar system</t>
  </si>
  <si>
    <r>
      <rPr>
        <b/>
        <sz val="11"/>
        <color rgb="FF000000"/>
        <rFont val="Aptos Narrow"/>
      </rPr>
      <t>8 procured as follow</t>
    </r>
    <r>
      <rPr>
        <sz val="11"/>
        <color rgb="FF000000"/>
        <rFont val="Aptos Narrow"/>
      </rPr>
      <t xml:space="preserve">: 3 in Gezira, 2 in Sennar, 2 River Nile, 1 Gadarif; The work progress reached </t>
    </r>
    <r>
      <rPr>
        <b/>
        <sz val="11"/>
        <color rgb="FF000000"/>
        <rFont val="Aptos Narrow"/>
      </rPr>
      <t>100%.</t>
    </r>
  </si>
  <si>
    <t>Activity 1.2 Rehabilitate, upgrade, and solarize 16 existing non-functional water yards and distribution points</t>
  </si>
  <si>
    <r>
      <rPr>
        <b/>
        <sz val="11"/>
        <color rgb="FF000000"/>
        <rFont val="Aptos Narrow"/>
      </rPr>
      <t>16 procured as follow</t>
    </r>
    <r>
      <rPr>
        <sz val="11"/>
        <color rgb="FF000000"/>
        <rFont val="Aptos Narrow"/>
      </rPr>
      <t>: 5 in Gezira, 5 in Sennar, 4 River Nile, 2 Gadarif; The work progress reached100</t>
    </r>
    <r>
      <rPr>
        <b/>
        <sz val="11"/>
        <color rgb="FF000000"/>
        <rFont val="Aptos Narrow"/>
      </rPr>
      <t>%.</t>
    </r>
  </si>
  <si>
    <t>Output 2: Capacity of Communities and local authorities to manage and maintain water infrastructure strengthened</t>
  </si>
  <si>
    <t>Activity 2.1 Capacity building for local authorities on sustainability and cost recovery system</t>
  </si>
  <si>
    <t>Establish 24 Water User Associations (WUAs), each including 10 voluntary members of the 
community with a Chairperson, Secretary and a Treasurer</t>
  </si>
  <si>
    <t>Get database of all WUA members in different states due Sunday (19/07)</t>
  </si>
  <si>
    <r>
      <rPr>
        <sz val="11"/>
        <color rgb="FF000000"/>
        <rFont val="Aptos Narrow"/>
        <family val="2"/>
        <scheme val="minor"/>
      </rPr>
      <t xml:space="preserve">Activity 2.2 Train 48 Community Water and Solar Technicians (CWSTs) and </t>
    </r>
    <r>
      <rPr>
        <b/>
        <sz val="11"/>
        <color rgb="FF000000"/>
        <rFont val="Aptos Narrow"/>
        <family val="2"/>
        <scheme val="minor"/>
      </rPr>
      <t>equip them with toolkits</t>
    </r>
  </si>
  <si>
    <t>Preparation for conducting the training is made.PCA are prepared and waiting for approval.</t>
  </si>
  <si>
    <t xml:space="preserve">Contractor </t>
  </si>
  <si>
    <t>TRADE HOOK &amp; Hewa for Water Drilling</t>
  </si>
  <si>
    <t xml:space="preserve"> Rehabilitation of Water Yards- Kuwait Project - RNS</t>
  </si>
  <si>
    <t> </t>
  </si>
  <si>
    <t>TOTAL TASKS</t>
  </si>
  <si>
    <t>Duration</t>
  </si>
  <si>
    <t>Overall
Progress</t>
  </si>
  <si>
    <t>Completed</t>
  </si>
  <si>
    <t>Project Start</t>
  </si>
  <si>
    <t>In progress</t>
  </si>
  <si>
    <t>Project End</t>
  </si>
  <si>
    <t>Column1</t>
  </si>
  <si>
    <t>Responsible</t>
  </si>
  <si>
    <t>Start Date</t>
  </si>
  <si>
    <t>End Date</t>
  </si>
  <si>
    <t>Progress</t>
  </si>
  <si>
    <t>Status</t>
  </si>
  <si>
    <t>Pending</t>
  </si>
  <si>
    <t>Site Handover for first 4 lots</t>
  </si>
  <si>
    <t>Team mobilization</t>
  </si>
  <si>
    <t>LOT 1 Hassania Water Yard</t>
  </si>
  <si>
    <t>LOT 1</t>
  </si>
  <si>
    <t>Civil Work</t>
  </si>
  <si>
    <t xml:space="preserve">PV Panels &amp;Structures </t>
  </si>
  <si>
    <t>Electrical</t>
  </si>
  <si>
    <t>Testing &amp; Commissioing &amp; Handover</t>
  </si>
  <si>
    <t>LOT 2 Elaababda Water Yard</t>
  </si>
  <si>
    <t>LOT 2</t>
  </si>
  <si>
    <t>Not Started</t>
  </si>
  <si>
    <t xml:space="preserve">LOT 3 Gabati Water Yard  </t>
  </si>
  <si>
    <t>LOT 3</t>
  </si>
  <si>
    <t>LOT 4 Ashwal Water Yard</t>
  </si>
  <si>
    <t>LOT 4</t>
  </si>
  <si>
    <t xml:space="preserve"> Abo Sora</t>
  </si>
  <si>
    <t xml:space="preserve"> Rehabilitation of Water Yards- Kuwait Project - Gazira State</t>
  </si>
  <si>
    <t>Duration (days)</t>
  </si>
  <si>
    <t>Rehabilitaion Existing Water Yards</t>
  </si>
  <si>
    <t>Construction of New Water Yard/projects</t>
  </si>
  <si>
    <t>Week Duration</t>
  </si>
  <si>
    <t>30th Nov to 4th Dec</t>
  </si>
  <si>
    <t xml:space="preserve">Contractor: Tihraga Engineering for Building Co. (2 sites)
•	Rehabilitation works at the two Dalse sites have reached 85% completion.
•	coordination meetings with the Ministry of Production and Social Affairs.
</t>
  </si>
  <si>
    <t>7th Dec to 11th Dec</t>
  </si>
  <si>
    <r>
      <rPr>
        <b/>
        <sz val="11"/>
        <color rgb="FF000000"/>
        <rFont val="Aptos Narrow"/>
        <family val="2"/>
        <scheme val="minor"/>
      </rPr>
      <t xml:space="preserve">Kuwait Fund Procurement Projects - Gedaref
</t>
    </r>
    <r>
      <rPr>
        <sz val="11"/>
        <color rgb="FF000000"/>
        <rFont val="Aptos Narrow"/>
        <family val="2"/>
        <scheme val="minor"/>
      </rPr>
      <t xml:space="preserve">Contractor: Tihraga Engineering (2 sites)
•	Rehabilitation works at the Dalse sites have reached 85%.
</t>
    </r>
    <r>
      <rPr>
        <b/>
        <sz val="11"/>
        <color rgb="FF000000"/>
        <rFont val="Aptos Narrow"/>
        <family val="2"/>
        <scheme val="minor"/>
      </rPr>
      <t xml:space="preserve">Kuwait Project (Trade Hook Co.) - River Nile
</t>
    </r>
    <r>
      <rPr>
        <sz val="11"/>
        <color rgb="FF000000"/>
        <rFont val="Aptos Narrow"/>
        <family val="2"/>
        <scheme val="minor"/>
      </rPr>
      <t xml:space="preserve">•                Hassania Water Yard: Completion of civil works 100%.
•                Al Matama Hospital &amp; Alababda Water Yard: Completion of civil works 100%..
•                Village 5 Water Yard: Completion of civil works 20%.
</t>
    </r>
    <r>
      <rPr>
        <b/>
        <sz val="11"/>
        <color rgb="FF000000"/>
        <rFont val="Aptos Narrow"/>
        <family val="2"/>
        <scheme val="minor"/>
      </rPr>
      <t xml:space="preserve">Kuwait-Funded Project – Provision of 4 Solar Systems (Sinnar State)
</t>
    </r>
    <r>
      <rPr>
        <sz val="11"/>
        <color rgb="FF000000"/>
        <rFont val="Aptos Narrow"/>
        <family val="2"/>
        <scheme val="minor"/>
      </rPr>
      <t xml:space="preserve">          * Completion 80 % of the solar system on 4 water yards
</t>
    </r>
  </si>
  <si>
    <t>14th Dec to 18th Dec</t>
  </si>
  <si>
    <r>
      <rPr>
        <b/>
        <sz val="11"/>
        <color rgb="FF000000"/>
        <rFont val="Aptos Narrow"/>
        <family val="2"/>
        <scheme val="minor"/>
      </rPr>
      <t xml:space="preserve">Kuwait Fund Procurement Projects - Gedaref
</t>
    </r>
    <r>
      <rPr>
        <sz val="11"/>
        <color rgb="FF000000"/>
        <rFont val="Aptos Narrow"/>
        <family val="2"/>
        <scheme val="minor"/>
      </rPr>
      <t xml:space="preserve">Contractor: Tihraga Engineering (2 sites)
•	Rehabilitation works at the Dalsa sites have reached 95%.
</t>
    </r>
    <r>
      <rPr>
        <b/>
        <sz val="11"/>
        <color rgb="FF000000"/>
        <rFont val="Aptos Narrow"/>
        <family val="2"/>
        <scheme val="minor"/>
      </rPr>
      <t xml:space="preserve">Kuwait Project (Trade Hook Co.) - River Nile
</t>
    </r>
    <r>
      <rPr>
        <sz val="11"/>
        <color rgb="FF000000"/>
        <rFont val="Aptos Narrow"/>
        <family val="2"/>
        <scheme val="minor"/>
      </rPr>
      <t xml:space="preserve">•     Hassania Water Yard: Completion of civil works 100%. Commissioning and Handover is planned for next week. 
•     Al Matama Hospital &amp; Alababda Water Yard: Completion of civil works 100%. Commissioning and Handover is planned for next week.
•    Village 5 Water Yard: Completion of civil works 30%.
•    Gabati water yard: Completion of civil works 20 % . 
</t>
    </r>
    <r>
      <rPr>
        <b/>
        <sz val="11"/>
        <color rgb="FF000000"/>
        <rFont val="Aptos Narrow"/>
        <family val="2"/>
        <scheme val="minor"/>
      </rPr>
      <t xml:space="preserve">Civil Works for Rehabilitation and Provision of Solar System for 4 Water Yards in Sinnar State:
</t>
    </r>
    <r>
      <rPr>
        <sz val="11"/>
        <color rgb="FF000000"/>
        <rFont val="Aptos Narrow"/>
        <family val="2"/>
        <scheme val="minor"/>
      </rPr>
      <t xml:space="preserve">* Completion 99 % of the solar system on 4 water yards. Only 3 signboards remain; they will be completed by Saturday.
</t>
    </r>
  </si>
  <si>
    <t>21st Dec to 25th Dec</t>
  </si>
  <si>
    <r>
      <rPr>
        <b/>
        <sz val="11"/>
        <color rgb="FF000000"/>
        <rFont val="Aptos Narrow"/>
        <family val="2"/>
        <scheme val="minor"/>
      </rPr>
      <t xml:space="preserve">Kuwait Fund – Procurement Projects - Gedaref
</t>
    </r>
    <r>
      <rPr>
        <sz val="11"/>
        <color rgb="FF000000"/>
        <rFont val="Aptos Narrow"/>
        <family val="2"/>
        <scheme val="minor"/>
      </rPr>
      <t xml:space="preserve">Contractor: Tihraga Engineering (2 sites)
•	Rehabilitation works at the Dalsa sites have reached 95%.
</t>
    </r>
    <r>
      <rPr>
        <b/>
        <sz val="11"/>
        <color rgb="FF000000"/>
        <rFont val="Aptos Narrow"/>
        <family val="2"/>
        <scheme val="minor"/>
      </rPr>
      <t xml:space="preserve">Kuwait Project (Trade Hook Co.) - River Nile
</t>
    </r>
    <r>
      <rPr>
        <sz val="11"/>
        <color rgb="FF000000"/>
        <rFont val="Aptos Narrow"/>
        <family val="2"/>
        <scheme val="minor"/>
      </rPr>
      <t xml:space="preserve">•  Hassania Water Yard: Completion of civil works 100% and </t>
    </r>
    <r>
      <rPr>
        <b/>
        <sz val="11"/>
        <color rgb="FF000000"/>
        <rFont val="Aptos Narrow"/>
        <family val="2"/>
        <scheme val="minor"/>
      </rPr>
      <t xml:space="preserve">will be commissioned this week
</t>
    </r>
    <r>
      <rPr>
        <sz val="11"/>
        <color rgb="FF000000"/>
        <rFont val="Aptos Narrow"/>
        <family val="2"/>
        <scheme val="minor"/>
      </rPr>
      <t xml:space="preserve">•  Al Matama Hospital &amp; Alababda Water Yard: Completion of civil works 100% and </t>
    </r>
    <r>
      <rPr>
        <b/>
        <sz val="11"/>
        <color rgb="FF000000"/>
        <rFont val="Aptos Narrow"/>
        <family val="2"/>
        <scheme val="minor"/>
      </rPr>
      <t xml:space="preserve">will be commissioned this week
</t>
    </r>
    <r>
      <rPr>
        <sz val="11"/>
        <color rgb="FF000000"/>
        <rFont val="Aptos Narrow"/>
        <family val="2"/>
        <scheme val="minor"/>
      </rPr>
      <t xml:space="preserve">•  Village 5 Water Yard: Finished casing work in borehole and ready for pumping test / 30% civil works. 
•  Gabati water yard: Completion of civil works 70 %. 
</t>
    </r>
    <r>
      <rPr>
        <b/>
        <sz val="11"/>
        <color rgb="FF000000"/>
        <rFont val="Aptos Narrow"/>
        <family val="2"/>
        <scheme val="minor"/>
      </rPr>
      <t xml:space="preserve">Civil Works for Rehabilitation and Provision of Solar System for 4 Water Yards in Sinnar State:
</t>
    </r>
    <r>
      <rPr>
        <sz val="11"/>
        <color rgb="FF000000"/>
        <rFont val="Aptos Narrow"/>
        <family val="2"/>
        <scheme val="minor"/>
      </rPr>
      <t xml:space="preserve">•   Completion 100 % of the solar system on 4 water yards.
</t>
    </r>
  </si>
  <si>
    <t>28th Dec to 31st Dec</t>
  </si>
  <si>
    <r>
      <rPr>
        <b/>
        <sz val="11"/>
        <color rgb="FF000000"/>
        <rFont val="Aptos Narrow"/>
        <family val="2"/>
        <scheme val="minor"/>
      </rPr>
      <t xml:space="preserve">Kuwait Fund – Procurement Projects - Gedaref
</t>
    </r>
    <r>
      <rPr>
        <sz val="11"/>
        <color rgb="FF000000"/>
        <rFont val="Aptos Narrow"/>
        <family val="2"/>
        <scheme val="minor"/>
      </rPr>
      <t xml:space="preserve">Contractor: Tihraga Engineering for Building Co. (2 sites)
•	Rehabilitation works at two sites in Dalse reached 95% and are ready for handover.
</t>
    </r>
    <r>
      <rPr>
        <b/>
        <sz val="11"/>
        <color rgb="FF000000"/>
        <rFont val="Aptos Narrow"/>
        <family val="2"/>
        <scheme val="minor"/>
      </rPr>
      <t xml:space="preserve">Kuwait Project (Trade Hook Co.) - River Nile
</t>
    </r>
    <r>
      <rPr>
        <sz val="11"/>
        <color rgb="FF000000"/>
        <rFont val="Aptos Narrow"/>
        <family val="2"/>
        <scheme val="minor"/>
      </rPr>
      <t xml:space="preserve">•  </t>
    </r>
    <r>
      <rPr>
        <b/>
        <sz val="11"/>
        <color rgb="FF000000"/>
        <rFont val="Aptos Narrow"/>
        <family val="2"/>
        <scheme val="minor"/>
      </rPr>
      <t>Al Matama Hospital &amp; Alababda Water Yard: Completion of civil works 100% and the system was tested and commissioned</t>
    </r>
    <r>
      <rPr>
        <sz val="11"/>
        <color rgb="FF000000"/>
        <rFont val="Aptos Narrow"/>
        <family val="2"/>
        <scheme val="minor"/>
      </rPr>
      <t xml:space="preserve">.  
•  Hassania Water Yard: Completion of civil works 100% and will be commissioned next week
•  Village 5 Water Yard: Finished casing work in borehole and ready for pumping test / 50% civil works. 
•  Gabati water yard: Completion of civil works 75 %. 
</t>
    </r>
    <r>
      <rPr>
        <b/>
        <sz val="11"/>
        <color rgb="FF000000"/>
        <rFont val="Aptos Narrow"/>
        <family val="2"/>
        <scheme val="minor"/>
      </rPr>
      <t xml:space="preserve">3. Provision of Solar Systems for 4 Water Yards in Sinnar State:
</t>
    </r>
    <r>
      <rPr>
        <sz val="11"/>
        <color rgb="FF000000"/>
        <rFont val="Aptos Narrow"/>
        <family val="2"/>
        <scheme val="minor"/>
      </rPr>
      <t>•	Technicians and three water committees were trained in three locations in Sinja and the Jalqani area on the operation and maintenance of solar systems.</t>
    </r>
  </si>
  <si>
    <t>4th Jan to 8th Jan</t>
  </si>
  <si>
    <t xml:space="preserve">Kuwait Fund – Procurement Projects - Gedaref
Contractor: Tihraga Engineering for Building Co. (2 sites)
•	Rehabilitation works at two sites in Dalse reached 95% completion; ready for handover.
OLD Kuwait Project (Trade Hook Co.) – 4 sites - River Nile
•                Al Matama Hospital &amp; Alababda Water Yard: 100% Completion of civil works of and the system was tested and commissioned.  
•                Hassania Water Yard: 100% Completion of civil works and the system was tested and commissioned
•                Village 5 Water Yard: 70% completion of civil works. 
•            Gabati water yard:  80 % Completion of civil works, Finished installation of the surface pump
3-  Provision of Solar Systems for Four (4) Water Yards in Sinnar State:
• Coordination was undertaken with the State Water Authority and the Water Stations Committee to organize a training workshop.
</t>
  </si>
  <si>
    <t>11th Jan to 15th Jan</t>
  </si>
  <si>
    <t xml:space="preserve">Kuwait Fund – Procurement Projects
Contractor: Tihraga Engineering for Building Co. (2 sites)
•	2 borehole wells sites at Dalse have reached 95% of the rehabilitation. Ready to be handed over.
OLD Kuwait Project (Trade Hook Co.) – 4 sites - River Nile
•                Al Matama Hospital &amp; Alababda Water Yard: 100% Completion of civil works of and the system was tested and commissioned.  
•                Hassania Water Yard: 100% Completion of civil works and the system was tested and commissioned
•                Village 5 Water Yard: 80% completion of civil works. Finished installation of the fence and the solar mounting structure.
•            Gabati water yard:  85 % Completion of civil works, Finished installation of the piping works
Old Kuwait-Funded Project – Sennar State:
•	The supply of materials for three water yards was completed (100%).
•	The State Water Authority decided to postpone the planned training workshop due to the current security situation in Sinja.
Old Kuwait-Funded Project – Al Jazirah State:
•	Drilling of the eighth well in the Isakn area was successfully completed.
•	Project materials were delivered to all designated sites.
•	Drilling works commenced one site at the Arkawit area.
•	Geophysical studies for four sites were completed.
</t>
  </si>
  <si>
    <t>18th Jan to 22nd Jan</t>
  </si>
  <si>
    <t xml:space="preserve">OLD Kuwait Project (Trade Hook Co.) – 4 sites 
•                Al Matama Hospital &amp; Alababda Water Yard: 100% Completion of civil works of and the system was tested and commissioned.  
•                Hassania Water Yard: 100% Completion of civil works and the system was tested and commissioned
•                Village 5 Water Yard: 100% completion of civil works.
•                Gabati water yard:  85 % Completion of civil works, 
Al Gazira State – Old Kuwait-Funded Project
Fadqouba Area
•	Borehole drilling works: 10%
•	Supply and installation of steel fence: 15%
Arkawit Area
•	Borehole drilling works: 100%
•	Supply and installation of steel fence: 35%
Mustafa Idris Area
•	Setting out for the foundation of the elevated tank: 100%
Umm Digarsi Area
•	Reinforced concrete (R.C.) works for the elevated tank foundation: 100%
•	Supply and installation of steel fence: 100%
Isakn Area
•	Borehole drilling works: 80%
•	Steel fence installation: 45%
Al-Halilah Village
•	Civil works and steel fence installation: 100% completed
Sennar State – Old Kuwait-Funded Project
Training Workshop
•	Concept note for the training of technicians and Water Committee has been submitted for approval.
Elmasoudia Area
•	Borehole drilling works: 10%
•	Excavation for the steel elevated water tank foundation: 40%
•	Setting out of strip foundation for the security room: 100%
Azaza and Bargo Areas
•	Installation of 6-inch HDPE water pipeline: 30%
Elramash Area
•	Overall civil works completion: 94%
•	Major activities including initial electrical installations: 100%
•	Steel boundary fencing and backfilling in the water yard area: 80%
</t>
  </si>
  <si>
    <t>25th Jan to 29th Jan</t>
  </si>
  <si>
    <t xml:space="preserve">OLD Kuwait Project (Trade Hook Co.) – 4 sites 
•                Al Matama Hospital &amp; Alababda Water Yard: 100% Completion of civil works of and the system was tested and commissioned.  
•                Hassania Water Yard: 100% Completion of civil works and the system was tested and commissioned
•                Village 5 Water Yard: 100% completion of civil works. the system was tested and commissioned
•                Gabati water yard: 90 % Completion of civil works, 
OLD KUWAIT - Gazira &amp; Sinnar States:
Fadqouba Area
•	Borehole drilling works: 50%
•	Supply and installation of steel fence: 50%
Arkawit Area
•	Excavation for foundation of elevated tank 100% 
•	 Borehole Drilling works 25%
Mustafa Idris Area
•	Steel Fence installation 15%
•	Excavation for foundation of elevated tank 50%
Umm Digarsi Area
•	Steel Structure works for elevated tank 50%
Iskan Area
•	Borehole drilling works: 90%
•	Steel fence installation: 100%
•	Rehabilitation of the elevated water tank 95% 
Al-Halilah Village
•	Steel Structure works for elevated tank 50%
Sennar State – Old Kuwait-Funded Project
Overall work completion for the targeted areas is 42%.
</t>
  </si>
  <si>
    <t>1st Feb to 5th Feb</t>
  </si>
  <si>
    <t xml:space="preserve">Kuwait Fund – Procurement Projects
Contractor: Tihraga Engineering for Building Co. (2 sites)
•	Rehabilitation of two borehole wells in Dalse has reached 98% and is ready for handover.
OLD Kuwait Project (Trade Hook Co.) – 4 sites - River Nile
•                Al Matama Hospital &amp; Alababda Water Yard: 100% Completion of civil works of and the system was tested and commissioned.  
•                Hassania Water Yard: 100% Completion of civil works and the system was tested and commissioned
•                Village 5 Water Yard: 100% completion of civil works. the system was tested and commissioned
•                Gabati water yard: 100 % Completion of civil works, the system was tested and commissioned
Old Kuwait Project – Al Gezira State
•	Construction, solarization of 3 new water yards, and rehabilitation of 5 water yards are ongoing, with overall progress at 20% across all targeted locations.
•	A concept note for capacity building of local authorities has been submitted for  review &amp; approval.
•	A training workshop for 8 communities on water and solar technologies has been submitted for approval.
Old Kuwait Project – Sinnar State
•	Construction, solarization, and rehabilitation of water yards are progressing, with overall completion at 50% in the targeted areas.
•	A training workshop for 7 communities on water and solar technologies has been submitted for approval.
</t>
  </si>
  <si>
    <t>8th Feb to 12th Feb</t>
  </si>
  <si>
    <t xml:space="preserve">Kuwait Project - River Nile:
•	Preparations for the WUA training workshop and the handover of the four rehabilitated water yards are currently underway
•	Drilling of the two new water yards is progressing well; drilling has been completed at one site and has now started at the second.
Old Kuwait Project – Al Gezira State
•	Construction, solarization of 3 new water yards, and rehabilitation of 5 water yards are ongoing, with overall progress at 70% across all targeted locations.
•	A concept note for capacity building of local authorities,  reviewed &amp; approved.
•	The concept note for a training workshop on water and solar technologies for 8 communities has been approved.
-&gt; The Bill of Quantities (BOQ) for technicians’ and engineers’ tools has been submitted for review and approval.
Old Kuwait Project – Sinnar State
•	Construction, solarization, and rehabilitation of water yards are progressing, with overall completion at 55% in the targeted areas.
•	The Bill of Quantities (BOQ) for the technicians' and engineers' tools &amp; training workshop, submitted for review.
</t>
  </si>
  <si>
    <t>15th Feb to 19th Feb</t>
  </si>
  <si>
    <t xml:space="preserve">Kuwait Fund – Procurement Projects - Gedaref
Contractor: Tihraga Engineering for Building Co. (2 sites)
•	Borehole wells No.1 site at Dalse have reached 100% of the rehabilitation. Ready for handover
•	Borehole wells No.11 site at Dalse have reached 100% of the rehabilitation. Ready for handover
Kuwait Project - River Nile
•                Preparations ongoing for WUA training and handover of four rehabilitated water yards.
•                Drilling of two new water yards Hewa Co.) progressing well: 
•	Sawarda water yard:  Drilling and casing work have been completed, and they are now installing the elevated water tank.
•	Om Bashim water Yard:  Drilling work have been completed, and casing works have commenced
Old Kuwait Project – Al Gezira State
•	Construction, solarization of 3 new water yards, and rehabilitation of 5 water yards are ongoing, with overall progress at 73% across all targeted locations.
•	PCA for capacity building of local authorities has been approved, documents submitted to finance to create the invoice in the system.
Old Kuwait Project – Sinnar State
•	Construction, solarization, and rehabilitation of water yards are progressing, with overall completion at 69% in the targeted areas.
•	A training workshop for 7communities on water and solar technologies has been approved, document shared with finance to create the invoice in the system.
</t>
  </si>
  <si>
    <t>22nd Feb to 26th Feb</t>
  </si>
  <si>
    <t>1st Mar to 5th Mar</t>
  </si>
  <si>
    <t xml:space="preserve">Kuwait Project
•      Preparations ongoing for WUA training and handover of four rehabilitated water yards.
Construction of two wasteyards:(Hewa Co.):
•      Sawarda: 35% progress; Drilling and pumping tests have been completed, and work is now underway on the elevated water tank.
•                Om Bashim: 35% progress; Drilling and pumping tests have been completed, and work is now underway on the elevated water tank.
Old Kuwait Project – Al Gezira State
•	Construction and solarization of three (3) new water yards, as well as rehabilitation of five (5) water yards, are ongoing. Overall progress has reached 79% across all targeted locations.
•	In coordination with the Water Corporation, a training workshop for the relevant authorities is scheduled for next week.
Old Kuwait Project – Sinnar State
•	Construction, solarization, and rehabilitation of water yards are progressing well, with overall completion reaching 80% in the targeted areas.
</t>
  </si>
  <si>
    <t>8th Mar to 12th Mar</t>
  </si>
  <si>
    <t xml:space="preserve">Kuwait Fund – Procurement Projects
Contractor: Tihraga Engineering for Building Co. (2 sites)
•	Borehole wells No.1 site at Dalse have reached 100% of the rehabilitation. Ready for handover
•	Borehole wells No.11 at Dalse have reached 100% of the rehabilitation. Ready for handover
</t>
  </si>
  <si>
    <t>15th Mar to 19th Mar</t>
  </si>
  <si>
    <t xml:space="preserve">Old Kuwait Project – Al Gezira State
•	Construction and solarization of three (3) new water yards, and rehabilitation of five (5) water yards,progress has reached 85% across all targeted locations.
•	50 Community Water and Solar Technicians trained on Sustainability and Cost Recovery Systems, for 8 communities. 
Old Kuwait Project – Sinnar State
•	Construction, solarization, and rehabilitation of water yards are progressing well, with overall completion reaching 88% in the targeted areas.
</t>
  </si>
  <si>
    <t>22nd Mar to 26th Mar</t>
  </si>
  <si>
    <t xml:space="preserve">Kuwait Project - Gedaref:
•  Preparations ongoing for WUA training and handover of four rehabilitated water yards.
Construction of two wasteyards:(Hewa Co.):
•  Sawarda: 45% progress; works are now underway on the elevated water tank. Solar mounting structure and fencing.
• Om Bashim: 40% progress; work is now underway on casting elevated water tank foundation
Old Kuwait Project – Al Gezira State
# Construction and solarization of three (3) new water yards, along with the rehabilitation of five (5) existing water yards, has been successfully completed.
Overall progress has reached 100% across all targeted locations.
Old Kuwait Project – Sinnar State
# Construction, solarization, and rehabilitation of water yards have been completed, with 100% completion achieved in the targeted areas.
# A training workshop for community water committees, water technicians, and solar systems was conducted on March 30–31, in coordination with the Sennar State Water Authority.
</t>
  </si>
  <si>
    <t>29th Mar to 2nd Apr</t>
  </si>
  <si>
    <r>
      <rPr>
        <sz val="11"/>
        <color rgb="FF000000"/>
        <rFont val="Aptos Narrow"/>
        <scheme val="minor"/>
      </rPr>
      <t xml:space="preserve"> Kuwait Project - River Nile:
•	WUA training workshop was Conducted, handover of four rehabilitated water yards will start this week.
•	Construction of two water yards:(Hewa Co.):
1-	  Sawarda: 85% progress. The system will be ready for testing and commissioning      this week 
2-	 Om Bashim: 85% progress. The system will be ready for testing and commissioning this week
Old Kuwait Project – Al Gezira State
•	Construction and solarization of three (3) new water yards, along with the rehabilitation of five (5) existing water yards, have been successfully completed.
•	Overall progress has reached 100% across all targeted locations.
•	Arrangements are currently being made with the Water Authority, local authorities in Kamleen and Hasasahya, and the targeted communities for project handover, scheduled for next week.
Old Kuwait Project – Sinnar State
•	Construction, solarization, and rehabilitation of water yards have been officially handed over to the Sinnar State Water Authority and the project beneficiary communities.
•	A training workshop for a total of  51 people of community water committees, water technicians, and solar energy systems was successfully conducted from March 30–31, in coordination with the Sinnar State Water Authority.
•	A total of ,27 members of water user committees, 18 technicians, and 6 engineers were trained.
</t>
    </r>
    <r>
      <rPr>
        <b/>
        <sz val="11"/>
        <color rgb="FF4EA72E"/>
        <rFont val="Aptos Narrow"/>
        <scheme val="minor"/>
      </rPr>
      <t xml:space="preserve">Old Kuwait Fund – Procurement Projects - Gedaref
</t>
    </r>
    <r>
      <rPr>
        <sz val="11"/>
        <color rgb="FF000000"/>
        <rFont val="Aptos Narrow"/>
        <scheme val="minor"/>
      </rPr>
      <t xml:space="preserve">Contractor: Tihraga Engineering for Building Co.
•	Boreholes No. 1 and No. 11 are completed and connected to the Dalasa water yard, now supplying water to the town. 
</t>
    </r>
  </si>
  <si>
    <t xml:space="preserve">State </t>
  </si>
  <si>
    <t>Locality</t>
  </si>
  <si>
    <t>Location of the water station</t>
  </si>
  <si>
    <t>Type of Water Intervention</t>
  </si>
  <si>
    <t>Site Coordinates</t>
  </si>
  <si>
    <t>Expected Drawdown (m)</t>
  </si>
  <si>
    <t>Pumping Setting Depth (F)</t>
  </si>
  <si>
    <t>Pump Selection Type &amp; Model</t>
  </si>
  <si>
    <t>Pump rated Power (kW)</t>
  </si>
  <si>
    <t>Solar Array Power (kWp)</t>
  </si>
  <si>
    <t>Number of Panels</t>
  </si>
  <si>
    <t>N. of hours it operates on solar system for borehole</t>
  </si>
  <si>
    <t>Water production rate per hour</t>
  </si>
  <si>
    <t>Water productivity rate (m³/day) of the borehole</t>
  </si>
  <si>
    <t>Water productivity per liter/day</t>
  </si>
  <si>
    <t>Number of beneficiaries of water stations (persons)</t>
  </si>
  <si>
    <t>Ready for Handover</t>
  </si>
  <si>
    <t>Handed Over</t>
  </si>
  <si>
    <t>Handover Date</t>
  </si>
  <si>
    <t xml:space="preserve">Sennar </t>
  </si>
  <si>
    <t>Singa</t>
  </si>
  <si>
    <t xml:space="preserve">Elseherg Area </t>
  </si>
  <si>
    <t>Rehabilitate, upgrade, and solarize existing non-functional water yards</t>
  </si>
  <si>
    <t>N13.149135     E33.935121</t>
  </si>
  <si>
    <t>DAB-SS6C 04-3inch</t>
  </si>
  <si>
    <t xml:space="preserve">7.5kw </t>
  </si>
  <si>
    <t>11 kWp</t>
  </si>
  <si>
    <t xml:space="preserve">Yes </t>
  </si>
  <si>
    <t>Elsalam Area</t>
  </si>
  <si>
    <t>N13.129788  E33.941266</t>
  </si>
  <si>
    <t>DAB-SS6C 03-2inch</t>
  </si>
  <si>
    <t>Block 150</t>
  </si>
  <si>
    <t xml:space="preserve">N13.126113  E33.922401 </t>
  </si>
  <si>
    <t>DAB-SS6C 25-2inch</t>
  </si>
  <si>
    <t>Abu Hajar</t>
  </si>
  <si>
    <t>Galgani Area</t>
  </si>
  <si>
    <t>N12.444219  E34.227641     N12.444204  E34.227563</t>
  </si>
  <si>
    <t>1.4              0.9</t>
  </si>
  <si>
    <t>300             320</t>
  </si>
  <si>
    <t xml:space="preserve">Village Elmasoudia </t>
  </si>
  <si>
    <t>Construct and solarize  new Water Yards</t>
  </si>
  <si>
    <t>N 13.1888163 E33.882024</t>
  </si>
  <si>
    <t>Village Elramash</t>
  </si>
  <si>
    <t>N 13.2570107 E33.879532</t>
  </si>
  <si>
    <t>Wad Al-Abbas</t>
  </si>
  <si>
    <t>New water network construction</t>
  </si>
  <si>
    <t>N 13.1345457 E33.922779</t>
  </si>
  <si>
    <t xml:space="preserve">1850 ML </t>
  </si>
  <si>
    <t>PIPELINES</t>
  </si>
  <si>
    <t>Gazira</t>
  </si>
  <si>
    <t xml:space="preserve"> Al Kamlin</t>
  </si>
  <si>
    <t>Fadqouba Area</t>
  </si>
  <si>
    <t>N15.073716  E32.784898</t>
  </si>
  <si>
    <t>20/04/2026</t>
  </si>
  <si>
    <t>31/03/2026</t>
  </si>
  <si>
    <t xml:space="preserve">Hasahisa </t>
  </si>
  <si>
    <t>Arkawit Area</t>
  </si>
  <si>
    <t>S</t>
  </si>
  <si>
    <t xml:space="preserve"> Alribea Area</t>
  </si>
  <si>
    <t>N14.991021  E32.808842</t>
  </si>
  <si>
    <t>DAB-SS6C 4-3inch</t>
  </si>
  <si>
    <t>Sha'edin area</t>
  </si>
  <si>
    <t>N14.55047 E33.286893</t>
  </si>
  <si>
    <t>Mustafa Idris Area</t>
  </si>
  <si>
    <t>N 15.073716 E32.842899</t>
  </si>
  <si>
    <t>Umm Digarsi Area</t>
  </si>
  <si>
    <t>N 14.996434  E33.227451</t>
  </si>
  <si>
    <t>Al-Halilah Village</t>
  </si>
  <si>
    <t>N 15.101357 E33.173093</t>
  </si>
  <si>
    <t>Greater Medani</t>
  </si>
  <si>
    <t>Alsakn Area</t>
  </si>
  <si>
    <t xml:space="preserve"> N 14.4261422 E33.618002</t>
  </si>
  <si>
    <t>River Nile</t>
  </si>
  <si>
    <t>Ad-Damer</t>
  </si>
  <si>
    <t xml:space="preserve">Alsayal/ Bashim Area </t>
  </si>
  <si>
    <t>N17 33 33 
E 33 51 57</t>
  </si>
  <si>
    <t>NOVA -Brand NSP14A-3inch</t>
  </si>
  <si>
    <t>11.36 kWp</t>
  </si>
  <si>
    <t>Almatama</t>
  </si>
  <si>
    <t xml:space="preserve"> Alsawarid  Area</t>
  </si>
  <si>
    <t xml:space="preserve">N:16.779146
E:  33.543268
</t>
  </si>
  <si>
    <t>Yes</t>
  </si>
  <si>
    <t xml:space="preserve">River Nile </t>
  </si>
  <si>
    <t xml:space="preserve">Gabati </t>
  </si>
  <si>
    <t xml:space="preserve">N: 17.197896
E:  33.760118
</t>
  </si>
  <si>
    <t>Surface pumps</t>
  </si>
  <si>
    <t>Caprari -826731/1 (23-58 L/s- 100 m head)</t>
  </si>
  <si>
    <t>55 KW - Electric pump
2*7.5 kW - Solar Pump</t>
  </si>
  <si>
    <t>17.04 kWp</t>
  </si>
  <si>
    <t>Almatama Hospital</t>
  </si>
  <si>
    <t>N: 16.719635   E: 33.366085</t>
  </si>
  <si>
    <t>10 HP</t>
  </si>
  <si>
    <t>180 m3/day</t>
  </si>
  <si>
    <t>Hassania Alrihid</t>
  </si>
  <si>
    <t>N: 17.458311    E:  33.807184</t>
  </si>
  <si>
    <t>Almnasir village 5</t>
  </si>
  <si>
    <t>N 17.466898 E33.995114</t>
  </si>
  <si>
    <t>Shakti 115 m Head</t>
  </si>
  <si>
    <t>15 kW</t>
  </si>
  <si>
    <t>21.3 kWp</t>
  </si>
  <si>
    <t>Gedaref</t>
  </si>
  <si>
    <t>El Guresha </t>
  </si>
  <si>
    <t>Barbar Elfugra</t>
  </si>
  <si>
    <t>N 13.644320 - E 36.139440</t>
  </si>
  <si>
    <t>Gedaref town</t>
  </si>
  <si>
    <t>Dalase Bore 1</t>
  </si>
  <si>
    <t>N 14.027389 - E 35.428257</t>
  </si>
  <si>
    <t>Metro 95MR8 N/13</t>
  </si>
  <si>
    <t>2.2 KW - 3HP</t>
  </si>
  <si>
    <t>Wasat Elgedaref</t>
  </si>
  <si>
    <t>Dalase Bore 2</t>
  </si>
  <si>
    <t>N 14.025338 - E 35.422123</t>
  </si>
  <si>
    <t>5m</t>
  </si>
  <si>
    <t>No.</t>
  </si>
  <si>
    <t>State</t>
  </si>
  <si>
    <t>Community</t>
  </si>
  <si>
    <t>Name</t>
  </si>
  <si>
    <t>Gender</t>
  </si>
  <si>
    <t>Age</t>
  </si>
  <si>
    <t>Type of Support</t>
  </si>
  <si>
    <t>JointProgram</t>
  </si>
  <si>
    <t>Cross-Pillar</t>
  </si>
  <si>
    <t>SupportProject</t>
  </si>
  <si>
    <t>YearofSupport</t>
  </si>
  <si>
    <t>Sennar</t>
  </si>
  <si>
    <t>Sinja</t>
  </si>
  <si>
    <t>Al-Masoudiya Village</t>
  </si>
  <si>
    <t>Al-Daw Mohammed Zein Ahmed</t>
  </si>
  <si>
    <t>Male</t>
  </si>
  <si>
    <t>Drinking Water</t>
  </si>
  <si>
    <t>No</t>
  </si>
  <si>
    <t>Kuwait-447</t>
  </si>
  <si>
    <t xml:space="preserve"> Nasriya Mohammed Musa</t>
  </si>
  <si>
    <t>Female</t>
  </si>
  <si>
    <t>Jawahir Muhammad Hamid</t>
  </si>
  <si>
    <t>Al-Ramash villages</t>
  </si>
  <si>
    <t>Khalil Al-Sayed Ahmed</t>
  </si>
  <si>
    <t>Sawsan Othman Mohammed</t>
  </si>
  <si>
    <t xml:space="preserve"> Hawa Abdelrahman Idris</t>
  </si>
  <si>
    <t xml:space="preserve">Block 150 </t>
  </si>
  <si>
    <t xml:space="preserve"> Afif Mohammed Noum</t>
  </si>
  <si>
    <t>Hasib Yahya Ali</t>
  </si>
  <si>
    <t>Shahrzar Muhammad Haballah</t>
  </si>
  <si>
    <t>Al-Salam Neighborhood</t>
  </si>
  <si>
    <t>Hamdan Ahmed Ibrahim</t>
  </si>
  <si>
    <t>Suwamer Al-Nazir Hassan</t>
  </si>
  <si>
    <t>Mahasin,Abdelrahim MohAmmed</t>
  </si>
  <si>
    <t>Barqo Wad Al-Abbas Block 166</t>
  </si>
  <si>
    <t xml:space="preserve"> Abdelrahman Toto Daldoum</t>
  </si>
  <si>
    <t xml:space="preserve">Ezzeldin OthmanAli </t>
  </si>
  <si>
    <t>Mahla Ibrahim Ali</t>
  </si>
  <si>
    <t>ALusharjet</t>
  </si>
  <si>
    <t>Qasim Ahmed Ibrahim</t>
  </si>
  <si>
    <t>Banqa Muhammad Al</t>
  </si>
  <si>
    <t>Ashraf Al-Taher</t>
  </si>
  <si>
    <t>Jalqani village</t>
  </si>
  <si>
    <t>Bashir Al-Nour Bakhit</t>
  </si>
  <si>
    <t>Siddig Abdel Shard Siddig</t>
  </si>
  <si>
    <t>Hussein Othman Mohammed Saeed</t>
  </si>
  <si>
    <t>Al Jazeera</t>
  </si>
  <si>
    <t>Al-Hasahisa</t>
  </si>
  <si>
    <t>Al-Rbah village</t>
  </si>
  <si>
    <t>Rashid Suleiman</t>
  </si>
  <si>
    <t>Idris Haroun</t>
  </si>
  <si>
    <t>Mohammad Fadl Al-Sayyid</t>
  </si>
  <si>
    <t>Fakhr Al-Din Zarqan</t>
  </si>
  <si>
    <t>Al-Kamilin locality</t>
  </si>
  <si>
    <t>Umm Daqrasi village</t>
  </si>
  <si>
    <t>Emad Al-Junaid</t>
  </si>
  <si>
    <t>Mohammad Hassan Muhammad</t>
  </si>
  <si>
    <t>Haider Al-Amin</t>
  </si>
  <si>
    <t>Aref Mustafa</t>
  </si>
  <si>
    <t>Al-Halila village</t>
  </si>
  <si>
    <t>Najm al-Din Ahmad Muhammad</t>
  </si>
  <si>
    <t>Lutfi Jad Karim Hamad</t>
  </si>
  <si>
    <t>Muzammil Muhammad Mahmoud</t>
  </si>
  <si>
    <t>Fadoqouba village</t>
  </si>
  <si>
    <t>Othman Ahmed Omar</t>
  </si>
  <si>
    <t>Abdulmonem Ibrahim Dhu Al-Nun</t>
  </si>
  <si>
    <t>Mohamed Gadallah Taha</t>
  </si>
  <si>
    <t>Idris Mustafa Village</t>
  </si>
  <si>
    <t>Shawqi Qasim Al-Fadil Ahmed</t>
  </si>
  <si>
    <t>Abdullah Sheikh Idris</t>
  </si>
  <si>
    <t>Arkawit neighborhood</t>
  </si>
  <si>
    <t>Jalal al-Din al-Qurashi</t>
  </si>
  <si>
    <t>Muhammad Ibrahim Muhammad</t>
  </si>
  <si>
    <t>Farouk Al-Amin Mustafa</t>
  </si>
  <si>
    <t>Faisal Jamaa</t>
  </si>
  <si>
    <t>Sha'a Al-Din Village</t>
  </si>
  <si>
    <t>Nasr al-Din Abd al-Rahman Muhammad</t>
  </si>
  <si>
    <t>Mutawakkil Ahmad Fadl Al-Mawla</t>
  </si>
  <si>
    <t>Wad Madani</t>
  </si>
  <si>
    <t>Muhtadi Al-Sunni</t>
  </si>
  <si>
    <t>Mirghani Mahmoud</t>
  </si>
  <si>
    <t>Tanqa Muhammad</t>
  </si>
  <si>
    <t xml:space="preserve">Al-matma </t>
  </si>
  <si>
    <t xml:space="preserve">ALSAWARD </t>
  </si>
  <si>
    <t xml:space="preserve">Amaer osaman al-alem </t>
  </si>
  <si>
    <t>Nagi abdallah mohammed ahmed</t>
  </si>
  <si>
    <t xml:space="preserve">Murtada bader saad </t>
  </si>
  <si>
    <t xml:space="preserve">Ezzaldeen abdalhadi </t>
  </si>
  <si>
    <t xml:space="preserve">Mohammed salih rahmtallah </t>
  </si>
  <si>
    <t xml:space="preserve">Abd-alghdeer alma'amuon ahmed </t>
  </si>
  <si>
    <t xml:space="preserve">Abdalmoun'm ahmed mohammed </t>
  </si>
  <si>
    <t xml:space="preserve">Mohammed abdalseed mohammed </t>
  </si>
  <si>
    <t xml:space="preserve">Dar algalal mahjoub </t>
  </si>
  <si>
    <t xml:space="preserve">Mustafa bader sa'ad </t>
  </si>
  <si>
    <t xml:space="preserve">Yassmen hassan khalf allah </t>
  </si>
  <si>
    <t xml:space="preserve">Al-samani AL-saeed al-samani </t>
  </si>
  <si>
    <t xml:space="preserve">Amir osman ali hammed </t>
  </si>
  <si>
    <t>ALIA HOSPITAL</t>
  </si>
  <si>
    <t xml:space="preserve">Mohammed sadeeq </t>
  </si>
  <si>
    <t xml:space="preserve">Sanhuory isa'a </t>
  </si>
  <si>
    <t xml:space="preserve">Male </t>
  </si>
  <si>
    <t xml:space="preserve">Ali mohammed ali </t>
  </si>
  <si>
    <t xml:space="preserve">Ali mohammed salih </t>
  </si>
  <si>
    <t xml:space="preserve">Muntaser khalf allah </t>
  </si>
  <si>
    <t>QABATI</t>
  </si>
  <si>
    <t xml:space="preserve">Abaas haasan abaas </t>
  </si>
  <si>
    <t xml:space="preserve">Abod moahhmed  </t>
  </si>
  <si>
    <t xml:space="preserve">Salah mohammed al-mardi </t>
  </si>
  <si>
    <t xml:space="preserve">Al-tayeb abdallah </t>
  </si>
  <si>
    <t xml:space="preserve">Ahmed babiker </t>
  </si>
  <si>
    <t>nouraldeen ahmed</t>
  </si>
  <si>
    <t xml:space="preserve">Ahmed al-seed ali </t>
  </si>
  <si>
    <t xml:space="preserve">Akram mohammed dafallah </t>
  </si>
  <si>
    <t xml:space="preserve">Insaf abdalghani </t>
  </si>
  <si>
    <t>VILLAG 5</t>
  </si>
  <si>
    <t xml:space="preserve">Ibrahim hassan salih ali </t>
  </si>
  <si>
    <t xml:space="preserve">Abd alhamid hasssan </t>
  </si>
  <si>
    <t xml:space="preserve">Khalid hamed </t>
  </si>
  <si>
    <t xml:space="preserve">Samer mohammed  ahmed </t>
  </si>
  <si>
    <t xml:space="preserve">Yahia ibrahim hassan </t>
  </si>
  <si>
    <t xml:space="preserve">Mohammed ahmed khider </t>
  </si>
  <si>
    <t xml:space="preserve">Abd algodous mohammed suliman </t>
  </si>
  <si>
    <t xml:space="preserve">AL-SAyAL </t>
  </si>
  <si>
    <t xml:space="preserve">Mohammed omer dafalseed </t>
  </si>
  <si>
    <t xml:space="preserve">Osman fadal-mula </t>
  </si>
  <si>
    <t xml:space="preserve">Ghulam-Aldeen mohammed omer </t>
  </si>
  <si>
    <t xml:space="preserve">Mohammed ali salih </t>
  </si>
  <si>
    <t>Osman Al-Abed</t>
  </si>
  <si>
    <t xml:space="preserve">AL-REHID </t>
  </si>
  <si>
    <t xml:space="preserve">Abdo ali idris </t>
  </si>
  <si>
    <t xml:space="preserve">Abdallah mansour </t>
  </si>
  <si>
    <t>Hamed mansour mohammed</t>
  </si>
  <si>
    <t xml:space="preserve">Bala saeed salih </t>
  </si>
  <si>
    <t xml:space="preserve">Alomda awad alseed </t>
  </si>
  <si>
    <t xml:space="preserve">Hassan abdalghader  ragb  </t>
  </si>
  <si>
    <t>Alabd balola ala'as</t>
  </si>
  <si>
    <t>Elguresha</t>
  </si>
  <si>
    <t>Abdalla Ibrahim Yahya</t>
  </si>
  <si>
    <t>Adam Ishaq Dahiya</t>
  </si>
  <si>
    <t>Alkhair Bakheit Mohamed</t>
  </si>
  <si>
    <t>Dafalla Abdalla Adam</t>
  </si>
  <si>
    <t>Mohamed Mahmod Rajlein</t>
  </si>
  <si>
    <t>Gedaref Town</t>
  </si>
  <si>
    <t>Dalasa 1</t>
  </si>
  <si>
    <t>Ezeldeen Abdalla Aljack</t>
  </si>
  <si>
    <t>Younis Ibrahim Aljak Alebaid</t>
  </si>
  <si>
    <t>Abdalla Sirelkhatim Babiker</t>
  </si>
  <si>
    <t>Alhasab Ahmed Mohamed Abdalla</t>
  </si>
  <si>
    <t>Sabil Abakar Mursal Dod</t>
  </si>
  <si>
    <t>Ali Ahmed Maala Adam</t>
  </si>
  <si>
    <t>Fadoul Nasir Abdulkarim</t>
  </si>
  <si>
    <t>2 sets for each Water Users Association (WUA), totaling 12 sets.</t>
  </si>
  <si>
    <t>3 sets for the River Nile State Water Corporation (RNSWC)</t>
  </si>
  <si>
    <t>IP</t>
  </si>
  <si>
    <t>Town/Community</t>
  </si>
  <si>
    <t>UNDP_RR</t>
  </si>
  <si>
    <t>Al Kamlin</t>
  </si>
  <si>
    <t>Al-Damer</t>
  </si>
  <si>
    <t>Al-Matama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</si>
</sst>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[$$-409]* #,##0.00_);_([$$-409]* \(#,##0.00\);_([$$-409]* &quot;-&quot;??_);_(@_)"/>
  </numFmts>
  <fonts count="35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000000"/>
      <name val="Aptos Narrow"/>
      <family val="2"/>
      <scheme val="minor"/>
    </font>
    <font>
      <sz val="11"/>
      <color rgb="FF000000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8"/>
      <color rgb="FF13447B"/>
      <name val="Bahnschrift"/>
      <family val="2"/>
    </font>
    <font>
      <b/>
      <sz val="16"/>
      <color rgb="FF13447B"/>
      <name val="Bahnschrift"/>
      <family val="2"/>
    </font>
    <font>
      <sz val="18"/>
      <color rgb="FF262626"/>
      <name val="Bahnschrift"/>
      <family val="2"/>
    </font>
    <font>
      <b/>
      <sz val="16"/>
      <color rgb="FF0F4E66"/>
      <name val="Bahnschrift"/>
      <family val="2"/>
    </font>
    <font>
      <b/>
      <sz val="11"/>
      <color rgb="FF262626"/>
      <name val="Calibri"/>
      <family val="2"/>
    </font>
    <font>
      <sz val="11"/>
      <color rgb="FF262626"/>
      <name val="Calibri"/>
      <family val="2"/>
    </font>
    <font>
      <sz val="16"/>
      <color rgb="FF13447B"/>
      <name val="Bahnschrift"/>
      <family val="2"/>
    </font>
    <font>
      <sz val="11"/>
      <color rgb="FFF2F2F2"/>
      <name val="Calibri"/>
      <family val="2"/>
    </font>
    <font>
      <sz val="11"/>
      <color rgb="FFFFFFFF"/>
      <name val="Calibri"/>
      <family val="2"/>
    </font>
    <font>
      <b/>
      <sz val="11"/>
      <color rgb="FFFFFFFF"/>
      <name val="Calibri"/>
      <family val="2"/>
    </font>
    <font>
      <sz val="11"/>
      <color rgb="FFC18D04"/>
      <name val="Calibri"/>
      <family val="2"/>
    </font>
    <font>
      <b/>
      <sz val="1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  <font>
      <sz val="10"/>
      <color rgb="FF00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sz val="11"/>
      <color rgb="FF000000"/>
      <name val="Aptos Narrow"/>
      <scheme val="minor"/>
    </font>
    <font>
      <b/>
      <sz val="11"/>
      <color rgb="FF4EA72E"/>
      <name val="Aptos Narrow"/>
      <scheme val="minor"/>
    </font>
    <font>
      <b/>
      <sz val="11"/>
      <name val="Aptos"/>
      <charset val="1"/>
    </font>
    <font>
      <b/>
      <sz val="12"/>
      <color rgb="FFC00000"/>
      <name val="Calibri"/>
      <family val="2"/>
    </font>
    <font>
      <b/>
      <sz val="11"/>
      <color rgb="FF000000"/>
      <name val="Aptos Narrow"/>
    </font>
    <font>
      <sz val="11"/>
      <color rgb="FF000000"/>
      <name val="Aptos Narrow"/>
    </font>
    <font>
      <b/>
      <sz val="12"/>
      <color rgb="FF000000"/>
      <name val="Calibri"/>
      <family val="2"/>
    </font>
    <font>
      <sz val="11"/>
      <color rgb="FF000000"/>
      <name val="Aptos Narrow"/>
      <family val="2"/>
    </font>
    <font>
      <b/>
      <sz val="12"/>
      <color rgb="FF000000"/>
      <name val="Arial"/>
      <charset val="134"/>
    </font>
    <font>
      <sz val="12"/>
      <color rgb="FF000000"/>
      <name val="Arial"/>
      <charset val="134"/>
    </font>
    <font>
      <sz val="12"/>
      <color rgb="FF000000"/>
      <name val="Arial"/>
      <family val="2"/>
    </font>
    <font>
      <sz val="12"/>
      <color theme="1"/>
      <name val="Aptos"/>
      <family val="2"/>
      <charset val="1"/>
    </font>
  </fonts>
  <fills count="25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C9C9C9"/>
        <bgColor rgb="FF000000"/>
      </patternFill>
    </fill>
    <fill>
      <patternFill patternType="solid">
        <fgColor rgb="FFF2F2F2"/>
        <bgColor rgb="FF000000"/>
      </patternFill>
    </fill>
    <fill>
      <patternFill patternType="solid">
        <fgColor rgb="FF208EE5"/>
        <bgColor rgb="FF000000"/>
      </patternFill>
    </fill>
    <fill>
      <patternFill patternType="solid">
        <fgColor rgb="FF66AFEC"/>
        <bgColor rgb="FF000000"/>
      </patternFill>
    </fill>
    <fill>
      <patternFill patternType="solid">
        <fgColor rgb="FFA6D1F4"/>
        <bgColor rgb="FF000000"/>
      </patternFill>
    </fill>
    <fill>
      <patternFill patternType="solid">
        <fgColor rgb="FFD8DBE4"/>
        <bgColor rgb="FF000000"/>
      </patternFill>
    </fill>
    <fill>
      <patternFill patternType="solid">
        <fgColor rgb="FFD9D9D9"/>
        <bgColor rgb="FF000000"/>
      </patternFill>
    </fill>
    <fill>
      <patternFill patternType="solid">
        <fgColor rgb="FF13447B"/>
        <bgColor rgb="FF000000"/>
      </patternFill>
    </fill>
    <fill>
      <patternFill patternType="solid">
        <fgColor rgb="FFF2F2F2"/>
        <bgColor rgb="FFD9D9D9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FFFFFF"/>
        <bgColor rgb="FFB0C4DE"/>
      </patternFill>
    </fill>
    <fill>
      <patternFill patternType="solid">
        <fgColor theme="0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rgb="FF000000"/>
      </bottom>
      <diagonal/>
    </border>
    <border>
      <left/>
      <right/>
      <top/>
      <bottom style="medium">
        <color rgb="FF1E9ECD"/>
      </bottom>
      <diagonal/>
    </border>
    <border>
      <left/>
      <right/>
      <top style="thin">
        <color rgb="FF262626"/>
      </top>
      <bottom style="thin">
        <color rgb="FF262626"/>
      </bottom>
      <diagonal/>
    </border>
    <border>
      <left/>
      <right/>
      <top/>
      <bottom style="thin">
        <color rgb="FF26262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auto="1"/>
      </left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116">
    <xf numFmtId="0" fontId="0" fillId="0" borderId="0" xfId="0"/>
    <xf numFmtId="0" fontId="0" fillId="0" borderId="1" xfId="0" applyBorder="1" applyAlignment="1">
      <alignment vertical="center" wrapText="1"/>
    </xf>
    <xf numFmtId="0" fontId="0" fillId="0" borderId="1" xfId="0" applyBorder="1"/>
    <xf numFmtId="0" fontId="0" fillId="0" borderId="1" xfId="0" applyBorder="1" applyAlignment="1">
      <alignment wrapText="1"/>
    </xf>
    <xf numFmtId="0" fontId="0" fillId="0" borderId="0" xfId="0" applyAlignment="1">
      <alignment wrapText="1"/>
    </xf>
    <xf numFmtId="0" fontId="3" fillId="2" borderId="1" xfId="0" applyFont="1" applyFill="1" applyBorder="1" applyAlignment="1">
      <alignment wrapText="1"/>
    </xf>
    <xf numFmtId="0" fontId="4" fillId="0" borderId="0" xfId="0" applyFont="1" applyAlignment="1">
      <alignment vertical="top" wrapText="1"/>
    </xf>
    <xf numFmtId="15" fontId="0" fillId="0" borderId="1" xfId="0" applyNumberFormat="1" applyBorder="1"/>
    <xf numFmtId="0" fontId="5" fillId="0" borderId="1" xfId="0" applyFont="1" applyBorder="1" applyAlignment="1">
      <alignment wrapText="1"/>
    </xf>
    <xf numFmtId="0" fontId="3" fillId="2" borderId="1" xfId="0" applyFont="1" applyFill="1" applyBorder="1" applyAlignment="1">
      <alignment horizontal="left" vertical="top" wrapText="1"/>
    </xf>
    <xf numFmtId="44" fontId="0" fillId="0" borderId="1" xfId="1" applyFont="1" applyBorder="1"/>
    <xf numFmtId="0" fontId="3" fillId="2" borderId="2" xfId="0" applyFont="1" applyFill="1" applyBorder="1" applyAlignment="1">
      <alignment wrapText="1"/>
    </xf>
    <xf numFmtId="0" fontId="6" fillId="3" borderId="0" xfId="0" applyFont="1" applyFill="1"/>
    <xf numFmtId="0" fontId="8" fillId="5" borderId="3" xfId="0" applyFont="1" applyFill="1" applyBorder="1"/>
    <xf numFmtId="0" fontId="9" fillId="5" borderId="3" xfId="0" applyFont="1" applyFill="1" applyBorder="1"/>
    <xf numFmtId="0" fontId="10" fillId="6" borderId="0" xfId="0" applyFont="1" applyFill="1"/>
    <xf numFmtId="0" fontId="10" fillId="7" borderId="0" xfId="0" applyFont="1" applyFill="1"/>
    <xf numFmtId="0" fontId="11" fillId="0" borderId="0" xfId="0" applyFont="1"/>
    <xf numFmtId="0" fontId="11" fillId="6" borderId="0" xfId="0" applyFont="1" applyFill="1"/>
    <xf numFmtId="0" fontId="11" fillId="7" borderId="0" xfId="0" applyFont="1" applyFill="1"/>
    <xf numFmtId="0" fontId="11" fillId="9" borderId="0" xfId="0" applyFont="1" applyFill="1"/>
    <xf numFmtId="0" fontId="11" fillId="4" borderId="0" xfId="0" applyFont="1" applyFill="1"/>
    <xf numFmtId="14" fontId="11" fillId="4" borderId="0" xfId="0" applyNumberFormat="1" applyFont="1" applyFill="1"/>
    <xf numFmtId="9" fontId="13" fillId="0" borderId="0" xfId="0" applyNumberFormat="1" applyFont="1"/>
    <xf numFmtId="0" fontId="14" fillId="10" borderId="0" xfId="0" applyFont="1" applyFill="1"/>
    <xf numFmtId="0" fontId="15" fillId="10" borderId="4" xfId="0" applyFont="1" applyFill="1" applyBorder="1"/>
    <xf numFmtId="0" fontId="11" fillId="11" borderId="0" xfId="0" applyFont="1" applyFill="1"/>
    <xf numFmtId="14" fontId="11" fillId="11" borderId="0" xfId="0" applyNumberFormat="1" applyFont="1" applyFill="1"/>
    <xf numFmtId="9" fontId="11" fillId="11" borderId="0" xfId="0" applyNumberFormat="1" applyFont="1" applyFill="1"/>
    <xf numFmtId="0" fontId="16" fillId="11" borderId="0" xfId="0" applyFont="1" applyFill="1"/>
    <xf numFmtId="14" fontId="11" fillId="0" borderId="0" xfId="0" applyNumberFormat="1" applyFont="1"/>
    <xf numFmtId="9" fontId="11" fillId="0" borderId="0" xfId="0" applyNumberFormat="1" applyFont="1"/>
    <xf numFmtId="0" fontId="16" fillId="0" borderId="0" xfId="0" applyFont="1"/>
    <xf numFmtId="0" fontId="15" fillId="5" borderId="0" xfId="0" applyFont="1" applyFill="1"/>
    <xf numFmtId="0" fontId="14" fillId="5" borderId="0" xfId="0" applyFont="1" applyFill="1"/>
    <xf numFmtId="0" fontId="11" fillId="5" borderId="0" xfId="0" applyFont="1" applyFill="1"/>
    <xf numFmtId="0" fontId="16" fillId="5" borderId="0" xfId="0" applyFont="1" applyFill="1"/>
    <xf numFmtId="0" fontId="15" fillId="5" borderId="5" xfId="0" applyFont="1" applyFill="1" applyBorder="1"/>
    <xf numFmtId="0" fontId="14" fillId="5" borderId="5" xfId="0" applyFont="1" applyFill="1" applyBorder="1"/>
    <xf numFmtId="0" fontId="11" fillId="5" borderId="5" xfId="0" applyFont="1" applyFill="1" applyBorder="1"/>
    <xf numFmtId="0" fontId="16" fillId="5" borderId="5" xfId="0" applyFont="1" applyFill="1" applyBorder="1"/>
    <xf numFmtId="0" fontId="2" fillId="12" borderId="1" xfId="0" applyFont="1" applyFill="1" applyBorder="1" applyAlignment="1">
      <alignment wrapText="1"/>
    </xf>
    <xf numFmtId="0" fontId="2" fillId="13" borderId="0" xfId="0" applyFont="1" applyFill="1"/>
    <xf numFmtId="0" fontId="0" fillId="14" borderId="0" xfId="0" applyFill="1"/>
    <xf numFmtId="164" fontId="0" fillId="0" borderId="1" xfId="0" applyNumberFormat="1" applyBorder="1"/>
    <xf numFmtId="164" fontId="0" fillId="0" borderId="1" xfId="0" applyNumberFormat="1" applyBorder="1" applyAlignment="1">
      <alignment wrapText="1"/>
    </xf>
    <xf numFmtId="0" fontId="17" fillId="18" borderId="6" xfId="0" applyFont="1" applyFill="1" applyBorder="1" applyAlignment="1">
      <alignment wrapText="1"/>
    </xf>
    <xf numFmtId="0" fontId="21" fillId="18" borderId="0" xfId="0" applyFont="1" applyFill="1" applyAlignment="1">
      <alignment wrapText="1"/>
    </xf>
    <xf numFmtId="0" fontId="18" fillId="0" borderId="0" xfId="0" applyFont="1" applyAlignment="1">
      <alignment wrapText="1"/>
    </xf>
    <xf numFmtId="0" fontId="19" fillId="17" borderId="6" xfId="0" applyFont="1" applyFill="1" applyBorder="1" applyAlignment="1">
      <alignment wrapText="1"/>
    </xf>
    <xf numFmtId="0" fontId="20" fillId="0" borderId="6" xfId="0" applyFont="1" applyBorder="1" applyAlignment="1">
      <alignment wrapText="1"/>
    </xf>
    <xf numFmtId="0" fontId="19" fillId="0" borderId="6" xfId="0" applyFont="1" applyBorder="1" applyAlignment="1">
      <alignment wrapText="1"/>
    </xf>
    <xf numFmtId="9" fontId="22" fillId="0" borderId="6" xfId="0" applyNumberFormat="1" applyFont="1" applyBorder="1" applyAlignment="1">
      <alignment wrapText="1"/>
    </xf>
    <xf numFmtId="0" fontId="11" fillId="15" borderId="0" xfId="0" applyFont="1" applyFill="1"/>
    <xf numFmtId="0" fontId="16" fillId="15" borderId="0" xfId="0" applyFont="1" applyFill="1"/>
    <xf numFmtId="0" fontId="6" fillId="3" borderId="0" xfId="0" applyFont="1" applyFill="1" applyAlignment="1">
      <alignment wrapText="1"/>
    </xf>
    <xf numFmtId="9" fontId="4" fillId="2" borderId="6" xfId="0" applyNumberFormat="1" applyFont="1" applyFill="1" applyBorder="1" applyAlignment="1">
      <alignment wrapText="1"/>
    </xf>
    <xf numFmtId="0" fontId="4" fillId="0" borderId="6" xfId="0" applyFont="1" applyBorder="1" applyAlignment="1">
      <alignment wrapText="1"/>
    </xf>
    <xf numFmtId="0" fontId="4" fillId="2" borderId="6" xfId="0" applyFont="1" applyFill="1" applyBorder="1" applyAlignment="1">
      <alignment wrapText="1"/>
    </xf>
    <xf numFmtId="15" fontId="0" fillId="0" borderId="6" xfId="0" applyNumberFormat="1" applyBorder="1" applyAlignment="1">
      <alignment wrapText="1"/>
    </xf>
    <xf numFmtId="0" fontId="25" fillId="0" borderId="7" xfId="0" applyFont="1" applyBorder="1" applyAlignment="1">
      <alignment readingOrder="1"/>
    </xf>
    <xf numFmtId="0" fontId="23" fillId="0" borderId="6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4" fillId="0" borderId="0" xfId="0" applyFont="1" applyAlignment="1">
      <alignment wrapText="1"/>
    </xf>
    <xf numFmtId="0" fontId="3" fillId="18" borderId="6" xfId="0" applyFont="1" applyFill="1" applyBorder="1" applyAlignment="1">
      <alignment wrapText="1"/>
    </xf>
    <xf numFmtId="0" fontId="3" fillId="18" borderId="6" xfId="0" applyFont="1" applyFill="1" applyBorder="1" applyAlignment="1">
      <alignment vertical="top" wrapText="1"/>
    </xf>
    <xf numFmtId="0" fontId="4" fillId="15" borderId="6" xfId="0" applyFont="1" applyFill="1" applyBorder="1" applyAlignment="1">
      <alignment wrapText="1"/>
    </xf>
    <xf numFmtId="4" fontId="4" fillId="0" borderId="6" xfId="0" applyNumberFormat="1" applyFont="1" applyBorder="1" applyAlignment="1">
      <alignment wrapText="1"/>
    </xf>
    <xf numFmtId="9" fontId="4" fillId="0" borderId="6" xfId="0" applyNumberFormat="1" applyFont="1" applyBorder="1" applyAlignment="1">
      <alignment wrapText="1"/>
    </xf>
    <xf numFmtId="0" fontId="1" fillId="0" borderId="6" xfId="0" applyFont="1" applyBorder="1" applyAlignment="1">
      <alignment wrapText="1"/>
    </xf>
    <xf numFmtId="14" fontId="1" fillId="0" borderId="6" xfId="0" applyNumberFormat="1" applyFont="1" applyBorder="1" applyAlignment="1">
      <alignment wrapText="1"/>
    </xf>
    <xf numFmtId="0" fontId="4" fillId="16" borderId="6" xfId="0" applyFont="1" applyFill="1" applyBorder="1" applyAlignment="1">
      <alignment wrapText="1"/>
    </xf>
    <xf numFmtId="43" fontId="4" fillId="0" borderId="6" xfId="0" applyNumberFormat="1" applyFont="1" applyBorder="1" applyAlignment="1">
      <alignment wrapText="1"/>
    </xf>
    <xf numFmtId="0" fontId="4" fillId="14" borderId="6" xfId="0" applyFont="1" applyFill="1" applyBorder="1" applyAlignment="1">
      <alignment wrapText="1"/>
    </xf>
    <xf numFmtId="43" fontId="4" fillId="2" borderId="6" xfId="0" applyNumberFormat="1" applyFont="1" applyFill="1" applyBorder="1" applyAlignment="1">
      <alignment wrapText="1"/>
    </xf>
    <xf numFmtId="0" fontId="1" fillId="0" borderId="0" xfId="0" applyFont="1" applyAlignment="1">
      <alignment wrapText="1"/>
    </xf>
    <xf numFmtId="15" fontId="1" fillId="0" borderId="6" xfId="0" applyNumberFormat="1" applyFont="1" applyBorder="1" applyAlignment="1">
      <alignment wrapText="1"/>
    </xf>
    <xf numFmtId="0" fontId="4" fillId="0" borderId="6" xfId="0" quotePrefix="1" applyFont="1" applyBorder="1" applyAlignment="1">
      <alignment wrapText="1"/>
    </xf>
    <xf numFmtId="0" fontId="4" fillId="0" borderId="6" xfId="0" quotePrefix="1" applyFont="1" applyBorder="1" applyAlignment="1">
      <alignment horizontal="left" vertical="center" wrapText="1"/>
    </xf>
    <xf numFmtId="0" fontId="4" fillId="0" borderId="6" xfId="0" applyFont="1" applyBorder="1" applyAlignment="1">
      <alignment vertical="top" wrapText="1"/>
    </xf>
    <xf numFmtId="3" fontId="1" fillId="0" borderId="6" xfId="0" applyNumberFormat="1" applyFont="1" applyBorder="1" applyAlignment="1">
      <alignment wrapText="1"/>
    </xf>
    <xf numFmtId="9" fontId="1" fillId="0" borderId="6" xfId="0" applyNumberFormat="1" applyFont="1" applyBorder="1" applyAlignment="1">
      <alignment wrapText="1"/>
    </xf>
    <xf numFmtId="0" fontId="1" fillId="0" borderId="6" xfId="0" applyFont="1" applyBorder="1" applyAlignment="1">
      <alignment horizontal="center" wrapText="1" indent="1"/>
    </xf>
    <xf numFmtId="16" fontId="1" fillId="0" borderId="6" xfId="0" applyNumberFormat="1" applyFont="1" applyBorder="1" applyAlignment="1">
      <alignment horizontal="right" wrapText="1"/>
    </xf>
    <xf numFmtId="4" fontId="1" fillId="0" borderId="0" xfId="0" applyNumberFormat="1" applyFont="1" applyAlignment="1">
      <alignment wrapText="1"/>
    </xf>
    <xf numFmtId="4" fontId="26" fillId="19" borderId="8" xfId="0" applyNumberFormat="1" applyFont="1" applyFill="1" applyBorder="1" applyAlignment="1">
      <alignment wrapText="1"/>
    </xf>
    <xf numFmtId="0" fontId="28" fillId="0" borderId="1" xfId="0" applyFont="1" applyBorder="1" applyAlignment="1">
      <alignment wrapText="1"/>
    </xf>
    <xf numFmtId="3" fontId="29" fillId="20" borderId="9" xfId="0" applyNumberFormat="1" applyFont="1" applyFill="1" applyBorder="1" applyAlignment="1">
      <alignment wrapText="1" readingOrder="1"/>
    </xf>
    <xf numFmtId="3" fontId="30" fillId="0" borderId="0" xfId="0" applyNumberFormat="1" applyFont="1"/>
    <xf numFmtId="0" fontId="1" fillId="14" borderId="6" xfId="0" applyFont="1" applyFill="1" applyBorder="1" applyAlignment="1">
      <alignment wrapText="1"/>
    </xf>
    <xf numFmtId="14" fontId="1" fillId="0" borderId="6" xfId="0" applyNumberFormat="1" applyFont="1" applyBorder="1" applyAlignment="1">
      <alignment horizontal="center" wrapText="1"/>
    </xf>
    <xf numFmtId="14" fontId="0" fillId="0" borderId="6" xfId="0" applyNumberFormat="1" applyBorder="1" applyAlignment="1">
      <alignment horizontal="center" wrapText="1"/>
    </xf>
    <xf numFmtId="0" fontId="0" fillId="21" borderId="6" xfId="0" applyFill="1" applyBorder="1" applyAlignment="1">
      <alignment horizontal="center" wrapText="1"/>
    </xf>
    <xf numFmtId="0" fontId="1" fillId="21" borderId="6" xfId="0" applyFont="1" applyFill="1" applyBorder="1" applyAlignment="1">
      <alignment horizontal="center" wrapText="1"/>
    </xf>
    <xf numFmtId="15" fontId="1" fillId="0" borderId="6" xfId="0" applyNumberFormat="1" applyFont="1" applyBorder="1" applyAlignment="1">
      <alignment horizontal="center" wrapText="1"/>
    </xf>
    <xf numFmtId="15" fontId="0" fillId="0" borderId="6" xfId="0" applyNumberFormat="1" applyBorder="1" applyAlignment="1">
      <alignment horizontal="center" wrapText="1"/>
    </xf>
    <xf numFmtId="4" fontId="0" fillId="0" borderId="0" xfId="0" applyNumberFormat="1"/>
    <xf numFmtId="164" fontId="0" fillId="0" borderId="0" xfId="0" applyNumberFormat="1"/>
    <xf numFmtId="0" fontId="4" fillId="22" borderId="6" xfId="0" applyFont="1" applyFill="1" applyBorder="1" applyAlignment="1">
      <alignment wrapText="1"/>
    </xf>
    <xf numFmtId="0" fontId="19" fillId="22" borderId="6" xfId="0" applyFont="1" applyFill="1" applyBorder="1" applyAlignment="1">
      <alignment wrapText="1"/>
    </xf>
    <xf numFmtId="0" fontId="4" fillId="23" borderId="6" xfId="0" applyFont="1" applyFill="1" applyBorder="1" applyAlignment="1">
      <alignment wrapText="1"/>
    </xf>
    <xf numFmtId="0" fontId="32" fillId="0" borderId="11" xfId="0" applyFont="1" applyBorder="1"/>
    <xf numFmtId="0" fontId="32" fillId="0" borderId="12" xfId="0" applyFont="1" applyBorder="1"/>
    <xf numFmtId="0" fontId="32" fillId="0" borderId="12" xfId="0" applyFont="1" applyBorder="1" applyAlignment="1">
      <alignment wrapText="1"/>
    </xf>
    <xf numFmtId="0" fontId="33" fillId="0" borderId="12" xfId="0" applyFont="1" applyBorder="1"/>
    <xf numFmtId="0" fontId="33" fillId="0" borderId="12" xfId="0" applyFont="1" applyBorder="1" applyAlignment="1">
      <alignment wrapText="1"/>
    </xf>
    <xf numFmtId="0" fontId="31" fillId="0" borderId="1" xfId="0" applyFont="1" applyBorder="1" applyAlignment="1">
      <alignment wrapText="1"/>
    </xf>
    <xf numFmtId="0" fontId="31" fillId="0" borderId="10" xfId="0" applyFont="1" applyBorder="1" applyAlignment="1">
      <alignment wrapText="1"/>
    </xf>
    <xf numFmtId="0" fontId="34" fillId="0" borderId="0" xfId="0" applyFont="1"/>
    <xf numFmtId="0" fontId="4" fillId="24" borderId="6" xfId="0" applyFont="1" applyFill="1" applyBorder="1" applyAlignment="1">
      <alignment wrapText="1"/>
    </xf>
    <xf numFmtId="0" fontId="3" fillId="24" borderId="6" xfId="0" applyFont="1" applyFill="1" applyBorder="1" applyAlignment="1">
      <alignment wrapText="1"/>
    </xf>
    <xf numFmtId="0" fontId="0" fillId="0" borderId="1" xfId="0" applyBorder="1" applyAlignment="1">
      <alignment horizontal="center" vertical="center" wrapText="1"/>
    </xf>
    <xf numFmtId="9" fontId="12" fillId="4" borderId="0" xfId="0" applyNumberFormat="1" applyFont="1" applyFill="1" applyAlignment="1">
      <alignment wrapText="1"/>
    </xf>
    <xf numFmtId="0" fontId="12" fillId="4" borderId="0" xfId="0" applyFont="1" applyFill="1" applyAlignment="1">
      <alignment wrapText="1"/>
    </xf>
    <xf numFmtId="0" fontId="11" fillId="8" borderId="0" xfId="0" applyFont="1" applyFill="1" applyAlignment="1">
      <alignment wrapText="1"/>
    </xf>
    <xf numFmtId="0" fontId="7" fillId="4" borderId="0" xfId="0" applyFont="1" applyFill="1" applyAlignme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Relationship Id="rId14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>
  <person displayName="Ahmed Adam" id="{55D3F75D-0CB0-4D4F-B0BD-57AA58D8F371}" userId="ahmed.adam@undp.org" providerId="PeoplePicker"/>
  <person displayName="Alaa Belal" id="{7C44FB58-0A19-4FDF-BAA7-FC941FC6DCF3}" userId="alaa.belal@undp.org" providerId="PeoplePicker"/>
  <person displayName="Yassir Zahir" id="{2AE3AA5B-8584-4BE4-80DB-9C8FF19A5B2D}" userId="yassir.zahir@undp.org" providerId="PeoplePicker"/>
  <person displayName="Mustafa Hassan" id="{EB2EBEE7-581D-4C33-B4E0-7EA4880DF0AE}" userId="mustafa.hassan@undp.org" providerId="PeoplePicker"/>
  <person displayName="Yahya Mohammed" id="{06462EBA-442E-460D-802A-273D7645E7FC}" userId="yahya.mohammed@undp.org" providerId="PeoplePicker"/>
  <person displayName="Yahya Mohammed" id="{F74A5270-7F54-494D-AD8A-F98421BD3AA0}" userId="S::yahya.mohammed@undp.org::a8cb10f1-6fd0-48e0-8a36-58d2f3233fbd" providerId="AD"/>
  <person displayName="Marrian Gebreselassie" id="{AEC24F54-C036-4F62-B73F-03E9C84C6A7C}" userId="S::marrian.gebreselassie@undp.org::a958bc1d-bd72-465b-aabf-d5afe6e4dcc6" providerId="AD"/>
</personList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T1" dT="2026-04-22T14:23:50.44" personId="{AEC24F54-C036-4F62-B73F-03E9C84C6A7C}" id="{E5F026DC-6721-4C99-8BD6-8B7AA681B4A8}">
    <text>@Yahya Mohammed @Alaa Belal @Mustafa Hassan @Ahmed Adam  please complete this information for sites handed over under Kuwait-447</text>
    <mentions>
      <mention mentionpersonId="{06462EBA-442E-460D-802A-273D7645E7FC}" mentionId="{D50BDB57-39AA-444C-BCBC-D27400B9ACDC}" startIndex="0" length="15"/>
      <mention mentionpersonId="{7C44FB58-0A19-4FDF-BAA7-FC941FC6DCF3}" mentionId="{6AAE6663-AF62-4267-94CF-4533FED4202E}" startIndex="16" length="11"/>
      <mention mentionpersonId="{EB2EBEE7-581D-4C33-B4E0-7EA4880DF0AE}" mentionId="{D690A3F9-809E-4DFA-A195-92285EADABF1}" startIndex="28" length="15"/>
      <mention mentionpersonId="{55D3F75D-0CB0-4D4F-B0BD-57AA58D8F371}" mentionId="{E5BEEE0A-5952-4573-A263-97104EC27EEF}" startIndex="44" length="11"/>
    </mentions>
  </threadedComment>
  <threadedComment ref="P17" dT="2026-02-16T12:29:54.94" personId="{AEC24F54-C036-4F62-B73F-03E9C84C6A7C}" id="{39EE8329-C46F-40D6-8755-15D485D068ED}" done="1">
    <text xml:space="preserve">@Yahya Mohammed Please fill out for water sites under old kuwait based on water output
cc: @Alaa Belal </text>
    <mentions>
      <mention mentionpersonId="{06462EBA-442E-460D-802A-273D7645E7FC}" mentionId="{906F2673-F164-4DE9-B815-BF6901FF2E7D}" startIndex="0" length="15"/>
      <mention mentionpersonId="{7C44FB58-0A19-4FDF-BAA7-FC941FC6DCF3}" mentionId="{E77DC9E4-5269-4D3E-99BB-25F8604A317D}" startIndex="91" length="11"/>
    </mentions>
  </threadedComment>
  <threadedComment ref="P17" dT="2026-04-23T07:14:32.56" personId="{F74A5270-7F54-494D-AD8A-F98421BD3AA0}" id="{1D729CAA-395C-4462-986B-A7076FA4F21D}" parentId="{39EE8329-C46F-40D6-8755-15D485D068ED}">
    <text>Done</text>
  </threadedComment>
  <threadedComment ref="Q23" dT="2026-02-16T14:14:07.49" personId="{AEC24F54-C036-4F62-B73F-03E9C84C6A7C}" id="{93FE1638-2C85-4D4C-8B82-AAAEFDCEA33E}">
    <text>@Yassir Zahir / @Ahmed Adam  please fill in the percentage of completion</text>
    <mentions>
      <mention mentionpersonId="{2AE3AA5B-8584-4BE4-80DB-9C8FF19A5B2D}" mentionId="{AD2053DA-2A7E-45F2-B8E0-C0408D50C147}" startIndex="0" length="13"/>
      <mention mentionpersonId="{55D3F75D-0CB0-4D4F-B0BD-57AA58D8F371}" mentionId="{DFE5E7B1-B558-41F3-9402-5378B7F55646}" startIndex="16" length="11"/>
    </mentions>
  </threadedComment>
</ThreadedComment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FAA351-FA4F-4BDE-BC50-3CBA5091E394}">
  <dimension ref="A1:B15"/>
  <sheetViews>
    <sheetView workbookViewId="0">
      <selection activeCell="C1" sqref="C1"/>
    </sheetView>
  </sheetViews>
  <sheetFormatPr defaultRowHeight="14.45"/>
  <cols>
    <col min="1" max="1" width="23.7109375" customWidth="1"/>
    <col min="2" max="2" width="71.5703125" customWidth="1"/>
  </cols>
  <sheetData>
    <row r="1" spans="1:2" ht="54" customHeight="1">
      <c r="A1" s="9" t="s">
        <v>0</v>
      </c>
      <c r="B1" s="8" t="s">
        <v>1</v>
      </c>
    </row>
    <row r="2" spans="1:2">
      <c r="A2" s="5" t="s">
        <v>2</v>
      </c>
      <c r="B2" s="2" t="s">
        <v>3</v>
      </c>
    </row>
    <row r="3" spans="1:2">
      <c r="A3" s="5" t="s">
        <v>4</v>
      </c>
      <c r="B3" s="2" t="s">
        <v>5</v>
      </c>
    </row>
    <row r="4" spans="1:2" ht="19.5" customHeight="1">
      <c r="A4" s="5" t="s">
        <v>6</v>
      </c>
      <c r="B4" s="10">
        <v>2000000</v>
      </c>
    </row>
    <row r="5" spans="1:2" ht="21" customHeight="1">
      <c r="A5" s="5" t="s">
        <v>7</v>
      </c>
      <c r="B5" s="7">
        <v>45771</v>
      </c>
    </row>
    <row r="6" spans="1:2">
      <c r="A6" s="5" t="s">
        <v>8</v>
      </c>
      <c r="B6" s="7">
        <v>46113</v>
      </c>
    </row>
    <row r="7" spans="1:2" ht="15.95" customHeight="1">
      <c r="A7" s="5" t="s">
        <v>9</v>
      </c>
      <c r="B7" s="2" t="s">
        <v>10</v>
      </c>
    </row>
    <row r="8" spans="1:2" ht="15.6" customHeight="1">
      <c r="A8" s="5" t="s">
        <v>11</v>
      </c>
      <c r="B8" s="2" t="s">
        <v>12</v>
      </c>
    </row>
    <row r="9" spans="1:2" ht="20.100000000000001" customHeight="1">
      <c r="A9" s="5" t="s">
        <v>13</v>
      </c>
      <c r="B9" s="2" t="s">
        <v>14</v>
      </c>
    </row>
    <row r="10" spans="1:2" ht="21" customHeight="1">
      <c r="A10" s="11" t="s">
        <v>15</v>
      </c>
      <c r="B10" s="7">
        <v>46076</v>
      </c>
    </row>
    <row r="13" spans="1:2">
      <c r="A13" s="6"/>
    </row>
    <row r="14" spans="1:2">
      <c r="A14" s="6"/>
    </row>
    <row r="15" spans="1:2">
      <c r="A15" s="6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767C9-A52F-4702-9359-74E5C395AB38}">
  <dimension ref="A1:K7"/>
  <sheetViews>
    <sheetView workbookViewId="0">
      <selection activeCell="A2" sqref="A2:A5"/>
    </sheetView>
  </sheetViews>
  <sheetFormatPr defaultRowHeight="15" customHeight="1"/>
  <cols>
    <col min="1" max="1" width="16.85546875" customWidth="1"/>
    <col min="2" max="2" width="35.28515625" style="4" customWidth="1"/>
    <col min="3" max="3" width="40.42578125" style="4" customWidth="1"/>
    <col min="4" max="4" width="10.5703125" style="4" hidden="1" customWidth="1"/>
    <col min="5" max="5" width="7.28515625" customWidth="1"/>
    <col min="6" max="6" width="14.5703125" customWidth="1"/>
    <col min="7" max="7" width="13.85546875" customWidth="1"/>
    <col min="8" max="9" width="11.140625" customWidth="1"/>
    <col min="10" max="10" width="30.5703125" style="4" customWidth="1"/>
    <col min="11" max="11" width="25.28515625" customWidth="1"/>
  </cols>
  <sheetData>
    <row r="1" spans="1:11" s="4" customFormat="1" ht="29.1">
      <c r="A1" s="41" t="s">
        <v>16</v>
      </c>
      <c r="B1" s="41" t="s">
        <v>17</v>
      </c>
      <c r="C1" s="41" t="s">
        <v>18</v>
      </c>
      <c r="D1" s="41" t="s">
        <v>19</v>
      </c>
      <c r="E1" s="41" t="s">
        <v>20</v>
      </c>
      <c r="F1" s="41" t="s">
        <v>21</v>
      </c>
      <c r="G1" s="41" t="s">
        <v>22</v>
      </c>
      <c r="H1" s="41" t="s">
        <v>23</v>
      </c>
      <c r="I1" s="41"/>
      <c r="J1" s="41" t="s">
        <v>24</v>
      </c>
    </row>
    <row r="2" spans="1:11" ht="66.75" customHeight="1">
      <c r="A2" s="111" t="s">
        <v>25</v>
      </c>
      <c r="B2" s="111" t="s">
        <v>26</v>
      </c>
      <c r="C2" s="1" t="s">
        <v>27</v>
      </c>
      <c r="D2" s="1"/>
      <c r="E2" s="2">
        <v>8</v>
      </c>
      <c r="F2" s="44">
        <v>760000</v>
      </c>
      <c r="G2" s="85">
        <v>655837.19999999995</v>
      </c>
      <c r="H2" s="2"/>
      <c r="I2" s="2">
        <v>8</v>
      </c>
      <c r="J2" s="86" t="s">
        <v>28</v>
      </c>
    </row>
    <row r="3" spans="1:11" ht="60" customHeight="1">
      <c r="A3" s="111"/>
      <c r="B3" s="111"/>
      <c r="C3" s="1" t="s">
        <v>29</v>
      </c>
      <c r="D3" s="1"/>
      <c r="E3" s="2">
        <v>16</v>
      </c>
      <c r="F3" s="44">
        <v>720000</v>
      </c>
      <c r="G3" s="85">
        <v>596029</v>
      </c>
      <c r="H3" s="2">
        <v>10</v>
      </c>
      <c r="I3" s="2">
        <v>16</v>
      </c>
      <c r="J3" s="86" t="s">
        <v>30</v>
      </c>
    </row>
    <row r="4" spans="1:11" ht="99.75" customHeight="1">
      <c r="A4" s="111"/>
      <c r="B4" s="111" t="s">
        <v>31</v>
      </c>
      <c r="C4" s="1" t="s">
        <v>32</v>
      </c>
      <c r="D4" s="1"/>
      <c r="E4" s="3">
        <v>24</v>
      </c>
      <c r="F4" s="45">
        <v>120000</v>
      </c>
      <c r="G4" s="87">
        <v>32896</v>
      </c>
      <c r="H4" s="2"/>
      <c r="I4" s="2">
        <v>24</v>
      </c>
      <c r="J4" s="3" t="s">
        <v>33</v>
      </c>
      <c r="K4" s="4" t="s">
        <v>34</v>
      </c>
    </row>
    <row r="5" spans="1:11" ht="58.5" customHeight="1">
      <c r="A5" s="111"/>
      <c r="B5" s="111"/>
      <c r="C5" s="62" t="s">
        <v>35</v>
      </c>
      <c r="D5" s="62"/>
      <c r="E5" s="2">
        <v>48</v>
      </c>
      <c r="F5" s="44">
        <v>120000</v>
      </c>
      <c r="G5" s="88">
        <v>28160</v>
      </c>
      <c r="H5" s="2"/>
      <c r="I5" s="2"/>
      <c r="J5" s="3" t="s">
        <v>36</v>
      </c>
    </row>
    <row r="7" spans="1:11" ht="15" customHeight="1">
      <c r="F7" s="97">
        <f>SUM(F2:F5)</f>
        <v>1720000</v>
      </c>
      <c r="G7" s="96">
        <f>SUM(G2:G5)</f>
        <v>1312922.2</v>
      </c>
    </row>
  </sheetData>
  <mergeCells count="3">
    <mergeCell ref="A2:A5"/>
    <mergeCell ref="B2:B3"/>
    <mergeCell ref="B4:B5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8D909-319C-48FC-9419-B3B2DC7EF813}">
  <dimension ref="A1:J43"/>
  <sheetViews>
    <sheetView topLeftCell="B1" workbookViewId="0">
      <selection activeCell="B5" sqref="B5"/>
    </sheetView>
  </sheetViews>
  <sheetFormatPr defaultRowHeight="14.45"/>
  <cols>
    <col min="1" max="1" width="17.140625" customWidth="1"/>
    <col min="2" max="2" width="36.7109375" customWidth="1"/>
    <col min="3" max="3" width="11.42578125" customWidth="1"/>
    <col min="4" max="4" width="15.28515625" customWidth="1"/>
    <col min="5" max="5" width="16" customWidth="1"/>
    <col min="6" max="6" width="14.5703125" customWidth="1"/>
    <col min="7" max="7" width="12.42578125" customWidth="1"/>
    <col min="8" max="8" width="18.140625" customWidth="1"/>
    <col min="9" max="9" width="14.28515625" customWidth="1"/>
  </cols>
  <sheetData>
    <row r="1" spans="1:10" ht="47.25" customHeight="1">
      <c r="A1" s="12" t="s">
        <v>37</v>
      </c>
      <c r="B1" s="55" t="s">
        <v>38</v>
      </c>
      <c r="C1" s="115" t="s">
        <v>39</v>
      </c>
      <c r="D1" s="115"/>
      <c r="E1" s="115"/>
      <c r="F1" s="115"/>
      <c r="G1" s="115"/>
      <c r="H1" s="115"/>
      <c r="I1" s="115"/>
      <c r="J1" s="115"/>
    </row>
    <row r="2" spans="1:10" ht="21.95">
      <c r="A2" s="13" t="s">
        <v>40</v>
      </c>
      <c r="B2" s="13" t="s">
        <v>40</v>
      </c>
      <c r="C2" s="14" t="s">
        <v>40</v>
      </c>
      <c r="D2" s="14" t="s">
        <v>40</v>
      </c>
      <c r="E2" s="14" t="s">
        <v>40</v>
      </c>
      <c r="F2" s="14" t="s">
        <v>40</v>
      </c>
      <c r="G2" s="14" t="s">
        <v>40</v>
      </c>
      <c r="H2" s="14" t="s">
        <v>40</v>
      </c>
      <c r="I2" s="14" t="s">
        <v>40</v>
      </c>
      <c r="J2" s="14" t="s">
        <v>40</v>
      </c>
    </row>
    <row r="3" spans="1:10">
      <c r="A3" s="15" t="s">
        <v>40</v>
      </c>
      <c r="B3" s="15" t="s">
        <v>41</v>
      </c>
      <c r="C3" s="16">
        <v>18</v>
      </c>
      <c r="D3" s="17"/>
      <c r="E3" s="18" t="s">
        <v>42</v>
      </c>
      <c r="F3" s="19">
        <v>90</v>
      </c>
      <c r="G3" s="17"/>
      <c r="H3" s="114" t="s">
        <v>43</v>
      </c>
      <c r="I3" s="17"/>
      <c r="J3" s="17"/>
    </row>
    <row r="4" spans="1:10">
      <c r="A4" s="20" t="s">
        <v>40</v>
      </c>
      <c r="B4" s="20" t="s">
        <v>44</v>
      </c>
      <c r="C4" s="21">
        <v>4</v>
      </c>
      <c r="D4" s="17"/>
      <c r="E4" s="20" t="s">
        <v>45</v>
      </c>
      <c r="F4" s="22">
        <v>45917</v>
      </c>
      <c r="G4" s="17"/>
      <c r="H4" s="114"/>
      <c r="I4" s="17"/>
      <c r="J4" s="17"/>
    </row>
    <row r="5" spans="1:10">
      <c r="A5" s="20" t="s">
        <v>40</v>
      </c>
      <c r="B5" s="20" t="s">
        <v>46</v>
      </c>
      <c r="C5" s="21">
        <v>5</v>
      </c>
      <c r="D5" s="17"/>
      <c r="E5" s="20" t="s">
        <v>47</v>
      </c>
      <c r="F5" s="22">
        <v>46007</v>
      </c>
      <c r="G5" s="17"/>
      <c r="H5" s="112">
        <v>0.22</v>
      </c>
      <c r="I5" s="17"/>
      <c r="J5" s="17"/>
    </row>
    <row r="6" spans="1:10">
      <c r="A6" s="20" t="s">
        <v>40</v>
      </c>
      <c r="B6" s="20" t="s">
        <v>40</v>
      </c>
      <c r="C6" s="21" t="s">
        <v>40</v>
      </c>
      <c r="D6" s="17"/>
      <c r="E6" s="20" t="s">
        <v>40</v>
      </c>
      <c r="F6" s="21" t="s">
        <v>40</v>
      </c>
      <c r="G6" s="17"/>
      <c r="H6" s="113"/>
      <c r="I6" s="17"/>
      <c r="J6" s="17"/>
    </row>
    <row r="7" spans="1:10">
      <c r="A7" s="17"/>
      <c r="B7" s="17"/>
      <c r="C7" s="17"/>
      <c r="D7" s="17"/>
      <c r="E7" s="17"/>
      <c r="F7" s="17"/>
      <c r="G7" s="17"/>
      <c r="H7" s="17"/>
      <c r="I7" s="17"/>
      <c r="J7" s="17"/>
    </row>
    <row r="8" spans="1:10">
      <c r="A8" s="24" t="s">
        <v>40</v>
      </c>
      <c r="B8" s="25" t="s">
        <v>48</v>
      </c>
      <c r="C8" s="25" t="s">
        <v>49</v>
      </c>
      <c r="D8" s="25" t="s">
        <v>50</v>
      </c>
      <c r="E8" s="25" t="s">
        <v>51</v>
      </c>
      <c r="F8" s="25" t="s">
        <v>52</v>
      </c>
      <c r="G8" s="25" t="s">
        <v>53</v>
      </c>
      <c r="H8" s="25" t="s">
        <v>42</v>
      </c>
      <c r="I8" s="25" t="s">
        <v>44</v>
      </c>
      <c r="J8" s="25" t="s">
        <v>54</v>
      </c>
    </row>
    <row r="9" spans="1:10">
      <c r="A9" s="17"/>
      <c r="B9" s="26" t="s">
        <v>55</v>
      </c>
      <c r="C9" s="26"/>
      <c r="D9" s="27">
        <v>45932</v>
      </c>
      <c r="E9" s="27">
        <v>45939</v>
      </c>
      <c r="F9" s="28">
        <v>1</v>
      </c>
      <c r="G9" s="26" t="s">
        <v>44</v>
      </c>
      <c r="H9" s="29">
        <v>7</v>
      </c>
      <c r="I9" s="29"/>
      <c r="J9" s="29"/>
    </row>
    <row r="10" spans="1:10">
      <c r="A10" s="17"/>
      <c r="B10" s="17" t="s">
        <v>56</v>
      </c>
      <c r="C10" s="17"/>
      <c r="D10" s="30">
        <v>45939</v>
      </c>
      <c r="E10" s="30">
        <v>45946</v>
      </c>
      <c r="F10" s="31">
        <v>1</v>
      </c>
      <c r="G10" s="17" t="s">
        <v>44</v>
      </c>
      <c r="H10" s="32">
        <v>7</v>
      </c>
      <c r="I10" s="32"/>
      <c r="J10" s="32"/>
    </row>
    <row r="11" spans="1:10">
      <c r="A11" s="33" t="s">
        <v>40</v>
      </c>
      <c r="B11" s="33" t="s">
        <v>57</v>
      </c>
      <c r="C11" s="34" t="s">
        <v>40</v>
      </c>
      <c r="D11" s="33" t="s">
        <v>40</v>
      </c>
      <c r="E11" s="34" t="s">
        <v>40</v>
      </c>
      <c r="F11" s="34" t="s">
        <v>40</v>
      </c>
      <c r="G11" s="35" t="s">
        <v>40</v>
      </c>
      <c r="H11" s="36" t="s">
        <v>40</v>
      </c>
      <c r="I11" s="36" t="s">
        <v>40</v>
      </c>
      <c r="J11" s="36" t="s">
        <v>40</v>
      </c>
    </row>
    <row r="12" spans="1:10">
      <c r="A12" s="17" t="s">
        <v>58</v>
      </c>
      <c r="B12" s="17" t="s">
        <v>59</v>
      </c>
      <c r="C12" s="17"/>
      <c r="D12" s="22">
        <v>45946</v>
      </c>
      <c r="E12" s="22">
        <v>45953</v>
      </c>
      <c r="F12" s="31">
        <v>1</v>
      </c>
      <c r="G12" s="17" t="s">
        <v>44</v>
      </c>
      <c r="H12" s="32">
        <v>7</v>
      </c>
      <c r="I12" s="32"/>
      <c r="J12" s="32"/>
    </row>
    <row r="13" spans="1:10">
      <c r="A13" s="17" t="s">
        <v>58</v>
      </c>
      <c r="B13" s="26" t="s">
        <v>60</v>
      </c>
      <c r="C13" s="26"/>
      <c r="D13" s="22">
        <v>45946</v>
      </c>
      <c r="E13" s="22">
        <v>45949</v>
      </c>
      <c r="F13" s="28">
        <v>1</v>
      </c>
      <c r="G13" s="26" t="s">
        <v>44</v>
      </c>
      <c r="H13" s="29">
        <v>3</v>
      </c>
      <c r="I13" s="29"/>
      <c r="J13" s="29"/>
    </row>
    <row r="14" spans="1:10">
      <c r="A14" s="17" t="s">
        <v>58</v>
      </c>
      <c r="B14" s="17" t="s">
        <v>61</v>
      </c>
      <c r="C14" s="17"/>
      <c r="D14" s="22">
        <v>45946</v>
      </c>
      <c r="E14" s="22">
        <v>45948</v>
      </c>
      <c r="F14" s="28">
        <v>1</v>
      </c>
      <c r="G14" s="17" t="s">
        <v>46</v>
      </c>
      <c r="H14" s="32">
        <v>2</v>
      </c>
      <c r="I14" s="32"/>
      <c r="J14" s="32"/>
    </row>
    <row r="15" spans="1:10">
      <c r="A15" s="17" t="s">
        <v>58</v>
      </c>
      <c r="B15" s="26" t="s">
        <v>62</v>
      </c>
      <c r="C15" s="26"/>
      <c r="D15" s="22">
        <v>45946</v>
      </c>
      <c r="E15" s="22">
        <v>45950</v>
      </c>
      <c r="F15" s="28">
        <v>1</v>
      </c>
      <c r="G15" s="26" t="s">
        <v>46</v>
      </c>
      <c r="H15" s="29">
        <v>4</v>
      </c>
      <c r="I15" s="29"/>
      <c r="J15" s="29"/>
    </row>
    <row r="16" spans="1:10">
      <c r="A16" s="33" t="s">
        <v>40</v>
      </c>
      <c r="B16" s="37" t="s">
        <v>63</v>
      </c>
      <c r="C16" s="33"/>
      <c r="D16" s="37" t="s">
        <v>40</v>
      </c>
      <c r="E16" s="38" t="s">
        <v>40</v>
      </c>
      <c r="F16" s="38" t="s">
        <v>40</v>
      </c>
      <c r="G16" s="39" t="s">
        <v>40</v>
      </c>
      <c r="H16" s="40" t="s">
        <v>40</v>
      </c>
      <c r="I16" s="40" t="s">
        <v>40</v>
      </c>
      <c r="J16" s="40" t="s">
        <v>40</v>
      </c>
    </row>
    <row r="17" spans="1:10">
      <c r="A17" s="17" t="s">
        <v>64</v>
      </c>
      <c r="B17" s="17" t="s">
        <v>59</v>
      </c>
      <c r="C17" s="17"/>
      <c r="D17" s="22">
        <v>45950</v>
      </c>
      <c r="E17" s="22">
        <v>45957</v>
      </c>
      <c r="F17" s="31">
        <v>1</v>
      </c>
      <c r="G17" s="17" t="s">
        <v>46</v>
      </c>
      <c r="H17" s="32">
        <v>7</v>
      </c>
      <c r="I17" s="32"/>
      <c r="J17" s="32"/>
    </row>
    <row r="18" spans="1:10">
      <c r="A18" s="17" t="s">
        <v>64</v>
      </c>
      <c r="B18" s="17" t="s">
        <v>60</v>
      </c>
      <c r="C18" s="17"/>
      <c r="D18" s="22">
        <v>45957</v>
      </c>
      <c r="E18" s="22">
        <v>45960</v>
      </c>
      <c r="F18" s="31">
        <v>1</v>
      </c>
      <c r="G18" s="17" t="s">
        <v>65</v>
      </c>
      <c r="H18" s="29">
        <v>3</v>
      </c>
      <c r="I18" s="32"/>
      <c r="J18" s="32"/>
    </row>
    <row r="19" spans="1:10">
      <c r="A19" s="17" t="s">
        <v>64</v>
      </c>
      <c r="B19" s="17" t="s">
        <v>61</v>
      </c>
      <c r="C19" s="17"/>
      <c r="D19" s="22">
        <v>45960</v>
      </c>
      <c r="E19" s="22">
        <v>45962</v>
      </c>
      <c r="F19" s="31">
        <v>1</v>
      </c>
      <c r="G19" s="17" t="s">
        <v>65</v>
      </c>
      <c r="H19" s="32">
        <v>2</v>
      </c>
      <c r="I19" s="32"/>
      <c r="J19" s="32"/>
    </row>
    <row r="20" spans="1:10">
      <c r="A20" s="17" t="s">
        <v>64</v>
      </c>
      <c r="B20" s="17" t="s">
        <v>62</v>
      </c>
      <c r="C20" s="17"/>
      <c r="D20" s="22">
        <v>45962</v>
      </c>
      <c r="E20" s="22">
        <v>45966</v>
      </c>
      <c r="F20" s="31">
        <v>1</v>
      </c>
      <c r="G20" s="17" t="s">
        <v>65</v>
      </c>
      <c r="H20" s="29">
        <v>4</v>
      </c>
      <c r="I20" s="32"/>
      <c r="J20" s="32"/>
    </row>
    <row r="21" spans="1:10">
      <c r="A21" s="33" t="s">
        <v>40</v>
      </c>
      <c r="B21" s="33" t="s">
        <v>66</v>
      </c>
      <c r="C21" s="34" t="s">
        <v>40</v>
      </c>
      <c r="D21" s="33" t="s">
        <v>40</v>
      </c>
      <c r="E21" s="34" t="s">
        <v>40</v>
      </c>
      <c r="F21" s="34" t="s">
        <v>40</v>
      </c>
      <c r="G21" s="35" t="s">
        <v>40</v>
      </c>
      <c r="H21" s="36" t="s">
        <v>40</v>
      </c>
      <c r="I21" s="36" t="s">
        <v>40</v>
      </c>
      <c r="J21" s="36" t="s">
        <v>40</v>
      </c>
    </row>
    <row r="22" spans="1:10">
      <c r="A22" s="17" t="s">
        <v>67</v>
      </c>
      <c r="B22" s="17" t="s">
        <v>59</v>
      </c>
      <c r="C22" s="17"/>
      <c r="D22" s="22">
        <v>45966</v>
      </c>
      <c r="E22" s="22">
        <v>45973</v>
      </c>
      <c r="F22" s="31">
        <v>1</v>
      </c>
      <c r="G22" s="17" t="s">
        <v>46</v>
      </c>
      <c r="H22" s="32">
        <v>7</v>
      </c>
      <c r="I22" s="32"/>
      <c r="J22" s="32"/>
    </row>
    <row r="23" spans="1:10">
      <c r="A23" s="17" t="s">
        <v>67</v>
      </c>
      <c r="B23" s="17" t="s">
        <v>60</v>
      </c>
      <c r="C23" s="17"/>
      <c r="D23" s="22">
        <v>45973</v>
      </c>
      <c r="E23" s="22">
        <v>45976</v>
      </c>
      <c r="F23" s="31">
        <v>1</v>
      </c>
      <c r="G23" s="17" t="s">
        <v>65</v>
      </c>
      <c r="H23" s="29">
        <v>3</v>
      </c>
      <c r="I23" s="32"/>
      <c r="J23" s="32"/>
    </row>
    <row r="24" spans="1:10">
      <c r="A24" s="17" t="s">
        <v>67</v>
      </c>
      <c r="B24" s="17" t="s">
        <v>61</v>
      </c>
      <c r="C24" s="17"/>
      <c r="D24" s="22">
        <v>45976</v>
      </c>
      <c r="E24" s="22">
        <v>45978</v>
      </c>
      <c r="F24" s="31">
        <v>1</v>
      </c>
      <c r="G24" s="17" t="s">
        <v>65</v>
      </c>
      <c r="H24" s="32">
        <v>2</v>
      </c>
      <c r="I24" s="32"/>
      <c r="J24" s="32"/>
    </row>
    <row r="25" spans="1:10">
      <c r="A25" s="17" t="s">
        <v>67</v>
      </c>
      <c r="B25" s="17" t="s">
        <v>62</v>
      </c>
      <c r="C25" s="17"/>
      <c r="D25" s="22">
        <v>45978</v>
      </c>
      <c r="E25" s="22">
        <v>45982</v>
      </c>
      <c r="F25" s="31">
        <v>1</v>
      </c>
      <c r="G25" s="17" t="s">
        <v>65</v>
      </c>
      <c r="H25" s="29">
        <v>4</v>
      </c>
      <c r="I25" s="32"/>
      <c r="J25" s="32"/>
    </row>
    <row r="26" spans="1:10">
      <c r="A26" s="33" t="s">
        <v>40</v>
      </c>
      <c r="B26" s="33" t="s">
        <v>68</v>
      </c>
      <c r="C26" s="34" t="s">
        <v>40</v>
      </c>
      <c r="D26" s="33" t="s">
        <v>40</v>
      </c>
      <c r="E26" s="34" t="s">
        <v>40</v>
      </c>
      <c r="F26" s="34" t="s">
        <v>40</v>
      </c>
      <c r="G26" s="35" t="s">
        <v>40</v>
      </c>
      <c r="H26" s="36" t="s">
        <v>40</v>
      </c>
      <c r="I26" s="36" t="s">
        <v>40</v>
      </c>
      <c r="J26" s="36" t="s">
        <v>40</v>
      </c>
    </row>
    <row r="27" spans="1:10">
      <c r="A27" s="17" t="s">
        <v>69</v>
      </c>
      <c r="B27" s="17" t="s">
        <v>59</v>
      </c>
      <c r="C27" s="17"/>
      <c r="D27" s="22">
        <v>45982</v>
      </c>
      <c r="E27" s="22">
        <v>45989</v>
      </c>
      <c r="F27" s="31">
        <v>1</v>
      </c>
      <c r="G27" s="17" t="s">
        <v>46</v>
      </c>
      <c r="H27" s="32">
        <v>7</v>
      </c>
      <c r="I27" s="32"/>
      <c r="J27" s="32"/>
    </row>
    <row r="28" spans="1:10">
      <c r="A28" s="17" t="s">
        <v>69</v>
      </c>
      <c r="B28" s="17" t="s">
        <v>60</v>
      </c>
      <c r="C28" s="17"/>
      <c r="D28" s="22">
        <v>45989</v>
      </c>
      <c r="E28" s="22">
        <v>45992</v>
      </c>
      <c r="F28" s="31">
        <v>1</v>
      </c>
      <c r="G28" s="17" t="s">
        <v>65</v>
      </c>
      <c r="H28" s="29">
        <v>3</v>
      </c>
      <c r="I28" s="32"/>
      <c r="J28" s="32"/>
    </row>
    <row r="29" spans="1:10">
      <c r="A29" s="17" t="s">
        <v>69</v>
      </c>
      <c r="B29" s="17" t="s">
        <v>61</v>
      </c>
      <c r="C29" s="17"/>
      <c r="D29" s="22">
        <v>45992</v>
      </c>
      <c r="E29" s="22">
        <v>45994</v>
      </c>
      <c r="F29" s="31">
        <v>1</v>
      </c>
      <c r="G29" s="17" t="s">
        <v>65</v>
      </c>
      <c r="H29" s="32">
        <v>2</v>
      </c>
      <c r="I29" s="32"/>
      <c r="J29" s="32"/>
    </row>
    <row r="30" spans="1:10">
      <c r="A30" s="17" t="s">
        <v>69</v>
      </c>
      <c r="B30" s="17" t="s">
        <v>62</v>
      </c>
      <c r="C30" s="17"/>
      <c r="D30" s="22">
        <v>45994</v>
      </c>
      <c r="E30" s="22">
        <v>45998</v>
      </c>
      <c r="F30" s="31">
        <v>1</v>
      </c>
      <c r="G30" s="17" t="s">
        <v>65</v>
      </c>
      <c r="H30" s="29">
        <v>4</v>
      </c>
      <c r="I30" s="32"/>
      <c r="J30" s="32"/>
    </row>
    <row r="31" spans="1:10">
      <c r="A31" s="33" t="s">
        <v>40</v>
      </c>
      <c r="B31" s="33" t="s">
        <v>40</v>
      </c>
      <c r="C31" s="34" t="s">
        <v>40</v>
      </c>
      <c r="D31" s="33" t="s">
        <v>40</v>
      </c>
      <c r="E31" s="34" t="s">
        <v>40</v>
      </c>
      <c r="F31" s="34" t="s">
        <v>40</v>
      </c>
      <c r="G31" s="35" t="s">
        <v>40</v>
      </c>
      <c r="H31" s="36" t="s">
        <v>40</v>
      </c>
      <c r="I31" s="36" t="s">
        <v>40</v>
      </c>
      <c r="J31" s="36" t="s">
        <v>40</v>
      </c>
    </row>
    <row r="32" spans="1:10">
      <c r="A32" s="53"/>
      <c r="B32" s="53"/>
      <c r="C32" s="53"/>
      <c r="D32" s="53"/>
      <c r="E32" s="53"/>
      <c r="F32" s="53"/>
      <c r="G32" s="53"/>
      <c r="H32" s="54"/>
      <c r="I32" s="54"/>
      <c r="J32" s="54"/>
    </row>
    <row r="33" spans="1:10" ht="21.95">
      <c r="A33" s="12" t="s">
        <v>37</v>
      </c>
      <c r="B33" s="12" t="s">
        <v>70</v>
      </c>
      <c r="C33" s="115" t="s">
        <v>71</v>
      </c>
      <c r="D33" s="115"/>
      <c r="E33" s="115"/>
      <c r="F33" s="115"/>
      <c r="G33" s="115"/>
      <c r="H33" s="115"/>
      <c r="I33" s="115"/>
      <c r="J33" s="115"/>
    </row>
    <row r="34" spans="1:10" ht="21.95">
      <c r="A34" s="13" t="s">
        <v>40</v>
      </c>
      <c r="B34" s="13" t="s">
        <v>40</v>
      </c>
      <c r="C34" s="14" t="s">
        <v>40</v>
      </c>
      <c r="D34" s="14" t="s">
        <v>40</v>
      </c>
      <c r="E34" s="14" t="s">
        <v>40</v>
      </c>
      <c r="F34" s="14" t="s">
        <v>40</v>
      </c>
      <c r="G34" s="14" t="s">
        <v>40</v>
      </c>
      <c r="H34" s="14" t="s">
        <v>40</v>
      </c>
      <c r="I34" s="14" t="s">
        <v>40</v>
      </c>
      <c r="J34" s="14" t="s">
        <v>40</v>
      </c>
    </row>
    <row r="35" spans="1:10">
      <c r="A35" s="15" t="s">
        <v>40</v>
      </c>
      <c r="B35" s="15" t="s">
        <v>41</v>
      </c>
      <c r="C35" s="16">
        <v>18</v>
      </c>
      <c r="D35" s="17"/>
      <c r="E35" s="18" t="s">
        <v>42</v>
      </c>
      <c r="F35" s="19">
        <v>90</v>
      </c>
      <c r="G35" s="17"/>
      <c r="H35" s="114" t="s">
        <v>43</v>
      </c>
      <c r="I35" s="17"/>
      <c r="J35" s="17"/>
    </row>
    <row r="36" spans="1:10">
      <c r="A36" s="20" t="s">
        <v>40</v>
      </c>
      <c r="B36" s="20" t="s">
        <v>44</v>
      </c>
      <c r="C36" s="21">
        <v>4</v>
      </c>
      <c r="D36" s="17"/>
      <c r="E36" s="20" t="s">
        <v>45</v>
      </c>
      <c r="F36" s="22">
        <v>45917</v>
      </c>
      <c r="G36" s="17"/>
      <c r="H36" s="114"/>
      <c r="I36" s="17"/>
      <c r="J36" s="17"/>
    </row>
    <row r="37" spans="1:10">
      <c r="A37" s="20" t="s">
        <v>40</v>
      </c>
      <c r="B37" s="20" t="s">
        <v>46</v>
      </c>
      <c r="C37" s="21">
        <v>5</v>
      </c>
      <c r="D37" s="17"/>
      <c r="E37" s="20" t="s">
        <v>47</v>
      </c>
      <c r="F37" s="22">
        <v>46007</v>
      </c>
      <c r="G37" s="17"/>
      <c r="H37" s="112">
        <f>(F42+F43)/2</f>
        <v>0.8</v>
      </c>
      <c r="I37" s="17"/>
      <c r="J37" s="17"/>
    </row>
    <row r="38" spans="1:10" ht="11.25" customHeight="1">
      <c r="A38" s="20" t="s">
        <v>40</v>
      </c>
      <c r="B38" s="20" t="s">
        <v>40</v>
      </c>
      <c r="C38" s="21" t="s">
        <v>40</v>
      </c>
      <c r="D38" s="17"/>
      <c r="E38" s="20" t="s">
        <v>40</v>
      </c>
      <c r="F38" s="21" t="s">
        <v>40</v>
      </c>
      <c r="G38" s="17"/>
      <c r="H38" s="113"/>
      <c r="I38" s="17"/>
      <c r="J38" s="17"/>
    </row>
    <row r="39" spans="1:10">
      <c r="A39" s="17"/>
      <c r="B39" s="17"/>
      <c r="C39" s="17"/>
      <c r="D39" s="17"/>
      <c r="E39" s="17"/>
      <c r="F39" s="17"/>
      <c r="G39" s="17"/>
      <c r="H39" s="23">
        <v>0.78</v>
      </c>
      <c r="I39" s="17"/>
      <c r="J39" s="17"/>
    </row>
    <row r="40" spans="1:10">
      <c r="A40" s="17"/>
      <c r="B40" s="17"/>
      <c r="C40" s="17"/>
      <c r="D40" s="17"/>
      <c r="E40" s="17"/>
      <c r="F40" s="17"/>
      <c r="G40" s="17"/>
      <c r="H40" s="17"/>
      <c r="I40" s="17"/>
      <c r="J40" s="17"/>
    </row>
    <row r="41" spans="1:10">
      <c r="A41" s="24" t="s">
        <v>40</v>
      </c>
      <c r="B41" s="25" t="s">
        <v>48</v>
      </c>
      <c r="C41" s="25" t="s">
        <v>49</v>
      </c>
      <c r="D41" s="25" t="s">
        <v>50</v>
      </c>
      <c r="E41" s="25" t="s">
        <v>51</v>
      </c>
      <c r="F41" s="25" t="s">
        <v>52</v>
      </c>
      <c r="G41" s="25" t="s">
        <v>53</v>
      </c>
      <c r="H41" s="25" t="s">
        <v>72</v>
      </c>
      <c r="I41" s="25" t="s">
        <v>44</v>
      </c>
      <c r="J41" s="25" t="s">
        <v>54</v>
      </c>
    </row>
    <row r="42" spans="1:10">
      <c r="A42" s="17"/>
      <c r="B42" s="26" t="s">
        <v>73</v>
      </c>
      <c r="C42" s="26"/>
      <c r="D42" s="27">
        <v>45932</v>
      </c>
      <c r="E42" s="27">
        <v>45939</v>
      </c>
      <c r="F42" s="28">
        <v>0.8</v>
      </c>
      <c r="G42" s="26" t="s">
        <v>44</v>
      </c>
      <c r="H42" s="29">
        <v>41</v>
      </c>
      <c r="I42" s="29"/>
      <c r="J42" s="29"/>
    </row>
    <row r="43" spans="1:10">
      <c r="A43" s="17"/>
      <c r="B43" s="17" t="s">
        <v>74</v>
      </c>
      <c r="C43" s="17"/>
      <c r="D43" s="30">
        <v>45939</v>
      </c>
      <c r="E43" s="30">
        <v>45946</v>
      </c>
      <c r="F43" s="31">
        <v>0.8</v>
      </c>
      <c r="G43" s="17" t="s">
        <v>44</v>
      </c>
      <c r="H43" s="32">
        <v>3</v>
      </c>
      <c r="I43" s="32"/>
      <c r="J43" s="32"/>
    </row>
  </sheetData>
  <mergeCells count="6">
    <mergeCell ref="H37:H38"/>
    <mergeCell ref="C1:J1"/>
    <mergeCell ref="H3:H4"/>
    <mergeCell ref="H5:H6"/>
    <mergeCell ref="C33:J33"/>
    <mergeCell ref="H35:H36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D3B47A-1540-432A-AB5F-5EC085BB0318}">
  <dimension ref="A1:B22"/>
  <sheetViews>
    <sheetView workbookViewId="0">
      <pane ySplit="1" topLeftCell="A2" activePane="bottomLeft" state="frozen"/>
      <selection pane="bottomLeft" activeCell="C15" sqref="C15"/>
    </sheetView>
  </sheetViews>
  <sheetFormatPr defaultRowHeight="14.45"/>
  <cols>
    <col min="1" max="1" width="20.42578125" customWidth="1"/>
    <col min="2" max="2" width="97.42578125" customWidth="1"/>
  </cols>
  <sheetData>
    <row r="1" spans="1:2">
      <c r="A1" s="42" t="s">
        <v>75</v>
      </c>
      <c r="B1" s="42" t="s">
        <v>52</v>
      </c>
    </row>
    <row r="2" spans="1:2" ht="57.95">
      <c r="A2" t="s">
        <v>76</v>
      </c>
      <c r="B2" s="4" t="s">
        <v>77</v>
      </c>
    </row>
    <row r="3" spans="1:2" ht="176.25" customHeight="1">
      <c r="A3" t="s">
        <v>78</v>
      </c>
      <c r="B3" s="63" t="s">
        <v>79</v>
      </c>
    </row>
    <row r="4" spans="1:2" ht="229.5" customHeight="1">
      <c r="A4" t="s">
        <v>80</v>
      </c>
      <c r="B4" s="63" t="s">
        <v>81</v>
      </c>
    </row>
    <row r="5" spans="1:2" ht="187.5" customHeight="1">
      <c r="A5" t="s">
        <v>82</v>
      </c>
      <c r="B5" s="63" t="s">
        <v>83</v>
      </c>
    </row>
    <row r="6" spans="1:2" ht="198" customHeight="1">
      <c r="A6" t="s">
        <v>84</v>
      </c>
      <c r="B6" s="63" t="s">
        <v>85</v>
      </c>
    </row>
    <row r="7" spans="1:2">
      <c r="A7" s="43"/>
      <c r="B7" s="43"/>
    </row>
    <row r="8" spans="1:2" ht="188.45">
      <c r="A8" t="s">
        <v>86</v>
      </c>
      <c r="B8" s="4" t="s">
        <v>87</v>
      </c>
    </row>
    <row r="9" spans="1:2" ht="290.10000000000002">
      <c r="A9" t="s">
        <v>88</v>
      </c>
      <c r="B9" s="4" t="s">
        <v>89</v>
      </c>
    </row>
    <row r="10" spans="1:2" ht="409.5">
      <c r="A10" t="s">
        <v>90</v>
      </c>
      <c r="B10" s="4" t="s">
        <v>91</v>
      </c>
    </row>
    <row r="11" spans="1:2" ht="409.5">
      <c r="A11" t="s">
        <v>92</v>
      </c>
      <c r="B11" s="4" t="s">
        <v>93</v>
      </c>
    </row>
    <row r="12" spans="1:2">
      <c r="A12" s="43"/>
      <c r="B12" s="43"/>
    </row>
    <row r="13" spans="1:2" ht="275.45">
      <c r="A13" t="s">
        <v>94</v>
      </c>
      <c r="B13" s="4" t="s">
        <v>95</v>
      </c>
    </row>
    <row r="14" spans="1:2" ht="231.95">
      <c r="A14" t="s">
        <v>96</v>
      </c>
      <c r="B14" s="4" t="s">
        <v>97</v>
      </c>
    </row>
    <row r="15" spans="1:2" ht="304.5">
      <c r="A15" t="s">
        <v>98</v>
      </c>
      <c r="B15" s="4" t="s">
        <v>99</v>
      </c>
    </row>
    <row r="16" spans="1:2">
      <c r="A16" t="s">
        <v>100</v>
      </c>
    </row>
    <row r="17" spans="1:2">
      <c r="A17" s="43"/>
      <c r="B17" s="43"/>
    </row>
    <row r="18" spans="1:2" ht="217.5">
      <c r="A18" t="s">
        <v>101</v>
      </c>
      <c r="B18" s="4" t="s">
        <v>102</v>
      </c>
    </row>
    <row r="19" spans="1:2" ht="86.25" customHeight="1">
      <c r="A19" t="s">
        <v>103</v>
      </c>
      <c r="B19" s="4" t="s">
        <v>104</v>
      </c>
    </row>
    <row r="20" spans="1:2" ht="171.75" customHeight="1">
      <c r="A20" t="s">
        <v>105</v>
      </c>
      <c r="B20" s="4" t="s">
        <v>106</v>
      </c>
    </row>
    <row r="21" spans="1:2" ht="217.5">
      <c r="A21" t="s">
        <v>107</v>
      </c>
      <c r="B21" s="4" t="s">
        <v>108</v>
      </c>
    </row>
    <row r="22" spans="1:2" ht="304.5">
      <c r="A22" t="s">
        <v>109</v>
      </c>
      <c r="B22" s="4" t="s">
        <v>110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AA0C-2A52-443D-BE44-892097F224B1}">
  <sheetPr filterMode="1"/>
  <dimension ref="A1:T27"/>
  <sheetViews>
    <sheetView workbookViewId="0">
      <pane ySplit="1" topLeftCell="A2" activePane="bottomLeft" state="frozen"/>
      <selection pane="bottomLeft" activeCell="C2" sqref="C2"/>
    </sheetView>
  </sheetViews>
  <sheetFormatPr defaultColWidth="9.140625" defaultRowHeight="14.45"/>
  <cols>
    <col min="1" max="1" width="18.7109375" style="48" customWidth="1"/>
    <col min="2" max="2" width="14.42578125" style="48" customWidth="1"/>
    <col min="3" max="3" width="21.42578125" style="48" customWidth="1"/>
    <col min="4" max="4" width="30" style="48" customWidth="1"/>
    <col min="5" max="5" width="19.85546875" style="48" customWidth="1"/>
    <col min="6" max="6" width="13" style="48" customWidth="1"/>
    <col min="7" max="7" width="14" style="48" customWidth="1"/>
    <col min="8" max="8" width="17.5703125" style="48" customWidth="1"/>
    <col min="9" max="9" width="16.140625" style="48" customWidth="1"/>
    <col min="10" max="10" width="14.5703125" style="48" customWidth="1"/>
    <col min="11" max="11" width="14.85546875" style="48" customWidth="1"/>
    <col min="12" max="12" width="15.42578125" style="48" customWidth="1"/>
    <col min="13" max="13" width="13.42578125" style="48" customWidth="1"/>
    <col min="14" max="14" width="13.85546875" style="48" customWidth="1"/>
    <col min="15" max="15" width="17.28515625" style="48" customWidth="1"/>
    <col min="16" max="16" width="15" style="48" customWidth="1"/>
    <col min="17" max="18" width="13.42578125" style="48" customWidth="1"/>
    <col min="19" max="19" width="9.140625" style="48"/>
    <col min="20" max="20" width="15.85546875" style="48" customWidth="1"/>
    <col min="21" max="16384" width="9.140625" style="48"/>
  </cols>
  <sheetData>
    <row r="1" spans="1:20" s="47" customFormat="1" ht="57.95">
      <c r="A1" s="64" t="s">
        <v>111</v>
      </c>
      <c r="B1" s="64" t="s">
        <v>112</v>
      </c>
      <c r="C1" s="64" t="s">
        <v>113</v>
      </c>
      <c r="D1" s="64" t="s">
        <v>114</v>
      </c>
      <c r="E1" s="64" t="s">
        <v>115</v>
      </c>
      <c r="F1" s="64" t="s">
        <v>116</v>
      </c>
      <c r="G1" s="64" t="s">
        <v>117</v>
      </c>
      <c r="H1" s="65" t="s">
        <v>118</v>
      </c>
      <c r="I1" s="65" t="s">
        <v>119</v>
      </c>
      <c r="J1" s="65" t="s">
        <v>120</v>
      </c>
      <c r="K1" s="64" t="s">
        <v>121</v>
      </c>
      <c r="L1" s="46" t="s">
        <v>122</v>
      </c>
      <c r="M1" s="64" t="s">
        <v>123</v>
      </c>
      <c r="N1" s="64" t="s">
        <v>124</v>
      </c>
      <c r="O1" s="64" t="s">
        <v>125</v>
      </c>
      <c r="P1" s="64" t="s">
        <v>126</v>
      </c>
      <c r="Q1" s="64" t="s">
        <v>53</v>
      </c>
      <c r="R1" s="64" t="s">
        <v>127</v>
      </c>
      <c r="S1" s="64" t="s">
        <v>128</v>
      </c>
      <c r="T1" s="64" t="s">
        <v>129</v>
      </c>
    </row>
    <row r="2" spans="1:20" ht="29.1">
      <c r="A2" s="66" t="s">
        <v>130</v>
      </c>
      <c r="B2" s="58" t="s">
        <v>131</v>
      </c>
      <c r="C2" s="98" t="s">
        <v>132</v>
      </c>
      <c r="D2" s="57" t="s">
        <v>133</v>
      </c>
      <c r="E2" s="57" t="s">
        <v>134</v>
      </c>
      <c r="F2" s="57">
        <v>1</v>
      </c>
      <c r="G2" s="57">
        <v>200</v>
      </c>
      <c r="H2" s="57" t="s">
        <v>135</v>
      </c>
      <c r="I2" s="58" t="s">
        <v>136</v>
      </c>
      <c r="J2" s="58" t="s">
        <v>137</v>
      </c>
      <c r="K2" s="57">
        <v>16</v>
      </c>
      <c r="L2" s="57">
        <v>8</v>
      </c>
      <c r="M2" s="57">
        <v>70</v>
      </c>
      <c r="N2" s="57">
        <v>560</v>
      </c>
      <c r="O2" s="67">
        <v>560000</v>
      </c>
      <c r="P2" s="67">
        <v>11200</v>
      </c>
      <c r="Q2" s="68">
        <v>1</v>
      </c>
      <c r="R2" s="70">
        <v>46057</v>
      </c>
      <c r="S2" s="69" t="s">
        <v>138</v>
      </c>
      <c r="T2" s="90">
        <v>46021</v>
      </c>
    </row>
    <row r="3" spans="1:20" ht="29.1">
      <c r="A3" s="66" t="s">
        <v>130</v>
      </c>
      <c r="B3" s="58" t="s">
        <v>131</v>
      </c>
      <c r="C3" s="100" t="s">
        <v>139</v>
      </c>
      <c r="D3" s="57" t="s">
        <v>133</v>
      </c>
      <c r="E3" s="57" t="s">
        <v>140</v>
      </c>
      <c r="F3" s="57">
        <v>0.97</v>
      </c>
      <c r="G3" s="57">
        <v>400</v>
      </c>
      <c r="H3" s="57" t="s">
        <v>141</v>
      </c>
      <c r="I3" s="58" t="s">
        <v>136</v>
      </c>
      <c r="J3" s="58" t="s">
        <v>137</v>
      </c>
      <c r="K3" s="57">
        <v>16</v>
      </c>
      <c r="L3" s="57">
        <v>8</v>
      </c>
      <c r="M3" s="57">
        <v>30</v>
      </c>
      <c r="N3" s="57">
        <v>240</v>
      </c>
      <c r="O3" s="67">
        <v>240000</v>
      </c>
      <c r="P3" s="67">
        <v>4800</v>
      </c>
      <c r="Q3" s="68">
        <v>1</v>
      </c>
      <c r="R3" s="70">
        <v>46057</v>
      </c>
      <c r="S3" s="69" t="s">
        <v>138</v>
      </c>
      <c r="T3" s="91">
        <v>46021</v>
      </c>
    </row>
    <row r="4" spans="1:20" ht="29.1">
      <c r="A4" s="66" t="s">
        <v>130</v>
      </c>
      <c r="B4" s="58" t="s">
        <v>131</v>
      </c>
      <c r="C4" s="98" t="s">
        <v>142</v>
      </c>
      <c r="D4" s="57" t="s">
        <v>133</v>
      </c>
      <c r="E4" s="57" t="s">
        <v>143</v>
      </c>
      <c r="F4" s="57">
        <v>0.87</v>
      </c>
      <c r="G4" s="57">
        <v>350</v>
      </c>
      <c r="H4" s="57" t="s">
        <v>144</v>
      </c>
      <c r="I4" s="58" t="s">
        <v>136</v>
      </c>
      <c r="J4" s="58" t="s">
        <v>137</v>
      </c>
      <c r="K4" s="57">
        <v>16</v>
      </c>
      <c r="L4" s="57">
        <v>8</v>
      </c>
      <c r="M4" s="57">
        <v>25</v>
      </c>
      <c r="N4" s="57">
        <v>200</v>
      </c>
      <c r="O4" s="67">
        <v>200000</v>
      </c>
      <c r="P4" s="67">
        <v>4000</v>
      </c>
      <c r="Q4" s="68">
        <v>1</v>
      </c>
      <c r="R4" s="70">
        <v>46057</v>
      </c>
      <c r="S4" s="69" t="s">
        <v>138</v>
      </c>
      <c r="T4" s="91">
        <v>46021</v>
      </c>
    </row>
    <row r="5" spans="1:20" ht="57.95">
      <c r="A5" s="66" t="s">
        <v>130</v>
      </c>
      <c r="B5" s="58" t="s">
        <v>145</v>
      </c>
      <c r="C5" s="98" t="s">
        <v>146</v>
      </c>
      <c r="D5" s="57" t="s">
        <v>133</v>
      </c>
      <c r="E5" s="57" t="s">
        <v>147</v>
      </c>
      <c r="F5" s="57" t="s">
        <v>148</v>
      </c>
      <c r="G5" s="57" t="s">
        <v>149</v>
      </c>
      <c r="H5" s="57" t="s">
        <v>135</v>
      </c>
      <c r="I5" s="58" t="s">
        <v>136</v>
      </c>
      <c r="J5" s="58" t="s">
        <v>137</v>
      </c>
      <c r="K5" s="57">
        <v>32</v>
      </c>
      <c r="L5" s="57">
        <v>8</v>
      </c>
      <c r="M5" s="57">
        <v>69</v>
      </c>
      <c r="N5" s="57">
        <v>552</v>
      </c>
      <c r="O5" s="67">
        <v>552000</v>
      </c>
      <c r="P5" s="67">
        <v>11040</v>
      </c>
      <c r="Q5" s="68">
        <v>1</v>
      </c>
      <c r="R5" s="70">
        <v>46057</v>
      </c>
      <c r="S5" s="69" t="s">
        <v>138</v>
      </c>
      <c r="T5" s="91">
        <v>46021</v>
      </c>
    </row>
    <row r="6" spans="1:20" ht="29.1">
      <c r="A6" s="66" t="s">
        <v>130</v>
      </c>
      <c r="B6" s="58" t="s">
        <v>131</v>
      </c>
      <c r="C6" s="57" t="s">
        <v>150</v>
      </c>
      <c r="D6" s="57" t="s">
        <v>151</v>
      </c>
      <c r="E6" s="57" t="s">
        <v>152</v>
      </c>
      <c r="F6" s="57">
        <v>0.85</v>
      </c>
      <c r="G6" s="57">
        <v>400</v>
      </c>
      <c r="H6" s="57" t="s">
        <v>135</v>
      </c>
      <c r="I6" s="58" t="s">
        <v>136</v>
      </c>
      <c r="J6" s="58" t="s">
        <v>137</v>
      </c>
      <c r="K6" s="57">
        <v>16</v>
      </c>
      <c r="L6" s="57">
        <v>8</v>
      </c>
      <c r="M6" s="57">
        <v>34</v>
      </c>
      <c r="N6" s="57">
        <v>272</v>
      </c>
      <c r="O6" s="67">
        <v>272000</v>
      </c>
      <c r="P6" s="67">
        <v>5440</v>
      </c>
      <c r="Q6" s="68">
        <v>1</v>
      </c>
      <c r="R6" s="70">
        <v>46057</v>
      </c>
      <c r="S6" s="69" t="s">
        <v>138</v>
      </c>
      <c r="T6" s="91">
        <v>46026</v>
      </c>
    </row>
    <row r="7" spans="1:20" ht="29.1">
      <c r="A7" s="66" t="s">
        <v>130</v>
      </c>
      <c r="B7" s="58" t="s">
        <v>131</v>
      </c>
      <c r="C7" s="57" t="s">
        <v>153</v>
      </c>
      <c r="D7" s="57" t="s">
        <v>133</v>
      </c>
      <c r="E7" s="57" t="s">
        <v>154</v>
      </c>
      <c r="F7" s="57">
        <v>1.1200000000000001</v>
      </c>
      <c r="G7" s="57">
        <v>350</v>
      </c>
      <c r="H7" s="57" t="s">
        <v>135</v>
      </c>
      <c r="I7" s="58" t="s">
        <v>136</v>
      </c>
      <c r="J7" s="58" t="s">
        <v>137</v>
      </c>
      <c r="K7" s="57">
        <v>16</v>
      </c>
      <c r="L7" s="57">
        <v>8</v>
      </c>
      <c r="M7" s="57">
        <v>35</v>
      </c>
      <c r="N7" s="57">
        <v>280</v>
      </c>
      <c r="O7" s="67">
        <v>280000</v>
      </c>
      <c r="P7" s="67">
        <v>5600</v>
      </c>
      <c r="Q7" s="68">
        <v>1</v>
      </c>
      <c r="R7" s="70">
        <v>46057</v>
      </c>
      <c r="S7" s="69" t="s">
        <v>138</v>
      </c>
      <c r="T7" s="91">
        <v>46026</v>
      </c>
    </row>
    <row r="8" spans="1:20" ht="29.1">
      <c r="A8" s="66" t="s">
        <v>130</v>
      </c>
      <c r="B8" s="58" t="s">
        <v>131</v>
      </c>
      <c r="C8" s="57" t="s">
        <v>155</v>
      </c>
      <c r="D8" s="57" t="s">
        <v>156</v>
      </c>
      <c r="E8" s="57" t="s">
        <v>157</v>
      </c>
      <c r="F8" s="57" t="s">
        <v>158</v>
      </c>
      <c r="G8" s="57" t="s">
        <v>159</v>
      </c>
      <c r="H8" s="57" t="s">
        <v>135</v>
      </c>
      <c r="I8" s="58" t="s">
        <v>136</v>
      </c>
      <c r="J8" s="58" t="s">
        <v>137</v>
      </c>
      <c r="K8" s="57">
        <v>16</v>
      </c>
      <c r="L8" s="57">
        <v>8</v>
      </c>
      <c r="M8" s="57">
        <v>45</v>
      </c>
      <c r="N8" s="57">
        <v>360</v>
      </c>
      <c r="O8" s="67">
        <v>360000</v>
      </c>
      <c r="P8" s="67">
        <v>7200</v>
      </c>
      <c r="Q8" s="68">
        <v>1</v>
      </c>
      <c r="R8" s="70">
        <v>46057</v>
      </c>
      <c r="S8" s="69" t="s">
        <v>138</v>
      </c>
      <c r="T8" s="91">
        <v>46026</v>
      </c>
    </row>
    <row r="9" spans="1:20" ht="48" hidden="1" customHeight="1">
      <c r="A9" s="71" t="s">
        <v>160</v>
      </c>
      <c r="B9" s="58" t="s">
        <v>161</v>
      </c>
      <c r="C9" s="58" t="s">
        <v>162</v>
      </c>
      <c r="D9" s="57" t="s">
        <v>151</v>
      </c>
      <c r="E9" s="58" t="s">
        <v>163</v>
      </c>
      <c r="F9" s="57">
        <v>0.8</v>
      </c>
      <c r="G9" s="57">
        <v>700</v>
      </c>
      <c r="H9" s="57" t="s">
        <v>135</v>
      </c>
      <c r="I9" s="58" t="s">
        <v>136</v>
      </c>
      <c r="J9" s="58" t="s">
        <v>137</v>
      </c>
      <c r="K9" s="57">
        <v>16</v>
      </c>
      <c r="L9" s="57">
        <v>8</v>
      </c>
      <c r="M9" s="57">
        <v>29</v>
      </c>
      <c r="N9" s="57">
        <v>232</v>
      </c>
      <c r="O9" s="67">
        <v>232000</v>
      </c>
      <c r="P9" s="67">
        <v>4640</v>
      </c>
      <c r="Q9" s="68">
        <v>1</v>
      </c>
      <c r="R9" s="57" t="s">
        <v>164</v>
      </c>
      <c r="S9" s="69" t="s">
        <v>138</v>
      </c>
      <c r="T9" s="92" t="s">
        <v>165</v>
      </c>
    </row>
    <row r="10" spans="1:20" ht="29.1" hidden="1">
      <c r="A10" s="71" t="s">
        <v>160</v>
      </c>
      <c r="B10" s="58" t="s">
        <v>166</v>
      </c>
      <c r="C10" s="109" t="s">
        <v>167</v>
      </c>
      <c r="D10" s="57" t="s">
        <v>151</v>
      </c>
      <c r="E10" s="58" t="s">
        <v>140</v>
      </c>
      <c r="F10" s="57">
        <v>1.2</v>
      </c>
      <c r="G10" s="57">
        <v>500</v>
      </c>
      <c r="H10" s="57" t="s">
        <v>135</v>
      </c>
      <c r="I10" s="58" t="s">
        <v>136</v>
      </c>
      <c r="J10" s="58" t="s">
        <v>137</v>
      </c>
      <c r="K10" s="57">
        <v>16</v>
      </c>
      <c r="L10" s="57" t="s">
        <v>168</v>
      </c>
      <c r="M10" s="57">
        <v>35</v>
      </c>
      <c r="N10" s="57">
        <v>280</v>
      </c>
      <c r="O10" s="67">
        <v>280000</v>
      </c>
      <c r="P10" s="67">
        <v>5600</v>
      </c>
      <c r="Q10" s="68">
        <v>1</v>
      </c>
      <c r="R10" s="57" t="s">
        <v>164</v>
      </c>
      <c r="S10" s="69" t="s">
        <v>138</v>
      </c>
      <c r="T10" s="92" t="s">
        <v>165</v>
      </c>
    </row>
    <row r="11" spans="1:20" ht="29.1" hidden="1">
      <c r="A11" s="71" t="s">
        <v>160</v>
      </c>
      <c r="B11" s="58" t="s">
        <v>166</v>
      </c>
      <c r="C11" s="58" t="s">
        <v>169</v>
      </c>
      <c r="D11" s="57" t="s">
        <v>151</v>
      </c>
      <c r="E11" s="58" t="s">
        <v>170</v>
      </c>
      <c r="F11" s="57">
        <v>0.78</v>
      </c>
      <c r="G11" s="57">
        <v>650</v>
      </c>
      <c r="H11" s="57" t="s">
        <v>171</v>
      </c>
      <c r="I11" s="58" t="s">
        <v>136</v>
      </c>
      <c r="J11" s="58" t="s">
        <v>137</v>
      </c>
      <c r="K11" s="57">
        <v>16</v>
      </c>
      <c r="L11" s="57">
        <v>8</v>
      </c>
      <c r="M11" s="57">
        <v>28</v>
      </c>
      <c r="N11" s="57">
        <v>224</v>
      </c>
      <c r="O11" s="67">
        <v>224000</v>
      </c>
      <c r="P11" s="67">
        <v>4480</v>
      </c>
      <c r="Q11" s="68">
        <v>1</v>
      </c>
      <c r="R11" s="57" t="s">
        <v>164</v>
      </c>
      <c r="S11" s="69" t="s">
        <v>138</v>
      </c>
      <c r="T11" s="92" t="s">
        <v>165</v>
      </c>
    </row>
    <row r="12" spans="1:20" ht="29.1" hidden="1">
      <c r="A12" s="71" t="s">
        <v>160</v>
      </c>
      <c r="B12" s="58" t="s">
        <v>166</v>
      </c>
      <c r="C12" s="58" t="s">
        <v>172</v>
      </c>
      <c r="D12" s="57" t="s">
        <v>133</v>
      </c>
      <c r="E12" s="58" t="s">
        <v>173</v>
      </c>
      <c r="F12" s="57">
        <v>0.6</v>
      </c>
      <c r="G12" s="57">
        <v>450</v>
      </c>
      <c r="H12" s="57" t="s">
        <v>135</v>
      </c>
      <c r="I12" s="58" t="s">
        <v>136</v>
      </c>
      <c r="J12" s="58" t="s">
        <v>137</v>
      </c>
      <c r="K12" s="57">
        <v>32</v>
      </c>
      <c r="L12" s="57">
        <v>8</v>
      </c>
      <c r="M12" s="57">
        <v>40</v>
      </c>
      <c r="N12" s="57">
        <v>320</v>
      </c>
      <c r="O12" s="67">
        <v>320000</v>
      </c>
      <c r="P12" s="67">
        <v>6400</v>
      </c>
      <c r="Q12" s="68">
        <v>1</v>
      </c>
      <c r="R12" s="57" t="s">
        <v>164</v>
      </c>
      <c r="S12" s="69" t="s">
        <v>138</v>
      </c>
      <c r="T12" s="93" t="s">
        <v>165</v>
      </c>
    </row>
    <row r="13" spans="1:20" ht="29.1" hidden="1">
      <c r="A13" s="71" t="s">
        <v>160</v>
      </c>
      <c r="B13" s="58" t="s">
        <v>166</v>
      </c>
      <c r="C13" s="57" t="s">
        <v>174</v>
      </c>
      <c r="D13" s="57" t="s">
        <v>133</v>
      </c>
      <c r="E13" s="58" t="s">
        <v>175</v>
      </c>
      <c r="F13" s="57">
        <v>0.9</v>
      </c>
      <c r="G13" s="57">
        <v>400</v>
      </c>
      <c r="H13" s="57" t="s">
        <v>135</v>
      </c>
      <c r="I13" s="58" t="s">
        <v>136</v>
      </c>
      <c r="J13" s="58" t="s">
        <v>137</v>
      </c>
      <c r="K13" s="57">
        <v>16</v>
      </c>
      <c r="L13" s="57">
        <v>8</v>
      </c>
      <c r="M13" s="57">
        <v>30</v>
      </c>
      <c r="N13" s="57">
        <v>240</v>
      </c>
      <c r="O13" s="67">
        <v>240000</v>
      </c>
      <c r="P13" s="67">
        <v>4800</v>
      </c>
      <c r="Q13" s="68">
        <v>1</v>
      </c>
      <c r="R13" s="57" t="s">
        <v>164</v>
      </c>
      <c r="S13" s="69" t="s">
        <v>138</v>
      </c>
      <c r="T13" s="93" t="s">
        <v>165</v>
      </c>
    </row>
    <row r="14" spans="1:20" ht="39.75" hidden="1" customHeight="1">
      <c r="A14" s="71" t="s">
        <v>160</v>
      </c>
      <c r="B14" s="58" t="s">
        <v>161</v>
      </c>
      <c r="C14" s="57" t="s">
        <v>176</v>
      </c>
      <c r="D14" s="57" t="s">
        <v>133</v>
      </c>
      <c r="E14" s="58" t="s">
        <v>177</v>
      </c>
      <c r="F14" s="57">
        <v>1</v>
      </c>
      <c r="G14" s="57">
        <v>430</v>
      </c>
      <c r="H14" s="57" t="s">
        <v>135</v>
      </c>
      <c r="I14" s="58" t="s">
        <v>136</v>
      </c>
      <c r="J14" s="58" t="s">
        <v>137</v>
      </c>
      <c r="K14" s="57">
        <v>16</v>
      </c>
      <c r="L14" s="57">
        <v>8</v>
      </c>
      <c r="M14" s="57">
        <v>33</v>
      </c>
      <c r="N14" s="57">
        <v>264</v>
      </c>
      <c r="O14" s="67">
        <v>264000</v>
      </c>
      <c r="P14" s="67">
        <v>5280</v>
      </c>
      <c r="Q14" s="68">
        <v>1</v>
      </c>
      <c r="R14" s="57" t="s">
        <v>164</v>
      </c>
      <c r="S14" s="69" t="s">
        <v>138</v>
      </c>
      <c r="T14" s="93" t="s">
        <v>165</v>
      </c>
    </row>
    <row r="15" spans="1:20" ht="29.1" hidden="1">
      <c r="A15" s="71" t="s">
        <v>160</v>
      </c>
      <c r="B15" s="58" t="s">
        <v>161</v>
      </c>
      <c r="C15" s="57" t="s">
        <v>178</v>
      </c>
      <c r="D15" s="57" t="s">
        <v>133</v>
      </c>
      <c r="E15" s="58" t="s">
        <v>179</v>
      </c>
      <c r="F15" s="57">
        <v>0.65</v>
      </c>
      <c r="G15" s="57">
        <v>400</v>
      </c>
      <c r="H15" s="57" t="s">
        <v>135</v>
      </c>
      <c r="I15" s="58" t="s">
        <v>136</v>
      </c>
      <c r="J15" s="58" t="s">
        <v>137</v>
      </c>
      <c r="K15" s="57">
        <v>16</v>
      </c>
      <c r="L15" s="57">
        <v>8</v>
      </c>
      <c r="M15" s="57">
        <v>41</v>
      </c>
      <c r="N15" s="57">
        <v>328</v>
      </c>
      <c r="O15" s="67">
        <v>328000</v>
      </c>
      <c r="P15" s="67">
        <v>6560</v>
      </c>
      <c r="Q15" s="68">
        <v>1</v>
      </c>
      <c r="R15" s="57" t="s">
        <v>164</v>
      </c>
      <c r="S15" s="69" t="s">
        <v>138</v>
      </c>
      <c r="T15" s="93" t="s">
        <v>165</v>
      </c>
    </row>
    <row r="16" spans="1:20" ht="29.1" hidden="1">
      <c r="A16" s="71" t="s">
        <v>160</v>
      </c>
      <c r="B16" s="58" t="s">
        <v>180</v>
      </c>
      <c r="C16" s="109" t="s">
        <v>181</v>
      </c>
      <c r="D16" s="57" t="s">
        <v>133</v>
      </c>
      <c r="E16" s="58" t="s">
        <v>182</v>
      </c>
      <c r="F16" s="57">
        <v>1.3</v>
      </c>
      <c r="G16" s="57">
        <v>370</v>
      </c>
      <c r="H16" s="57" t="s">
        <v>135</v>
      </c>
      <c r="I16" s="58" t="s">
        <v>136</v>
      </c>
      <c r="J16" s="58" t="s">
        <v>137</v>
      </c>
      <c r="K16" s="57">
        <v>16</v>
      </c>
      <c r="L16" s="57">
        <v>8</v>
      </c>
      <c r="M16" s="57">
        <v>29</v>
      </c>
      <c r="N16" s="57">
        <v>232</v>
      </c>
      <c r="O16" s="72">
        <v>232000</v>
      </c>
      <c r="P16" s="67">
        <v>4640</v>
      </c>
      <c r="Q16" s="68">
        <v>1</v>
      </c>
      <c r="R16" s="57" t="s">
        <v>164</v>
      </c>
      <c r="S16" s="69" t="s">
        <v>138</v>
      </c>
      <c r="T16" s="93" t="s">
        <v>165</v>
      </c>
    </row>
    <row r="17" spans="1:20" ht="29.1" hidden="1">
      <c r="A17" s="73" t="s">
        <v>183</v>
      </c>
      <c r="B17" s="58" t="s">
        <v>184</v>
      </c>
      <c r="C17" s="58" t="s">
        <v>185</v>
      </c>
      <c r="D17" s="57" t="s">
        <v>151</v>
      </c>
      <c r="E17" s="58" t="s">
        <v>186</v>
      </c>
      <c r="F17" s="58">
        <v>1</v>
      </c>
      <c r="G17" s="58">
        <v>510</v>
      </c>
      <c r="H17" s="57" t="s">
        <v>187</v>
      </c>
      <c r="I17" s="58" t="s">
        <v>136</v>
      </c>
      <c r="J17" s="58" t="s">
        <v>188</v>
      </c>
      <c r="K17" s="58">
        <v>16</v>
      </c>
      <c r="L17" s="58">
        <v>8</v>
      </c>
      <c r="M17" s="58">
        <v>30</v>
      </c>
      <c r="N17" s="58">
        <v>240</v>
      </c>
      <c r="O17" s="74">
        <v>240000</v>
      </c>
      <c r="P17" s="57">
        <v>1000</v>
      </c>
      <c r="Q17" s="56">
        <v>1</v>
      </c>
      <c r="R17" s="75"/>
      <c r="S17" s="69" t="s">
        <v>138</v>
      </c>
      <c r="T17" s="94">
        <v>46112</v>
      </c>
    </row>
    <row r="18" spans="1:20" ht="43.5" hidden="1">
      <c r="A18" s="73" t="s">
        <v>183</v>
      </c>
      <c r="B18" s="58" t="s">
        <v>189</v>
      </c>
      <c r="C18" s="58" t="s">
        <v>190</v>
      </c>
      <c r="D18" s="110" t="s">
        <v>151</v>
      </c>
      <c r="E18" s="58" t="s">
        <v>191</v>
      </c>
      <c r="F18" s="58">
        <v>1</v>
      </c>
      <c r="G18" s="58">
        <v>450</v>
      </c>
      <c r="H18" s="57" t="s">
        <v>187</v>
      </c>
      <c r="I18" s="58" t="s">
        <v>136</v>
      </c>
      <c r="J18" s="58" t="s">
        <v>188</v>
      </c>
      <c r="K18" s="58">
        <v>16</v>
      </c>
      <c r="L18" s="58">
        <v>8</v>
      </c>
      <c r="M18" s="58">
        <v>30</v>
      </c>
      <c r="N18" s="58">
        <v>240</v>
      </c>
      <c r="O18" s="74">
        <v>240000</v>
      </c>
      <c r="P18" s="77">
        <v>2500</v>
      </c>
      <c r="Q18" s="56">
        <v>1</v>
      </c>
      <c r="R18" s="75"/>
      <c r="S18" s="69" t="s">
        <v>192</v>
      </c>
      <c r="T18" s="95">
        <v>46112</v>
      </c>
    </row>
    <row r="19" spans="1:20" ht="57.95" hidden="1">
      <c r="A19" s="73" t="s">
        <v>193</v>
      </c>
      <c r="B19" s="58" t="s">
        <v>184</v>
      </c>
      <c r="C19" s="98" t="s">
        <v>194</v>
      </c>
      <c r="D19" s="57" t="s">
        <v>133</v>
      </c>
      <c r="E19" s="58" t="s">
        <v>195</v>
      </c>
      <c r="F19" s="78" t="s">
        <v>14</v>
      </c>
      <c r="G19" s="79" t="s">
        <v>196</v>
      </c>
      <c r="H19" s="79" t="s">
        <v>197</v>
      </c>
      <c r="I19" s="58" t="s">
        <v>198</v>
      </c>
      <c r="J19" s="58" t="s">
        <v>199</v>
      </c>
      <c r="K19" s="57">
        <v>24</v>
      </c>
      <c r="L19" s="57">
        <v>8</v>
      </c>
      <c r="M19" s="57">
        <v>82.8</v>
      </c>
      <c r="N19" s="57">
        <v>662.4</v>
      </c>
      <c r="O19" s="67">
        <v>662000</v>
      </c>
      <c r="P19" s="67">
        <v>11000</v>
      </c>
      <c r="Q19" s="68">
        <v>1</v>
      </c>
      <c r="R19" s="57"/>
      <c r="S19" s="69" t="s">
        <v>192</v>
      </c>
      <c r="T19" s="76">
        <v>42459</v>
      </c>
    </row>
    <row r="20" spans="1:20" ht="29.1" hidden="1">
      <c r="A20" s="73" t="s">
        <v>183</v>
      </c>
      <c r="B20" s="58" t="s">
        <v>189</v>
      </c>
      <c r="C20" s="98" t="s">
        <v>200</v>
      </c>
      <c r="D20" s="109" t="s">
        <v>133</v>
      </c>
      <c r="E20" s="58" t="s">
        <v>201</v>
      </c>
      <c r="F20" s="57">
        <v>2</v>
      </c>
      <c r="G20" s="57">
        <v>40</v>
      </c>
      <c r="H20" s="57" t="s">
        <v>202</v>
      </c>
      <c r="I20" s="58" t="s">
        <v>136</v>
      </c>
      <c r="J20" s="58" t="s">
        <v>188</v>
      </c>
      <c r="K20" s="57">
        <v>16</v>
      </c>
      <c r="L20" s="57">
        <v>8</v>
      </c>
      <c r="M20" s="57">
        <v>30</v>
      </c>
      <c r="N20" s="57" t="s">
        <v>203</v>
      </c>
      <c r="O20" s="67">
        <v>180000</v>
      </c>
      <c r="P20" s="72">
        <v>2000</v>
      </c>
      <c r="Q20" s="68">
        <v>1</v>
      </c>
      <c r="R20" s="57"/>
      <c r="S20" s="69" t="s">
        <v>192</v>
      </c>
      <c r="T20" s="59">
        <v>42459</v>
      </c>
    </row>
    <row r="21" spans="1:20" ht="29.1" hidden="1">
      <c r="A21" s="73" t="s">
        <v>183</v>
      </c>
      <c r="B21" s="58" t="s">
        <v>184</v>
      </c>
      <c r="C21" s="100" t="s">
        <v>204</v>
      </c>
      <c r="D21" s="57" t="s">
        <v>133</v>
      </c>
      <c r="E21" s="57" t="s">
        <v>205</v>
      </c>
      <c r="F21" s="77" t="s">
        <v>14</v>
      </c>
      <c r="G21" s="77" t="s">
        <v>14</v>
      </c>
      <c r="H21" s="77" t="s">
        <v>14</v>
      </c>
      <c r="I21" s="58" t="s">
        <v>136</v>
      </c>
      <c r="J21" s="58" t="s">
        <v>188</v>
      </c>
      <c r="K21" s="57">
        <v>16</v>
      </c>
      <c r="L21" s="57">
        <v>8</v>
      </c>
      <c r="M21" s="57">
        <v>30</v>
      </c>
      <c r="N21" s="57">
        <v>180</v>
      </c>
      <c r="O21" s="67">
        <v>180000</v>
      </c>
      <c r="P21" s="72">
        <v>2000</v>
      </c>
      <c r="Q21" s="68">
        <v>1</v>
      </c>
      <c r="R21" s="57"/>
      <c r="S21" s="69" t="s">
        <v>192</v>
      </c>
      <c r="T21" s="59">
        <v>46112</v>
      </c>
    </row>
    <row r="22" spans="1:20" ht="29.1" hidden="1">
      <c r="A22" s="73" t="s">
        <v>183</v>
      </c>
      <c r="B22" s="58" t="s">
        <v>184</v>
      </c>
      <c r="C22" s="98" t="s">
        <v>206</v>
      </c>
      <c r="D22" s="109" t="s">
        <v>133</v>
      </c>
      <c r="E22" s="57" t="s">
        <v>207</v>
      </c>
      <c r="F22" s="57">
        <v>1.5</v>
      </c>
      <c r="G22" s="57">
        <v>590</v>
      </c>
      <c r="H22" s="57" t="s">
        <v>208</v>
      </c>
      <c r="I22" s="58" t="s">
        <v>209</v>
      </c>
      <c r="J22" s="58" t="s">
        <v>210</v>
      </c>
      <c r="K22" s="57">
        <v>30</v>
      </c>
      <c r="L22" s="57">
        <v>8</v>
      </c>
      <c r="M22" s="57">
        <v>30</v>
      </c>
      <c r="N22" s="57">
        <v>180</v>
      </c>
      <c r="O22" s="67">
        <v>180000</v>
      </c>
      <c r="P22" s="67">
        <v>9000</v>
      </c>
      <c r="Q22" s="68">
        <v>1</v>
      </c>
      <c r="R22" s="57"/>
      <c r="S22" s="69" t="s">
        <v>192</v>
      </c>
      <c r="T22" s="59">
        <v>46112</v>
      </c>
    </row>
    <row r="23" spans="1:20" ht="37.5" hidden="1" customHeight="1">
      <c r="A23" s="49" t="s">
        <v>211</v>
      </c>
      <c r="B23" s="50" t="s">
        <v>212</v>
      </c>
      <c r="C23" s="51" t="s">
        <v>213</v>
      </c>
      <c r="D23" s="57" t="s">
        <v>151</v>
      </c>
      <c r="E23" s="69" t="s">
        <v>214</v>
      </c>
      <c r="F23" s="69"/>
      <c r="G23" s="69"/>
      <c r="H23" s="69"/>
      <c r="I23" s="69"/>
      <c r="J23" s="69"/>
      <c r="K23" s="69"/>
      <c r="L23" s="69"/>
      <c r="M23" s="69"/>
      <c r="N23" s="69"/>
      <c r="O23" s="69"/>
      <c r="P23" s="50">
        <v>5000</v>
      </c>
      <c r="Q23" s="52">
        <v>0.03</v>
      </c>
      <c r="R23" s="69"/>
      <c r="S23" s="69"/>
      <c r="T23" s="89"/>
    </row>
    <row r="24" spans="1:20" ht="29.1" hidden="1">
      <c r="A24" s="49" t="s">
        <v>211</v>
      </c>
      <c r="B24" s="50" t="s">
        <v>215</v>
      </c>
      <c r="C24" s="99" t="s">
        <v>216</v>
      </c>
      <c r="D24" s="57" t="s">
        <v>133</v>
      </c>
      <c r="E24" s="69" t="s">
        <v>217</v>
      </c>
      <c r="F24" s="69">
        <v>4.17</v>
      </c>
      <c r="G24" s="69">
        <v>102</v>
      </c>
      <c r="H24" s="69" t="s">
        <v>218</v>
      </c>
      <c r="I24" s="69" t="s">
        <v>219</v>
      </c>
      <c r="J24" s="69"/>
      <c r="K24" s="69">
        <v>14</v>
      </c>
      <c r="L24" s="69">
        <v>6</v>
      </c>
      <c r="M24" s="69">
        <v>7.2</v>
      </c>
      <c r="N24" s="69">
        <v>40</v>
      </c>
      <c r="O24" s="80">
        <v>40000</v>
      </c>
      <c r="P24" s="69">
        <v>9000</v>
      </c>
      <c r="Q24" s="81">
        <v>1</v>
      </c>
      <c r="R24" s="82" t="s">
        <v>192</v>
      </c>
      <c r="S24" s="69"/>
      <c r="T24" s="89"/>
    </row>
    <row r="25" spans="1:20" ht="29.1" hidden="1">
      <c r="A25" s="49" t="s">
        <v>211</v>
      </c>
      <c r="B25" s="51" t="s">
        <v>220</v>
      </c>
      <c r="C25" s="51" t="s">
        <v>221</v>
      </c>
      <c r="D25" s="57" t="s">
        <v>133</v>
      </c>
      <c r="E25" s="69" t="s">
        <v>222</v>
      </c>
      <c r="F25" s="69">
        <v>1.6</v>
      </c>
      <c r="G25" s="69">
        <v>106.5</v>
      </c>
      <c r="H25" s="69" t="s">
        <v>218</v>
      </c>
      <c r="I25" s="69" t="s">
        <v>219</v>
      </c>
      <c r="J25" s="69"/>
      <c r="K25" s="69">
        <v>14</v>
      </c>
      <c r="L25" s="69">
        <v>6</v>
      </c>
      <c r="M25" s="83" t="s">
        <v>223</v>
      </c>
      <c r="N25" s="69">
        <v>30</v>
      </c>
      <c r="O25" s="80">
        <v>30000</v>
      </c>
      <c r="P25" s="69">
        <v>8000</v>
      </c>
      <c r="Q25" s="81">
        <v>1</v>
      </c>
      <c r="R25" s="82" t="s">
        <v>192</v>
      </c>
      <c r="S25" s="69"/>
      <c r="T25" s="89"/>
    </row>
    <row r="26" spans="1:20">
      <c r="A26" s="75"/>
      <c r="B26" s="75"/>
      <c r="C26" s="75"/>
      <c r="D26" s="75"/>
      <c r="E26" s="75"/>
      <c r="F26" s="75"/>
      <c r="G26" s="75"/>
      <c r="H26" s="75"/>
      <c r="I26" s="75"/>
      <c r="J26" s="75"/>
      <c r="K26" s="75"/>
      <c r="L26" s="75"/>
      <c r="M26" s="75"/>
      <c r="N26" s="75"/>
      <c r="O26" s="84">
        <f>SUBTOTAL(9,O2:O25)</f>
        <v>2464000</v>
      </c>
      <c r="P26" s="84">
        <f>SUBTOTAL(9,P2:P25)</f>
        <v>49280</v>
      </c>
      <c r="Q26" s="75"/>
      <c r="R26" s="75"/>
      <c r="S26" s="75"/>
      <c r="T26" s="75"/>
    </row>
    <row r="27" spans="1:20">
      <c r="A27" s="75"/>
      <c r="B27" s="75"/>
      <c r="C27" s="75"/>
      <c r="D27" s="75"/>
      <c r="E27" s="75"/>
      <c r="F27" s="75"/>
      <c r="G27" s="75"/>
      <c r="H27" s="75"/>
      <c r="I27" s="75"/>
      <c r="J27" s="75"/>
      <c r="K27" s="75"/>
      <c r="L27" s="75"/>
      <c r="M27" s="75"/>
      <c r="N27" s="75"/>
      <c r="O27" s="75"/>
      <c r="P27" s="75"/>
      <c r="Q27" s="75"/>
      <c r="R27" s="75"/>
      <c r="S27" s="75"/>
      <c r="T27" s="75"/>
    </row>
  </sheetData>
  <autoFilter ref="A1:T25" xr:uid="{D80EAA0C-2A52-443D-BE44-892097F224B1}">
    <filterColumn colId="0">
      <filters>
        <filter val="Sennar"/>
      </filters>
    </filterColumn>
  </autoFilter>
  <pageMargins left="0.7" right="0.7" top="0.75" bottom="0.75" header="0.3" footer="0.3"/>
  <legacy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0CD1546-A58D-4342-9B23-460C09D6C6D6}">
  <dimension ref="A1:L105"/>
  <sheetViews>
    <sheetView tabSelected="1" topLeftCell="A39" workbookViewId="0">
      <selection activeCell="A52" sqref="A52"/>
    </sheetView>
  </sheetViews>
  <sheetFormatPr defaultRowHeight="14.45"/>
  <cols>
    <col min="1" max="1" width="6.42578125" customWidth="1"/>
    <col min="2" max="2" width="16.140625" customWidth="1"/>
    <col min="3" max="3" width="20.28515625" customWidth="1"/>
    <col min="4" max="4" width="27.7109375" customWidth="1"/>
    <col min="5" max="5" width="30.28515625" customWidth="1"/>
    <col min="8" max="8" width="17.28515625" customWidth="1"/>
    <col min="9" max="9" width="15.28515625" customWidth="1"/>
    <col min="10" max="10" width="13.7109375" customWidth="1"/>
    <col min="11" max="11" width="17.140625" customWidth="1"/>
    <col min="12" max="12" width="13.28515625" customWidth="1"/>
  </cols>
  <sheetData>
    <row r="1" spans="1:12" s="4" customFormat="1" ht="30.95">
      <c r="A1" s="106" t="s">
        <v>224</v>
      </c>
      <c r="B1" s="107" t="s">
        <v>225</v>
      </c>
      <c r="C1" s="107" t="s">
        <v>112</v>
      </c>
      <c r="D1" s="107" t="s">
        <v>226</v>
      </c>
      <c r="E1" s="107" t="s">
        <v>227</v>
      </c>
      <c r="F1" s="107" t="s">
        <v>228</v>
      </c>
      <c r="G1" s="107" t="s">
        <v>229</v>
      </c>
      <c r="H1" s="107" t="s">
        <v>230</v>
      </c>
      <c r="I1" s="107" t="s">
        <v>231</v>
      </c>
      <c r="J1" s="107" t="s">
        <v>232</v>
      </c>
      <c r="K1" s="107" t="s">
        <v>233</v>
      </c>
      <c r="L1" s="107" t="s">
        <v>234</v>
      </c>
    </row>
    <row r="2" spans="1:12" ht="15.6">
      <c r="A2" s="101">
        <v>1</v>
      </c>
      <c r="B2" s="102" t="s">
        <v>235</v>
      </c>
      <c r="C2" s="102" t="s">
        <v>236</v>
      </c>
      <c r="D2" s="102" t="s">
        <v>237</v>
      </c>
      <c r="E2" s="102" t="s">
        <v>238</v>
      </c>
      <c r="F2" s="102" t="s">
        <v>239</v>
      </c>
      <c r="G2" s="102">
        <v>42</v>
      </c>
      <c r="H2" s="102" t="s">
        <v>240</v>
      </c>
      <c r="I2" s="102" t="s">
        <v>241</v>
      </c>
      <c r="J2" s="102" t="s">
        <v>241</v>
      </c>
      <c r="K2" s="102" t="s">
        <v>242</v>
      </c>
      <c r="L2" s="102">
        <v>2026</v>
      </c>
    </row>
    <row r="3" spans="1:12" ht="15.6">
      <c r="A3" s="101">
        <v>2</v>
      </c>
      <c r="B3" s="102" t="s">
        <v>235</v>
      </c>
      <c r="C3" s="102" t="s">
        <v>236</v>
      </c>
      <c r="D3" s="102" t="s">
        <v>237</v>
      </c>
      <c r="E3" s="102" t="s">
        <v>243</v>
      </c>
      <c r="F3" s="102" t="s">
        <v>244</v>
      </c>
      <c r="G3" s="102">
        <v>40</v>
      </c>
      <c r="H3" s="102" t="s">
        <v>240</v>
      </c>
      <c r="I3" s="102" t="s">
        <v>241</v>
      </c>
      <c r="J3" s="102" t="s">
        <v>241</v>
      </c>
      <c r="K3" s="102" t="s">
        <v>242</v>
      </c>
      <c r="L3" s="102">
        <v>2026</v>
      </c>
    </row>
    <row r="4" spans="1:12" ht="15.6">
      <c r="A4" s="101">
        <v>3</v>
      </c>
      <c r="B4" s="102" t="s">
        <v>235</v>
      </c>
      <c r="C4" s="102" t="s">
        <v>236</v>
      </c>
      <c r="D4" s="102" t="s">
        <v>237</v>
      </c>
      <c r="E4" s="102" t="s">
        <v>245</v>
      </c>
      <c r="F4" s="102" t="s">
        <v>244</v>
      </c>
      <c r="G4" s="102">
        <v>37</v>
      </c>
      <c r="H4" s="102" t="s">
        <v>240</v>
      </c>
      <c r="I4" s="102" t="s">
        <v>241</v>
      </c>
      <c r="J4" s="102" t="s">
        <v>241</v>
      </c>
      <c r="K4" s="102" t="s">
        <v>242</v>
      </c>
      <c r="L4" s="102">
        <v>2026</v>
      </c>
    </row>
    <row r="5" spans="1:12" ht="15.6">
      <c r="A5" s="101">
        <v>4</v>
      </c>
      <c r="B5" s="102" t="s">
        <v>235</v>
      </c>
      <c r="C5" s="102" t="s">
        <v>236</v>
      </c>
      <c r="D5" s="102" t="s">
        <v>246</v>
      </c>
      <c r="E5" s="102" t="s">
        <v>247</v>
      </c>
      <c r="F5" s="102" t="s">
        <v>239</v>
      </c>
      <c r="G5" s="102">
        <v>38</v>
      </c>
      <c r="H5" s="102" t="s">
        <v>240</v>
      </c>
      <c r="I5" s="102" t="s">
        <v>241</v>
      </c>
      <c r="J5" s="102" t="s">
        <v>241</v>
      </c>
      <c r="K5" s="102" t="s">
        <v>242</v>
      </c>
      <c r="L5" s="102">
        <v>2026</v>
      </c>
    </row>
    <row r="6" spans="1:12" ht="15.6">
      <c r="A6" s="101">
        <v>5</v>
      </c>
      <c r="B6" s="102" t="s">
        <v>235</v>
      </c>
      <c r="C6" s="102" t="s">
        <v>236</v>
      </c>
      <c r="D6" s="102" t="s">
        <v>246</v>
      </c>
      <c r="E6" s="102" t="s">
        <v>248</v>
      </c>
      <c r="F6" s="102" t="s">
        <v>244</v>
      </c>
      <c r="G6" s="102">
        <v>41</v>
      </c>
      <c r="H6" s="102" t="s">
        <v>240</v>
      </c>
      <c r="I6" s="102" t="s">
        <v>241</v>
      </c>
      <c r="J6" s="102" t="s">
        <v>241</v>
      </c>
      <c r="K6" s="102" t="s">
        <v>242</v>
      </c>
      <c r="L6" s="102">
        <v>2026</v>
      </c>
    </row>
    <row r="7" spans="1:12" ht="15.6">
      <c r="A7" s="101">
        <v>6</v>
      </c>
      <c r="B7" s="102" t="s">
        <v>235</v>
      </c>
      <c r="C7" s="102" t="s">
        <v>236</v>
      </c>
      <c r="D7" s="102" t="s">
        <v>246</v>
      </c>
      <c r="E7" s="102" t="s">
        <v>249</v>
      </c>
      <c r="F7" s="102" t="s">
        <v>244</v>
      </c>
      <c r="G7" s="102">
        <v>36</v>
      </c>
      <c r="H7" s="102" t="s">
        <v>240</v>
      </c>
      <c r="I7" s="102" t="s">
        <v>241</v>
      </c>
      <c r="J7" s="102" t="s">
        <v>241</v>
      </c>
      <c r="K7" s="102" t="s">
        <v>242</v>
      </c>
      <c r="L7" s="102">
        <v>2026</v>
      </c>
    </row>
    <row r="8" spans="1:12" ht="15.6">
      <c r="A8" s="101">
        <v>7</v>
      </c>
      <c r="B8" s="102" t="s">
        <v>235</v>
      </c>
      <c r="C8" s="102" t="s">
        <v>236</v>
      </c>
      <c r="D8" s="102" t="s">
        <v>250</v>
      </c>
      <c r="E8" s="102" t="s">
        <v>251</v>
      </c>
      <c r="F8" s="102" t="s">
        <v>239</v>
      </c>
      <c r="G8" s="102">
        <v>42</v>
      </c>
      <c r="H8" s="102" t="s">
        <v>240</v>
      </c>
      <c r="I8" s="102" t="s">
        <v>241</v>
      </c>
      <c r="J8" s="102" t="s">
        <v>241</v>
      </c>
      <c r="K8" s="102" t="s">
        <v>242</v>
      </c>
      <c r="L8" s="102">
        <v>2026</v>
      </c>
    </row>
    <row r="9" spans="1:12" ht="15.6">
      <c r="A9" s="101">
        <v>8</v>
      </c>
      <c r="B9" s="102" t="s">
        <v>235</v>
      </c>
      <c r="C9" s="102" t="s">
        <v>236</v>
      </c>
      <c r="D9" s="102" t="s">
        <v>142</v>
      </c>
      <c r="E9" s="102" t="s">
        <v>252</v>
      </c>
      <c r="F9" s="102" t="s">
        <v>239</v>
      </c>
      <c r="G9" s="102">
        <v>35</v>
      </c>
      <c r="H9" s="102" t="s">
        <v>240</v>
      </c>
      <c r="I9" s="102" t="s">
        <v>241</v>
      </c>
      <c r="J9" s="102" t="s">
        <v>241</v>
      </c>
      <c r="K9" s="102" t="s">
        <v>242</v>
      </c>
      <c r="L9" s="102">
        <v>2026</v>
      </c>
    </row>
    <row r="10" spans="1:12" ht="15.6">
      <c r="A10" s="101">
        <v>9</v>
      </c>
      <c r="B10" s="102" t="s">
        <v>235</v>
      </c>
      <c r="C10" s="102" t="s">
        <v>236</v>
      </c>
      <c r="D10" s="102" t="s">
        <v>142</v>
      </c>
      <c r="E10" s="102" t="s">
        <v>253</v>
      </c>
      <c r="F10" s="102" t="s">
        <v>244</v>
      </c>
      <c r="G10" s="102">
        <v>32</v>
      </c>
      <c r="H10" s="102" t="s">
        <v>240</v>
      </c>
      <c r="I10" s="102" t="s">
        <v>241</v>
      </c>
      <c r="J10" s="102" t="s">
        <v>241</v>
      </c>
      <c r="K10" s="102" t="s">
        <v>242</v>
      </c>
      <c r="L10" s="102">
        <v>2026</v>
      </c>
    </row>
    <row r="11" spans="1:12" ht="15.6">
      <c r="A11" s="101">
        <v>10</v>
      </c>
      <c r="B11" s="102" t="s">
        <v>235</v>
      </c>
      <c r="C11" s="102" t="s">
        <v>236</v>
      </c>
      <c r="D11" s="102" t="s">
        <v>254</v>
      </c>
      <c r="E11" s="102" t="s">
        <v>255</v>
      </c>
      <c r="F11" s="102" t="s">
        <v>239</v>
      </c>
      <c r="G11" s="102">
        <v>36</v>
      </c>
      <c r="H11" s="102" t="s">
        <v>240</v>
      </c>
      <c r="I11" s="102" t="s">
        <v>241</v>
      </c>
      <c r="J11" s="102" t="s">
        <v>241</v>
      </c>
      <c r="K11" s="102" t="s">
        <v>242</v>
      </c>
      <c r="L11" s="102">
        <v>2026</v>
      </c>
    </row>
    <row r="12" spans="1:12" ht="15.6">
      <c r="A12" s="101">
        <v>11</v>
      </c>
      <c r="B12" s="102" t="s">
        <v>235</v>
      </c>
      <c r="C12" s="102" t="s">
        <v>236</v>
      </c>
      <c r="D12" s="102" t="s">
        <v>254</v>
      </c>
      <c r="E12" s="102" t="s">
        <v>256</v>
      </c>
      <c r="F12" s="102" t="s">
        <v>244</v>
      </c>
      <c r="G12" s="102">
        <v>33</v>
      </c>
      <c r="H12" s="102" t="s">
        <v>240</v>
      </c>
      <c r="I12" s="102" t="s">
        <v>241</v>
      </c>
      <c r="J12" s="102" t="s">
        <v>241</v>
      </c>
      <c r="K12" s="102" t="s">
        <v>242</v>
      </c>
      <c r="L12" s="102">
        <v>2026</v>
      </c>
    </row>
    <row r="13" spans="1:12" ht="15.6">
      <c r="A13" s="101">
        <v>12</v>
      </c>
      <c r="B13" s="102" t="s">
        <v>235</v>
      </c>
      <c r="C13" s="102" t="s">
        <v>236</v>
      </c>
      <c r="D13" s="102" t="s">
        <v>254</v>
      </c>
      <c r="E13" s="102" t="s">
        <v>257</v>
      </c>
      <c r="F13" s="102" t="s">
        <v>244</v>
      </c>
      <c r="G13" s="102">
        <v>31</v>
      </c>
      <c r="H13" s="102" t="s">
        <v>240</v>
      </c>
      <c r="I13" s="102" t="s">
        <v>241</v>
      </c>
      <c r="J13" s="102" t="s">
        <v>241</v>
      </c>
      <c r="K13" s="102" t="s">
        <v>242</v>
      </c>
      <c r="L13" s="102">
        <v>2026</v>
      </c>
    </row>
    <row r="14" spans="1:12" ht="15.6">
      <c r="A14" s="101">
        <v>13</v>
      </c>
      <c r="B14" s="102" t="s">
        <v>235</v>
      </c>
      <c r="C14" s="102" t="s">
        <v>236</v>
      </c>
      <c r="D14" s="102" t="s">
        <v>258</v>
      </c>
      <c r="E14" s="102" t="s">
        <v>259</v>
      </c>
      <c r="F14" s="102" t="s">
        <v>239</v>
      </c>
      <c r="G14" s="102">
        <v>47</v>
      </c>
      <c r="H14" s="102" t="s">
        <v>240</v>
      </c>
      <c r="I14" s="102" t="s">
        <v>241</v>
      </c>
      <c r="J14" s="102" t="s">
        <v>241</v>
      </c>
      <c r="K14" s="102" t="s">
        <v>242</v>
      </c>
      <c r="L14" s="102">
        <v>2026</v>
      </c>
    </row>
    <row r="15" spans="1:12" ht="15.6">
      <c r="A15" s="101">
        <v>14</v>
      </c>
      <c r="B15" s="102" t="s">
        <v>235</v>
      </c>
      <c r="C15" s="102" t="s">
        <v>236</v>
      </c>
      <c r="D15" s="102" t="s">
        <v>258</v>
      </c>
      <c r="E15" s="102" t="s">
        <v>260</v>
      </c>
      <c r="F15" s="102" t="s">
        <v>239</v>
      </c>
      <c r="G15" s="102">
        <v>34</v>
      </c>
      <c r="H15" s="102" t="s">
        <v>240</v>
      </c>
      <c r="I15" s="102" t="s">
        <v>241</v>
      </c>
      <c r="J15" s="102" t="s">
        <v>241</v>
      </c>
      <c r="K15" s="102" t="s">
        <v>242</v>
      </c>
      <c r="L15" s="102">
        <v>2026</v>
      </c>
    </row>
    <row r="16" spans="1:12" ht="15.6">
      <c r="A16" s="101">
        <v>15</v>
      </c>
      <c r="B16" s="102" t="s">
        <v>235</v>
      </c>
      <c r="C16" s="102" t="s">
        <v>236</v>
      </c>
      <c r="D16" s="102" t="s">
        <v>258</v>
      </c>
      <c r="E16" s="102" t="s">
        <v>261</v>
      </c>
      <c r="F16" s="102" t="s">
        <v>244</v>
      </c>
      <c r="G16" s="102">
        <v>37</v>
      </c>
      <c r="H16" s="102" t="s">
        <v>240</v>
      </c>
      <c r="I16" s="102" t="s">
        <v>241</v>
      </c>
      <c r="J16" s="102" t="s">
        <v>241</v>
      </c>
      <c r="K16" s="102" t="s">
        <v>242</v>
      </c>
      <c r="L16" s="102">
        <v>2026</v>
      </c>
    </row>
    <row r="17" spans="1:12" ht="15.6">
      <c r="A17" s="101">
        <v>16</v>
      </c>
      <c r="B17" s="102" t="s">
        <v>235</v>
      </c>
      <c r="C17" s="102" t="s">
        <v>236</v>
      </c>
      <c r="D17" s="102" t="s">
        <v>262</v>
      </c>
      <c r="E17" s="102" t="s">
        <v>263</v>
      </c>
      <c r="F17" s="102" t="s">
        <v>239</v>
      </c>
      <c r="G17" s="102">
        <v>38</v>
      </c>
      <c r="H17" s="102" t="s">
        <v>240</v>
      </c>
      <c r="I17" s="102" t="s">
        <v>241</v>
      </c>
      <c r="J17" s="102" t="s">
        <v>241</v>
      </c>
      <c r="K17" s="102" t="s">
        <v>242</v>
      </c>
      <c r="L17" s="102">
        <v>2026</v>
      </c>
    </row>
    <row r="18" spans="1:12" ht="15.6">
      <c r="A18" s="101">
        <v>17</v>
      </c>
      <c r="B18" s="102" t="s">
        <v>235</v>
      </c>
      <c r="C18" s="102" t="s">
        <v>236</v>
      </c>
      <c r="D18" s="102" t="s">
        <v>262</v>
      </c>
      <c r="E18" s="102" t="s">
        <v>264</v>
      </c>
      <c r="F18" s="102" t="s">
        <v>239</v>
      </c>
      <c r="G18" s="102">
        <v>38</v>
      </c>
      <c r="H18" s="102" t="s">
        <v>240</v>
      </c>
      <c r="I18" s="102" t="s">
        <v>241</v>
      </c>
      <c r="J18" s="102" t="s">
        <v>241</v>
      </c>
      <c r="K18" s="102" t="s">
        <v>242</v>
      </c>
      <c r="L18" s="102">
        <v>2026</v>
      </c>
    </row>
    <row r="19" spans="1:12" ht="15.6">
      <c r="A19" s="101">
        <v>18</v>
      </c>
      <c r="B19" s="102" t="s">
        <v>235</v>
      </c>
      <c r="C19" s="102" t="s">
        <v>236</v>
      </c>
      <c r="D19" s="102" t="s">
        <v>262</v>
      </c>
      <c r="E19" s="102" t="s">
        <v>265</v>
      </c>
      <c r="F19" s="102" t="s">
        <v>239</v>
      </c>
      <c r="G19" s="102">
        <v>40</v>
      </c>
      <c r="H19" s="102" t="s">
        <v>240</v>
      </c>
      <c r="I19" s="102" t="s">
        <v>241</v>
      </c>
      <c r="J19" s="102" t="s">
        <v>241</v>
      </c>
      <c r="K19" s="102" t="s">
        <v>242</v>
      </c>
      <c r="L19" s="102">
        <v>2026</v>
      </c>
    </row>
    <row r="20" spans="1:12" ht="15.6">
      <c r="A20" s="101">
        <v>19</v>
      </c>
      <c r="B20" s="102" t="s">
        <v>235</v>
      </c>
      <c r="C20" s="102" t="s">
        <v>236</v>
      </c>
      <c r="D20" s="102" t="s">
        <v>266</v>
      </c>
      <c r="E20" s="102" t="s">
        <v>267</v>
      </c>
      <c r="F20" s="102" t="s">
        <v>239</v>
      </c>
      <c r="G20" s="102">
        <v>54</v>
      </c>
      <c r="H20" s="102" t="s">
        <v>240</v>
      </c>
      <c r="I20" s="102" t="s">
        <v>241</v>
      </c>
      <c r="J20" s="102" t="s">
        <v>241</v>
      </c>
      <c r="K20" s="102" t="s">
        <v>242</v>
      </c>
      <c r="L20" s="102">
        <v>2026</v>
      </c>
    </row>
    <row r="21" spans="1:12" ht="15.6">
      <c r="A21" s="101">
        <v>20</v>
      </c>
      <c r="B21" s="102" t="s">
        <v>235</v>
      </c>
      <c r="C21" s="102" t="s">
        <v>236</v>
      </c>
      <c r="D21" s="102" t="s">
        <v>266</v>
      </c>
      <c r="E21" s="102" t="s">
        <v>268</v>
      </c>
      <c r="F21" s="102" t="s">
        <v>239</v>
      </c>
      <c r="G21" s="102">
        <v>46</v>
      </c>
      <c r="H21" s="102" t="s">
        <v>240</v>
      </c>
      <c r="I21" s="102" t="s">
        <v>241</v>
      </c>
      <c r="J21" s="102" t="s">
        <v>241</v>
      </c>
      <c r="K21" s="102" t="s">
        <v>242</v>
      </c>
      <c r="L21" s="102">
        <v>2026</v>
      </c>
    </row>
    <row r="22" spans="1:12" ht="15.6">
      <c r="A22" s="101">
        <v>21</v>
      </c>
      <c r="B22" s="102" t="s">
        <v>235</v>
      </c>
      <c r="C22" s="102" t="s">
        <v>236</v>
      </c>
      <c r="D22" s="102" t="s">
        <v>266</v>
      </c>
      <c r="E22" s="102" t="s">
        <v>269</v>
      </c>
      <c r="F22" s="102" t="s">
        <v>239</v>
      </c>
      <c r="G22" s="102">
        <v>42</v>
      </c>
      <c r="H22" s="102" t="s">
        <v>240</v>
      </c>
      <c r="I22" s="102" t="s">
        <v>241</v>
      </c>
      <c r="J22" s="102" t="s">
        <v>241</v>
      </c>
      <c r="K22" s="102" t="s">
        <v>242</v>
      </c>
      <c r="L22" s="102">
        <v>2026</v>
      </c>
    </row>
    <row r="23" spans="1:12" ht="15.6">
      <c r="A23" s="101">
        <v>22</v>
      </c>
      <c r="B23" s="102" t="s">
        <v>270</v>
      </c>
      <c r="C23" s="102" t="s">
        <v>271</v>
      </c>
      <c r="D23" s="102" t="s">
        <v>272</v>
      </c>
      <c r="E23" s="102" t="s">
        <v>273</v>
      </c>
      <c r="F23" s="102" t="s">
        <v>239</v>
      </c>
      <c r="G23" s="102">
        <v>44</v>
      </c>
      <c r="H23" s="102" t="s">
        <v>240</v>
      </c>
      <c r="I23" s="102" t="s">
        <v>241</v>
      </c>
      <c r="J23" s="102" t="s">
        <v>241</v>
      </c>
      <c r="K23" s="102" t="s">
        <v>242</v>
      </c>
      <c r="L23" s="102">
        <v>2026</v>
      </c>
    </row>
    <row r="24" spans="1:12" ht="15.6">
      <c r="A24" s="101">
        <v>23</v>
      </c>
      <c r="B24" s="102" t="s">
        <v>270</v>
      </c>
      <c r="C24" s="102" t="s">
        <v>271</v>
      </c>
      <c r="D24" s="102" t="s">
        <v>272</v>
      </c>
      <c r="E24" s="102" t="s">
        <v>274</v>
      </c>
      <c r="F24" s="102" t="s">
        <v>239</v>
      </c>
      <c r="G24" s="102">
        <v>47</v>
      </c>
      <c r="H24" s="102" t="s">
        <v>240</v>
      </c>
      <c r="I24" s="102" t="s">
        <v>241</v>
      </c>
      <c r="J24" s="102" t="s">
        <v>241</v>
      </c>
      <c r="K24" s="102" t="s">
        <v>242</v>
      </c>
      <c r="L24" s="102">
        <v>2026</v>
      </c>
    </row>
    <row r="25" spans="1:12" ht="15.6">
      <c r="A25" s="101">
        <v>24</v>
      </c>
      <c r="B25" s="102" t="s">
        <v>270</v>
      </c>
      <c r="C25" s="102" t="s">
        <v>271</v>
      </c>
      <c r="D25" s="102" t="s">
        <v>272</v>
      </c>
      <c r="E25" s="102" t="s">
        <v>275</v>
      </c>
      <c r="F25" s="102" t="s">
        <v>239</v>
      </c>
      <c r="G25" s="102">
        <v>50</v>
      </c>
      <c r="H25" s="102" t="s">
        <v>240</v>
      </c>
      <c r="I25" s="102" t="s">
        <v>241</v>
      </c>
      <c r="J25" s="102" t="s">
        <v>241</v>
      </c>
      <c r="K25" s="102" t="s">
        <v>242</v>
      </c>
      <c r="L25" s="102">
        <v>2026</v>
      </c>
    </row>
    <row r="26" spans="1:12" ht="15.6">
      <c r="A26" s="101">
        <v>25</v>
      </c>
      <c r="B26" s="102" t="s">
        <v>270</v>
      </c>
      <c r="C26" s="102" t="s">
        <v>271</v>
      </c>
      <c r="D26" s="102" t="s">
        <v>272</v>
      </c>
      <c r="E26" s="102" t="s">
        <v>276</v>
      </c>
      <c r="F26" s="102" t="s">
        <v>239</v>
      </c>
      <c r="G26" s="102">
        <v>45</v>
      </c>
      <c r="H26" s="102" t="s">
        <v>240</v>
      </c>
      <c r="I26" s="102" t="s">
        <v>241</v>
      </c>
      <c r="J26" s="102" t="s">
        <v>241</v>
      </c>
      <c r="K26" s="102" t="s">
        <v>242</v>
      </c>
      <c r="L26" s="102">
        <v>2026</v>
      </c>
    </row>
    <row r="27" spans="1:12" ht="15.6">
      <c r="A27" s="101">
        <v>26</v>
      </c>
      <c r="B27" s="102" t="s">
        <v>270</v>
      </c>
      <c r="C27" s="102" t="s">
        <v>277</v>
      </c>
      <c r="D27" s="102" t="s">
        <v>278</v>
      </c>
      <c r="E27" s="102" t="s">
        <v>279</v>
      </c>
      <c r="F27" s="102" t="s">
        <v>239</v>
      </c>
      <c r="G27" s="102">
        <v>39</v>
      </c>
      <c r="H27" s="102" t="s">
        <v>240</v>
      </c>
      <c r="I27" s="102" t="s">
        <v>241</v>
      </c>
      <c r="J27" s="102" t="s">
        <v>241</v>
      </c>
      <c r="K27" s="102" t="s">
        <v>242</v>
      </c>
      <c r="L27" s="102">
        <v>2026</v>
      </c>
    </row>
    <row r="28" spans="1:12" ht="15.6">
      <c r="A28" s="101">
        <v>27</v>
      </c>
      <c r="B28" s="102" t="s">
        <v>270</v>
      </c>
      <c r="C28" s="102" t="s">
        <v>277</v>
      </c>
      <c r="D28" s="102" t="s">
        <v>278</v>
      </c>
      <c r="E28" s="102" t="s">
        <v>280</v>
      </c>
      <c r="F28" s="102" t="s">
        <v>239</v>
      </c>
      <c r="G28" s="102">
        <v>41</v>
      </c>
      <c r="H28" s="102" t="s">
        <v>240</v>
      </c>
      <c r="I28" s="102" t="s">
        <v>241</v>
      </c>
      <c r="J28" s="102" t="s">
        <v>241</v>
      </c>
      <c r="K28" s="102" t="s">
        <v>242</v>
      </c>
      <c r="L28" s="102">
        <v>2026</v>
      </c>
    </row>
    <row r="29" spans="1:12" ht="15.6">
      <c r="A29" s="101">
        <v>28</v>
      </c>
      <c r="B29" s="102" t="s">
        <v>270</v>
      </c>
      <c r="C29" s="102" t="s">
        <v>277</v>
      </c>
      <c r="D29" s="102" t="s">
        <v>278</v>
      </c>
      <c r="E29" s="103" t="s">
        <v>281</v>
      </c>
      <c r="F29" s="102" t="s">
        <v>239</v>
      </c>
      <c r="G29" s="102">
        <v>46</v>
      </c>
      <c r="H29" s="102" t="s">
        <v>240</v>
      </c>
      <c r="I29" s="102" t="s">
        <v>241</v>
      </c>
      <c r="J29" s="102" t="s">
        <v>241</v>
      </c>
      <c r="K29" s="102" t="s">
        <v>242</v>
      </c>
      <c r="L29" s="102">
        <v>2026</v>
      </c>
    </row>
    <row r="30" spans="1:12" ht="15.6">
      <c r="A30" s="101">
        <v>29</v>
      </c>
      <c r="B30" s="102" t="s">
        <v>270</v>
      </c>
      <c r="C30" s="102" t="s">
        <v>277</v>
      </c>
      <c r="D30" s="102" t="s">
        <v>278</v>
      </c>
      <c r="E30" s="102" t="s">
        <v>282</v>
      </c>
      <c r="F30" s="102" t="s">
        <v>239</v>
      </c>
      <c r="G30" s="102">
        <v>42</v>
      </c>
      <c r="H30" s="102" t="s">
        <v>240</v>
      </c>
      <c r="I30" s="102" t="s">
        <v>241</v>
      </c>
      <c r="J30" s="102" t="s">
        <v>241</v>
      </c>
      <c r="K30" s="102" t="s">
        <v>242</v>
      </c>
      <c r="L30" s="102">
        <v>2026</v>
      </c>
    </row>
    <row r="31" spans="1:12" ht="15.6">
      <c r="A31" s="101">
        <v>30</v>
      </c>
      <c r="B31" s="102" t="s">
        <v>270</v>
      </c>
      <c r="C31" s="102" t="s">
        <v>277</v>
      </c>
      <c r="D31" s="102" t="s">
        <v>283</v>
      </c>
      <c r="E31" s="102" t="s">
        <v>284</v>
      </c>
      <c r="F31" s="102" t="s">
        <v>239</v>
      </c>
      <c r="G31" s="102">
        <v>29</v>
      </c>
      <c r="H31" s="102" t="s">
        <v>240</v>
      </c>
      <c r="I31" s="102" t="s">
        <v>241</v>
      </c>
      <c r="J31" s="102" t="s">
        <v>241</v>
      </c>
      <c r="K31" s="102" t="s">
        <v>242</v>
      </c>
      <c r="L31" s="102">
        <v>2026</v>
      </c>
    </row>
    <row r="32" spans="1:12" ht="15.6">
      <c r="A32" s="101">
        <v>31</v>
      </c>
      <c r="B32" s="102" t="s">
        <v>270</v>
      </c>
      <c r="C32" s="102" t="s">
        <v>277</v>
      </c>
      <c r="D32" s="102" t="s">
        <v>283</v>
      </c>
      <c r="E32" s="102" t="s">
        <v>285</v>
      </c>
      <c r="F32" s="102" t="s">
        <v>239</v>
      </c>
      <c r="G32" s="102">
        <v>39</v>
      </c>
      <c r="H32" s="102" t="s">
        <v>240</v>
      </c>
      <c r="I32" s="102" t="s">
        <v>241</v>
      </c>
      <c r="J32" s="102" t="s">
        <v>241</v>
      </c>
      <c r="K32" s="102" t="s">
        <v>242</v>
      </c>
      <c r="L32" s="102">
        <v>2026</v>
      </c>
    </row>
    <row r="33" spans="1:12" ht="15.6">
      <c r="A33" s="101">
        <v>32</v>
      </c>
      <c r="B33" s="102" t="s">
        <v>270</v>
      </c>
      <c r="C33" s="102" t="s">
        <v>277</v>
      </c>
      <c r="D33" s="102" t="s">
        <v>283</v>
      </c>
      <c r="E33" s="102" t="s">
        <v>286</v>
      </c>
      <c r="F33" s="102" t="s">
        <v>239</v>
      </c>
      <c r="G33" s="102">
        <v>45</v>
      </c>
      <c r="H33" s="102" t="s">
        <v>240</v>
      </c>
      <c r="I33" s="102" t="s">
        <v>241</v>
      </c>
      <c r="J33" s="102" t="s">
        <v>241</v>
      </c>
      <c r="K33" s="102" t="s">
        <v>242</v>
      </c>
      <c r="L33" s="102">
        <v>2026</v>
      </c>
    </row>
    <row r="34" spans="1:12" ht="15.6">
      <c r="A34" s="101">
        <v>33</v>
      </c>
      <c r="B34" s="102" t="s">
        <v>270</v>
      </c>
      <c r="C34" s="102" t="s">
        <v>277</v>
      </c>
      <c r="D34" s="102" t="s">
        <v>287</v>
      </c>
      <c r="E34" s="102" t="s">
        <v>288</v>
      </c>
      <c r="F34" s="102" t="s">
        <v>239</v>
      </c>
      <c r="G34" s="102">
        <v>37</v>
      </c>
      <c r="H34" s="102" t="s">
        <v>240</v>
      </c>
      <c r="I34" s="102" t="s">
        <v>241</v>
      </c>
      <c r="J34" s="102" t="s">
        <v>241</v>
      </c>
      <c r="K34" s="102" t="s">
        <v>242</v>
      </c>
      <c r="L34" s="102">
        <v>2026</v>
      </c>
    </row>
    <row r="35" spans="1:12" ht="15.6">
      <c r="A35" s="101">
        <v>34</v>
      </c>
      <c r="B35" s="102" t="s">
        <v>270</v>
      </c>
      <c r="C35" s="102" t="s">
        <v>277</v>
      </c>
      <c r="D35" s="102" t="s">
        <v>287</v>
      </c>
      <c r="E35" s="102" t="s">
        <v>289</v>
      </c>
      <c r="F35" s="102" t="s">
        <v>239</v>
      </c>
      <c r="G35" s="102">
        <v>37</v>
      </c>
      <c r="H35" s="102" t="s">
        <v>240</v>
      </c>
      <c r="I35" s="102" t="s">
        <v>241</v>
      </c>
      <c r="J35" s="102" t="s">
        <v>241</v>
      </c>
      <c r="K35" s="102" t="s">
        <v>242</v>
      </c>
      <c r="L35" s="102">
        <v>2026</v>
      </c>
    </row>
    <row r="36" spans="1:12" ht="15.6">
      <c r="A36" s="101">
        <v>35</v>
      </c>
      <c r="B36" s="102" t="s">
        <v>270</v>
      </c>
      <c r="C36" s="102" t="s">
        <v>277</v>
      </c>
      <c r="D36" s="102" t="s">
        <v>287</v>
      </c>
      <c r="E36" s="102" t="s">
        <v>290</v>
      </c>
      <c r="F36" s="102" t="s">
        <v>239</v>
      </c>
      <c r="G36" s="102">
        <v>49</v>
      </c>
      <c r="H36" s="102" t="s">
        <v>240</v>
      </c>
      <c r="I36" s="102" t="s">
        <v>241</v>
      </c>
      <c r="J36" s="102" t="s">
        <v>241</v>
      </c>
      <c r="K36" s="102" t="s">
        <v>242</v>
      </c>
      <c r="L36" s="102">
        <v>2026</v>
      </c>
    </row>
    <row r="37" spans="1:12" ht="15.6">
      <c r="A37" s="101">
        <v>36</v>
      </c>
      <c r="B37" s="102" t="s">
        <v>270</v>
      </c>
      <c r="C37" s="102" t="s">
        <v>271</v>
      </c>
      <c r="D37" s="102" t="s">
        <v>291</v>
      </c>
      <c r="E37" s="102" t="s">
        <v>292</v>
      </c>
      <c r="F37" s="102" t="s">
        <v>239</v>
      </c>
      <c r="G37" s="102">
        <v>44</v>
      </c>
      <c r="H37" s="102" t="s">
        <v>240</v>
      </c>
      <c r="I37" s="102" t="s">
        <v>241</v>
      </c>
      <c r="J37" s="102" t="s">
        <v>241</v>
      </c>
      <c r="K37" s="102" t="s">
        <v>242</v>
      </c>
      <c r="L37" s="102">
        <v>2026</v>
      </c>
    </row>
    <row r="38" spans="1:12" ht="15.6">
      <c r="A38" s="101">
        <v>37</v>
      </c>
      <c r="B38" s="102" t="s">
        <v>270</v>
      </c>
      <c r="C38" s="102" t="s">
        <v>271</v>
      </c>
      <c r="D38" s="102" t="s">
        <v>291</v>
      </c>
      <c r="E38" s="102" t="s">
        <v>293</v>
      </c>
      <c r="F38" s="102" t="s">
        <v>239</v>
      </c>
      <c r="G38" s="102">
        <v>41</v>
      </c>
      <c r="H38" s="102" t="s">
        <v>240</v>
      </c>
      <c r="I38" s="102" t="s">
        <v>241</v>
      </c>
      <c r="J38" s="102" t="s">
        <v>241</v>
      </c>
      <c r="K38" s="102" t="s">
        <v>242</v>
      </c>
      <c r="L38" s="102">
        <v>2026</v>
      </c>
    </row>
    <row r="39" spans="1:12" ht="15.6">
      <c r="A39" s="101">
        <v>38</v>
      </c>
      <c r="B39" s="102" t="s">
        <v>270</v>
      </c>
      <c r="C39" s="102" t="s">
        <v>271</v>
      </c>
      <c r="D39" s="102" t="s">
        <v>294</v>
      </c>
      <c r="E39" s="102" t="s">
        <v>295</v>
      </c>
      <c r="F39" s="102" t="s">
        <v>239</v>
      </c>
      <c r="G39" s="102">
        <v>42</v>
      </c>
      <c r="H39" s="102" t="s">
        <v>240</v>
      </c>
      <c r="I39" s="102" t="s">
        <v>241</v>
      </c>
      <c r="J39" s="102" t="s">
        <v>241</v>
      </c>
      <c r="K39" s="102" t="s">
        <v>242</v>
      </c>
      <c r="L39" s="102">
        <v>2026</v>
      </c>
    </row>
    <row r="40" spans="1:12" ht="15.6">
      <c r="A40" s="101">
        <v>39</v>
      </c>
      <c r="B40" s="102" t="s">
        <v>270</v>
      </c>
      <c r="C40" s="102" t="s">
        <v>271</v>
      </c>
      <c r="D40" s="102" t="s">
        <v>294</v>
      </c>
      <c r="E40" s="102" t="s">
        <v>296</v>
      </c>
      <c r="F40" s="102" t="s">
        <v>239</v>
      </c>
      <c r="G40" s="102">
        <v>47</v>
      </c>
      <c r="H40" s="102" t="s">
        <v>240</v>
      </c>
      <c r="I40" s="102" t="s">
        <v>241</v>
      </c>
      <c r="J40" s="102" t="s">
        <v>241</v>
      </c>
      <c r="K40" s="102" t="s">
        <v>242</v>
      </c>
      <c r="L40" s="102">
        <v>2026</v>
      </c>
    </row>
    <row r="41" spans="1:12" ht="15.6">
      <c r="A41" s="101">
        <v>40</v>
      </c>
      <c r="B41" s="102" t="s">
        <v>270</v>
      </c>
      <c r="C41" s="102" t="s">
        <v>271</v>
      </c>
      <c r="D41" s="102" t="s">
        <v>294</v>
      </c>
      <c r="E41" s="103" t="s">
        <v>297</v>
      </c>
      <c r="F41" s="102" t="s">
        <v>239</v>
      </c>
      <c r="G41" s="102">
        <v>48</v>
      </c>
      <c r="H41" s="102" t="s">
        <v>240</v>
      </c>
      <c r="I41" s="102" t="s">
        <v>241</v>
      </c>
      <c r="J41" s="102" t="s">
        <v>241</v>
      </c>
      <c r="K41" s="102" t="s">
        <v>242</v>
      </c>
      <c r="L41" s="102">
        <v>2026</v>
      </c>
    </row>
    <row r="42" spans="1:12" ht="15.6">
      <c r="A42" s="101">
        <v>41</v>
      </c>
      <c r="B42" s="102" t="s">
        <v>270</v>
      </c>
      <c r="C42" s="102" t="s">
        <v>271</v>
      </c>
      <c r="D42" s="102" t="s">
        <v>294</v>
      </c>
      <c r="E42" s="102" t="s">
        <v>298</v>
      </c>
      <c r="F42" s="102" t="s">
        <v>239</v>
      </c>
      <c r="G42" s="102">
        <v>46</v>
      </c>
      <c r="H42" s="102" t="s">
        <v>240</v>
      </c>
      <c r="I42" s="102" t="s">
        <v>241</v>
      </c>
      <c r="J42" s="102" t="s">
        <v>241</v>
      </c>
      <c r="K42" s="102" t="s">
        <v>242</v>
      </c>
      <c r="L42" s="102">
        <v>2026</v>
      </c>
    </row>
    <row r="43" spans="1:12" ht="15.6">
      <c r="A43" s="101">
        <v>42</v>
      </c>
      <c r="B43" s="102" t="s">
        <v>270</v>
      </c>
      <c r="C43" s="102" t="s">
        <v>271</v>
      </c>
      <c r="D43" s="102" t="s">
        <v>299</v>
      </c>
      <c r="E43" s="102" t="s">
        <v>300</v>
      </c>
      <c r="F43" s="102" t="s">
        <v>239</v>
      </c>
      <c r="G43" s="102">
        <v>34</v>
      </c>
      <c r="H43" s="102" t="s">
        <v>240</v>
      </c>
      <c r="I43" s="102" t="s">
        <v>241</v>
      </c>
      <c r="J43" s="102" t="s">
        <v>241</v>
      </c>
      <c r="K43" s="102" t="s">
        <v>242</v>
      </c>
      <c r="L43" s="102">
        <v>2026</v>
      </c>
    </row>
    <row r="44" spans="1:12" ht="15.6">
      <c r="A44" s="101">
        <v>43</v>
      </c>
      <c r="B44" s="102" t="s">
        <v>270</v>
      </c>
      <c r="C44" s="102" t="s">
        <v>271</v>
      </c>
      <c r="D44" s="102" t="s">
        <v>299</v>
      </c>
      <c r="E44" s="102" t="s">
        <v>301</v>
      </c>
      <c r="F44" s="102" t="s">
        <v>239</v>
      </c>
      <c r="G44" s="102">
        <v>37</v>
      </c>
      <c r="H44" s="102" t="s">
        <v>240</v>
      </c>
      <c r="I44" s="102" t="s">
        <v>241</v>
      </c>
      <c r="J44" s="102" t="s">
        <v>241</v>
      </c>
      <c r="K44" s="102" t="s">
        <v>242</v>
      </c>
      <c r="L44" s="102">
        <v>2026</v>
      </c>
    </row>
    <row r="45" spans="1:12" ht="15.75">
      <c r="A45" s="101">
        <v>44</v>
      </c>
      <c r="B45" s="102" t="s">
        <v>270</v>
      </c>
      <c r="C45" s="102" t="s">
        <v>302</v>
      </c>
      <c r="D45" s="102" t="s">
        <v>181</v>
      </c>
      <c r="E45" s="102" t="s">
        <v>303</v>
      </c>
      <c r="F45" s="102" t="s">
        <v>239</v>
      </c>
      <c r="G45" s="102">
        <v>42</v>
      </c>
      <c r="H45" s="102" t="s">
        <v>240</v>
      </c>
      <c r="I45" s="102" t="s">
        <v>241</v>
      </c>
      <c r="J45" s="102" t="s">
        <v>241</v>
      </c>
      <c r="K45" s="102" t="s">
        <v>242</v>
      </c>
      <c r="L45" s="102">
        <v>2026</v>
      </c>
    </row>
    <row r="46" spans="1:12" ht="15.75">
      <c r="A46" s="101">
        <v>45</v>
      </c>
      <c r="B46" s="102" t="s">
        <v>270</v>
      </c>
      <c r="C46" s="102" t="s">
        <v>302</v>
      </c>
      <c r="D46" s="102" t="s">
        <v>181</v>
      </c>
      <c r="E46" s="102" t="s">
        <v>304</v>
      </c>
      <c r="F46" s="102" t="s">
        <v>239</v>
      </c>
      <c r="G46" s="102">
        <v>44</v>
      </c>
      <c r="H46" s="102" t="s">
        <v>240</v>
      </c>
      <c r="I46" s="102" t="s">
        <v>241</v>
      </c>
      <c r="J46" s="102" t="s">
        <v>241</v>
      </c>
      <c r="K46" s="102" t="s">
        <v>242</v>
      </c>
      <c r="L46" s="102">
        <v>2026</v>
      </c>
    </row>
    <row r="47" spans="1:12" ht="15.75">
      <c r="A47" s="101">
        <v>46</v>
      </c>
      <c r="B47" s="102" t="s">
        <v>270</v>
      </c>
      <c r="C47" s="102" t="s">
        <v>302</v>
      </c>
      <c r="D47" s="102" t="s">
        <v>181</v>
      </c>
      <c r="E47" s="102" t="s">
        <v>305</v>
      </c>
      <c r="F47" s="102" t="s">
        <v>239</v>
      </c>
      <c r="G47" s="102">
        <v>39</v>
      </c>
      <c r="H47" s="102" t="s">
        <v>240</v>
      </c>
      <c r="I47" s="102" t="s">
        <v>241</v>
      </c>
      <c r="J47" s="102" t="s">
        <v>241</v>
      </c>
      <c r="K47" s="102" t="s">
        <v>242</v>
      </c>
      <c r="L47" s="102">
        <v>2026</v>
      </c>
    </row>
    <row r="48" spans="1:12" ht="15.6">
      <c r="A48" s="101">
        <v>47</v>
      </c>
      <c r="B48" s="102" t="s">
        <v>183</v>
      </c>
      <c r="C48" s="102" t="s">
        <v>306</v>
      </c>
      <c r="D48" s="104" t="s">
        <v>307</v>
      </c>
      <c r="E48" s="102" t="s">
        <v>308</v>
      </c>
      <c r="F48" s="102" t="s">
        <v>239</v>
      </c>
      <c r="G48" s="102" t="s">
        <v>40</v>
      </c>
      <c r="H48" s="102" t="s">
        <v>240</v>
      </c>
      <c r="I48" s="102" t="s">
        <v>241</v>
      </c>
      <c r="J48" s="102" t="s">
        <v>241</v>
      </c>
      <c r="K48" s="102" t="s">
        <v>242</v>
      </c>
      <c r="L48" s="102">
        <v>2026</v>
      </c>
    </row>
    <row r="49" spans="1:12" ht="15.6">
      <c r="A49" s="101">
        <v>48</v>
      </c>
      <c r="B49" s="102" t="s">
        <v>183</v>
      </c>
      <c r="C49" s="102" t="s">
        <v>306</v>
      </c>
      <c r="D49" s="104" t="s">
        <v>307</v>
      </c>
      <c r="E49" s="102" t="s">
        <v>309</v>
      </c>
      <c r="F49" s="102" t="s">
        <v>239</v>
      </c>
      <c r="G49" s="102" t="s">
        <v>40</v>
      </c>
      <c r="H49" s="102" t="s">
        <v>240</v>
      </c>
      <c r="I49" s="102" t="s">
        <v>241</v>
      </c>
      <c r="J49" s="102" t="s">
        <v>241</v>
      </c>
      <c r="K49" s="102" t="s">
        <v>242</v>
      </c>
      <c r="L49" s="102">
        <v>2026</v>
      </c>
    </row>
    <row r="50" spans="1:12" ht="15.6">
      <c r="A50" s="101">
        <v>49</v>
      </c>
      <c r="B50" s="102" t="s">
        <v>183</v>
      </c>
      <c r="C50" s="102" t="s">
        <v>306</v>
      </c>
      <c r="D50" s="104" t="s">
        <v>307</v>
      </c>
      <c r="E50" s="102" t="s">
        <v>310</v>
      </c>
      <c r="F50" s="102" t="s">
        <v>239</v>
      </c>
      <c r="G50" s="102" t="s">
        <v>40</v>
      </c>
      <c r="H50" s="102" t="s">
        <v>240</v>
      </c>
      <c r="I50" s="102" t="s">
        <v>241</v>
      </c>
      <c r="J50" s="102" t="s">
        <v>241</v>
      </c>
      <c r="K50" s="102" t="s">
        <v>242</v>
      </c>
      <c r="L50" s="102">
        <v>2026</v>
      </c>
    </row>
    <row r="51" spans="1:12" ht="15.6">
      <c r="A51" s="101">
        <v>50</v>
      </c>
      <c r="B51" s="102" t="s">
        <v>183</v>
      </c>
      <c r="C51" s="102" t="s">
        <v>306</v>
      </c>
      <c r="D51" s="104" t="s">
        <v>307</v>
      </c>
      <c r="E51" s="102" t="s">
        <v>311</v>
      </c>
      <c r="F51" s="102" t="s">
        <v>239</v>
      </c>
      <c r="G51" s="102" t="s">
        <v>40</v>
      </c>
      <c r="H51" s="102" t="s">
        <v>240</v>
      </c>
      <c r="I51" s="102" t="s">
        <v>241</v>
      </c>
      <c r="J51" s="102" t="s">
        <v>241</v>
      </c>
      <c r="K51" s="102" t="s">
        <v>242</v>
      </c>
      <c r="L51" s="102">
        <v>2026</v>
      </c>
    </row>
    <row r="52" spans="1:12" ht="15.6">
      <c r="A52" s="101">
        <v>48</v>
      </c>
      <c r="B52" s="102" t="s">
        <v>183</v>
      </c>
      <c r="C52" s="102" t="s">
        <v>306</v>
      </c>
      <c r="D52" s="104" t="s">
        <v>307</v>
      </c>
      <c r="E52" s="102" t="s">
        <v>312</v>
      </c>
      <c r="F52" s="102" t="s">
        <v>239</v>
      </c>
      <c r="G52" s="102" t="s">
        <v>40</v>
      </c>
      <c r="H52" s="102" t="s">
        <v>240</v>
      </c>
      <c r="I52" s="102" t="s">
        <v>241</v>
      </c>
      <c r="J52" s="102" t="s">
        <v>241</v>
      </c>
      <c r="K52" s="102" t="s">
        <v>242</v>
      </c>
      <c r="L52" s="102">
        <v>2026</v>
      </c>
    </row>
    <row r="53" spans="1:12" ht="15.6">
      <c r="A53" s="101">
        <v>49</v>
      </c>
      <c r="B53" s="102" t="s">
        <v>183</v>
      </c>
      <c r="C53" s="102" t="s">
        <v>306</v>
      </c>
      <c r="D53" s="104" t="s">
        <v>307</v>
      </c>
      <c r="E53" s="102" t="s">
        <v>313</v>
      </c>
      <c r="F53" s="102" t="s">
        <v>239</v>
      </c>
      <c r="G53" s="102" t="s">
        <v>40</v>
      </c>
      <c r="H53" s="102" t="s">
        <v>240</v>
      </c>
      <c r="I53" s="102" t="s">
        <v>241</v>
      </c>
      <c r="J53" s="102" t="s">
        <v>241</v>
      </c>
      <c r="K53" s="102" t="s">
        <v>242</v>
      </c>
      <c r="L53" s="102">
        <v>2026</v>
      </c>
    </row>
    <row r="54" spans="1:12" ht="15.6">
      <c r="A54" s="101">
        <v>50</v>
      </c>
      <c r="B54" s="102" t="s">
        <v>183</v>
      </c>
      <c r="C54" s="102" t="s">
        <v>306</v>
      </c>
      <c r="D54" s="104" t="s">
        <v>307</v>
      </c>
      <c r="E54" s="102" t="s">
        <v>314</v>
      </c>
      <c r="F54" s="102" t="s">
        <v>239</v>
      </c>
      <c r="G54" s="102" t="s">
        <v>40</v>
      </c>
      <c r="H54" s="102" t="s">
        <v>240</v>
      </c>
      <c r="I54" s="102" t="s">
        <v>241</v>
      </c>
      <c r="J54" s="102" t="s">
        <v>241</v>
      </c>
      <c r="K54" s="102" t="s">
        <v>242</v>
      </c>
      <c r="L54" s="102">
        <v>2026</v>
      </c>
    </row>
    <row r="55" spans="1:12" ht="15.6">
      <c r="A55" s="101">
        <v>51</v>
      </c>
      <c r="B55" s="102" t="s">
        <v>183</v>
      </c>
      <c r="C55" s="102" t="s">
        <v>306</v>
      </c>
      <c r="D55" s="104" t="s">
        <v>307</v>
      </c>
      <c r="E55" s="102" t="s">
        <v>315</v>
      </c>
      <c r="F55" s="102" t="s">
        <v>239</v>
      </c>
      <c r="G55" s="102" t="s">
        <v>40</v>
      </c>
      <c r="H55" s="102" t="s">
        <v>240</v>
      </c>
      <c r="I55" s="102" t="s">
        <v>241</v>
      </c>
      <c r="J55" s="102" t="s">
        <v>241</v>
      </c>
      <c r="K55" s="102" t="s">
        <v>242</v>
      </c>
      <c r="L55" s="102">
        <v>2026</v>
      </c>
    </row>
    <row r="56" spans="1:12" ht="15.6">
      <c r="A56" s="101">
        <v>52</v>
      </c>
      <c r="B56" s="102" t="s">
        <v>183</v>
      </c>
      <c r="C56" s="102" t="s">
        <v>306</v>
      </c>
      <c r="D56" s="104" t="s">
        <v>307</v>
      </c>
      <c r="E56" s="102" t="s">
        <v>316</v>
      </c>
      <c r="F56" s="102" t="s">
        <v>244</v>
      </c>
      <c r="G56" s="102" t="s">
        <v>40</v>
      </c>
      <c r="H56" s="102" t="s">
        <v>240</v>
      </c>
      <c r="I56" s="102" t="s">
        <v>241</v>
      </c>
      <c r="J56" s="102" t="s">
        <v>241</v>
      </c>
      <c r="K56" s="102" t="s">
        <v>242</v>
      </c>
      <c r="L56" s="102">
        <v>2026</v>
      </c>
    </row>
    <row r="57" spans="1:12" ht="15.6">
      <c r="A57" s="101">
        <v>53</v>
      </c>
      <c r="B57" s="102" t="s">
        <v>183</v>
      </c>
      <c r="C57" s="102" t="s">
        <v>306</v>
      </c>
      <c r="D57" s="104" t="s">
        <v>307</v>
      </c>
      <c r="E57" s="104" t="s">
        <v>317</v>
      </c>
      <c r="F57" s="102" t="s">
        <v>239</v>
      </c>
      <c r="G57" s="102" t="s">
        <v>40</v>
      </c>
      <c r="H57" s="102" t="s">
        <v>240</v>
      </c>
      <c r="I57" s="102" t="s">
        <v>241</v>
      </c>
      <c r="J57" s="102" t="s">
        <v>241</v>
      </c>
      <c r="K57" s="102" t="s">
        <v>242</v>
      </c>
      <c r="L57" s="102">
        <v>2026</v>
      </c>
    </row>
    <row r="58" spans="1:12" ht="15.6">
      <c r="A58" s="101">
        <v>54</v>
      </c>
      <c r="B58" s="102" t="s">
        <v>183</v>
      </c>
      <c r="C58" s="102" t="s">
        <v>306</v>
      </c>
      <c r="D58" s="104" t="s">
        <v>307</v>
      </c>
      <c r="E58" s="102" t="s">
        <v>318</v>
      </c>
      <c r="F58" s="102" t="s">
        <v>244</v>
      </c>
      <c r="G58" s="102" t="s">
        <v>40</v>
      </c>
      <c r="H58" s="102" t="s">
        <v>240</v>
      </c>
      <c r="I58" s="102" t="s">
        <v>241</v>
      </c>
      <c r="J58" s="102" t="s">
        <v>241</v>
      </c>
      <c r="K58" s="102" t="s">
        <v>242</v>
      </c>
      <c r="L58" s="102">
        <v>2026</v>
      </c>
    </row>
    <row r="59" spans="1:12" ht="15.6">
      <c r="A59" s="101">
        <v>55</v>
      </c>
      <c r="B59" s="102" t="s">
        <v>183</v>
      </c>
      <c r="C59" s="102" t="s">
        <v>306</v>
      </c>
      <c r="D59" s="104" t="s">
        <v>307</v>
      </c>
      <c r="E59" s="102" t="s">
        <v>319</v>
      </c>
      <c r="F59" s="102" t="s">
        <v>239</v>
      </c>
      <c r="G59" s="102" t="s">
        <v>40</v>
      </c>
      <c r="H59" s="102" t="s">
        <v>240</v>
      </c>
      <c r="I59" s="102" t="s">
        <v>241</v>
      </c>
      <c r="J59" s="102" t="s">
        <v>241</v>
      </c>
      <c r="K59" s="102" t="s">
        <v>242</v>
      </c>
      <c r="L59" s="102">
        <v>2026</v>
      </c>
    </row>
    <row r="60" spans="1:12" ht="15.6">
      <c r="A60" s="101">
        <v>56</v>
      </c>
      <c r="B60" s="102" t="s">
        <v>183</v>
      </c>
      <c r="C60" s="102" t="s">
        <v>306</v>
      </c>
      <c r="D60" s="104" t="s">
        <v>307</v>
      </c>
      <c r="E60" s="102" t="s">
        <v>320</v>
      </c>
      <c r="F60" s="102" t="s">
        <v>239</v>
      </c>
      <c r="G60" s="102" t="s">
        <v>40</v>
      </c>
      <c r="H60" s="102" t="s">
        <v>240</v>
      </c>
      <c r="I60" s="102" t="s">
        <v>241</v>
      </c>
      <c r="J60" s="102" t="s">
        <v>241</v>
      </c>
      <c r="K60" s="102" t="s">
        <v>242</v>
      </c>
      <c r="L60" s="102">
        <v>2026</v>
      </c>
    </row>
    <row r="61" spans="1:12" ht="15.6">
      <c r="A61" s="101">
        <v>57</v>
      </c>
      <c r="B61" s="102" t="s">
        <v>183</v>
      </c>
      <c r="C61" s="102" t="s">
        <v>306</v>
      </c>
      <c r="D61" s="104" t="s">
        <v>321</v>
      </c>
      <c r="E61" s="102" t="s">
        <v>322</v>
      </c>
      <c r="F61" s="102" t="s">
        <v>239</v>
      </c>
      <c r="G61" s="102" t="s">
        <v>40</v>
      </c>
      <c r="H61" s="102" t="s">
        <v>240</v>
      </c>
      <c r="I61" s="102" t="s">
        <v>241</v>
      </c>
      <c r="J61" s="102" t="s">
        <v>241</v>
      </c>
      <c r="K61" s="102" t="s">
        <v>242</v>
      </c>
      <c r="L61" s="102">
        <v>2026</v>
      </c>
    </row>
    <row r="62" spans="1:12" ht="15.6">
      <c r="A62" s="101">
        <v>58</v>
      </c>
      <c r="B62" s="102" t="s">
        <v>183</v>
      </c>
      <c r="C62" s="102" t="s">
        <v>306</v>
      </c>
      <c r="D62" s="104" t="s">
        <v>321</v>
      </c>
      <c r="E62" s="102" t="s">
        <v>323</v>
      </c>
      <c r="F62" s="102" t="s">
        <v>324</v>
      </c>
      <c r="G62" s="102" t="s">
        <v>40</v>
      </c>
      <c r="H62" s="102" t="s">
        <v>240</v>
      </c>
      <c r="I62" s="102" t="s">
        <v>241</v>
      </c>
      <c r="J62" s="102" t="s">
        <v>241</v>
      </c>
      <c r="K62" s="102" t="s">
        <v>242</v>
      </c>
      <c r="L62" s="102">
        <v>2026</v>
      </c>
    </row>
    <row r="63" spans="1:12" ht="15.6">
      <c r="A63" s="101">
        <v>59</v>
      </c>
      <c r="B63" s="102" t="s">
        <v>183</v>
      </c>
      <c r="C63" s="102" t="s">
        <v>306</v>
      </c>
      <c r="D63" s="104" t="s">
        <v>321</v>
      </c>
      <c r="E63" s="102" t="s">
        <v>325</v>
      </c>
      <c r="F63" s="102" t="s">
        <v>239</v>
      </c>
      <c r="G63" s="102" t="s">
        <v>40</v>
      </c>
      <c r="H63" s="102" t="s">
        <v>240</v>
      </c>
      <c r="I63" s="102" t="s">
        <v>241</v>
      </c>
      <c r="J63" s="102" t="s">
        <v>241</v>
      </c>
      <c r="K63" s="102" t="s">
        <v>242</v>
      </c>
      <c r="L63" s="102">
        <v>2026</v>
      </c>
    </row>
    <row r="64" spans="1:12" ht="15.6">
      <c r="A64" s="101">
        <v>60</v>
      </c>
      <c r="B64" s="102" t="s">
        <v>183</v>
      </c>
      <c r="C64" s="102" t="s">
        <v>306</v>
      </c>
      <c r="D64" s="104" t="s">
        <v>321</v>
      </c>
      <c r="E64" s="102" t="s">
        <v>326</v>
      </c>
      <c r="F64" s="102" t="s">
        <v>239</v>
      </c>
      <c r="G64" s="102" t="s">
        <v>40</v>
      </c>
      <c r="H64" s="102" t="s">
        <v>240</v>
      </c>
      <c r="I64" s="102" t="s">
        <v>241</v>
      </c>
      <c r="J64" s="102" t="s">
        <v>241</v>
      </c>
      <c r="K64" s="102" t="s">
        <v>242</v>
      </c>
      <c r="L64" s="102">
        <v>2026</v>
      </c>
    </row>
    <row r="65" spans="1:12" ht="15.6">
      <c r="A65" s="101">
        <v>61</v>
      </c>
      <c r="B65" s="102" t="s">
        <v>183</v>
      </c>
      <c r="C65" s="102" t="s">
        <v>306</v>
      </c>
      <c r="D65" s="104" t="s">
        <v>321</v>
      </c>
      <c r="E65" s="102" t="s">
        <v>327</v>
      </c>
      <c r="F65" s="102" t="s">
        <v>239</v>
      </c>
      <c r="G65" s="102" t="s">
        <v>40</v>
      </c>
      <c r="H65" s="102" t="s">
        <v>240</v>
      </c>
      <c r="I65" s="102" t="s">
        <v>241</v>
      </c>
      <c r="J65" s="102" t="s">
        <v>241</v>
      </c>
      <c r="K65" s="102" t="s">
        <v>242</v>
      </c>
      <c r="L65" s="102">
        <v>2026</v>
      </c>
    </row>
    <row r="66" spans="1:12" ht="15.6">
      <c r="A66" s="101">
        <v>62</v>
      </c>
      <c r="B66" s="102" t="s">
        <v>183</v>
      </c>
      <c r="C66" s="102" t="s">
        <v>184</v>
      </c>
      <c r="D66" s="104" t="s">
        <v>328</v>
      </c>
      <c r="E66" s="104" t="s">
        <v>329</v>
      </c>
      <c r="F66" s="102" t="s">
        <v>239</v>
      </c>
      <c r="G66" s="102" t="s">
        <v>40</v>
      </c>
      <c r="H66" s="102" t="s">
        <v>240</v>
      </c>
      <c r="I66" s="102" t="s">
        <v>241</v>
      </c>
      <c r="J66" s="102" t="s">
        <v>241</v>
      </c>
      <c r="K66" s="102" t="s">
        <v>242</v>
      </c>
      <c r="L66" s="102">
        <v>2026</v>
      </c>
    </row>
    <row r="67" spans="1:12" ht="18.75" customHeight="1">
      <c r="A67" s="101">
        <v>63</v>
      </c>
      <c r="B67" s="102" t="s">
        <v>183</v>
      </c>
      <c r="C67" s="102" t="s">
        <v>184</v>
      </c>
      <c r="D67" s="104" t="s">
        <v>328</v>
      </c>
      <c r="E67" s="105" t="s">
        <v>330</v>
      </c>
      <c r="F67" s="102" t="s">
        <v>239</v>
      </c>
      <c r="G67" s="102" t="s">
        <v>40</v>
      </c>
      <c r="H67" s="102" t="s">
        <v>240</v>
      </c>
      <c r="I67" s="102" t="s">
        <v>241</v>
      </c>
      <c r="J67" s="102" t="s">
        <v>241</v>
      </c>
      <c r="K67" s="102" t="s">
        <v>242</v>
      </c>
      <c r="L67" s="102">
        <v>2026</v>
      </c>
    </row>
    <row r="68" spans="1:12" ht="15.6">
      <c r="A68" s="101">
        <v>64</v>
      </c>
      <c r="B68" s="102" t="s">
        <v>183</v>
      </c>
      <c r="C68" s="102" t="s">
        <v>184</v>
      </c>
      <c r="D68" s="104" t="s">
        <v>328</v>
      </c>
      <c r="E68" s="104" t="s">
        <v>331</v>
      </c>
      <c r="F68" s="102" t="s">
        <v>239</v>
      </c>
      <c r="G68" s="102" t="s">
        <v>40</v>
      </c>
      <c r="H68" s="102" t="s">
        <v>240</v>
      </c>
      <c r="I68" s="102" t="s">
        <v>241</v>
      </c>
      <c r="J68" s="102" t="s">
        <v>241</v>
      </c>
      <c r="K68" s="102" t="s">
        <v>242</v>
      </c>
      <c r="L68" s="102">
        <v>2026</v>
      </c>
    </row>
    <row r="69" spans="1:12" ht="15.6">
      <c r="A69" s="101">
        <v>65</v>
      </c>
      <c r="B69" s="102" t="s">
        <v>183</v>
      </c>
      <c r="C69" s="102" t="s">
        <v>184</v>
      </c>
      <c r="D69" s="104" t="s">
        <v>328</v>
      </c>
      <c r="E69" s="104" t="s">
        <v>332</v>
      </c>
      <c r="F69" s="102" t="s">
        <v>239</v>
      </c>
      <c r="G69" s="102" t="s">
        <v>40</v>
      </c>
      <c r="H69" s="102" t="s">
        <v>240</v>
      </c>
      <c r="I69" s="102" t="s">
        <v>241</v>
      </c>
      <c r="J69" s="102" t="s">
        <v>241</v>
      </c>
      <c r="K69" s="102" t="s">
        <v>242</v>
      </c>
      <c r="L69" s="102">
        <v>2026</v>
      </c>
    </row>
    <row r="70" spans="1:12" ht="15.6">
      <c r="A70" s="101">
        <v>66</v>
      </c>
      <c r="B70" s="102" t="s">
        <v>183</v>
      </c>
      <c r="C70" s="102" t="s">
        <v>184</v>
      </c>
      <c r="D70" s="104" t="s">
        <v>328</v>
      </c>
      <c r="E70" s="104" t="s">
        <v>333</v>
      </c>
      <c r="F70" s="102" t="s">
        <v>239</v>
      </c>
      <c r="G70" s="102" t="s">
        <v>40</v>
      </c>
      <c r="H70" s="102" t="s">
        <v>240</v>
      </c>
      <c r="I70" s="102" t="s">
        <v>241</v>
      </c>
      <c r="J70" s="102" t="s">
        <v>241</v>
      </c>
      <c r="K70" s="102" t="s">
        <v>242</v>
      </c>
      <c r="L70" s="102">
        <v>2026</v>
      </c>
    </row>
    <row r="71" spans="1:12" ht="15.6">
      <c r="A71" s="101">
        <v>67</v>
      </c>
      <c r="B71" s="102" t="s">
        <v>183</v>
      </c>
      <c r="C71" s="102" t="s">
        <v>184</v>
      </c>
      <c r="D71" s="104" t="s">
        <v>328</v>
      </c>
      <c r="E71" s="104" t="s">
        <v>334</v>
      </c>
      <c r="F71" s="102" t="s">
        <v>239</v>
      </c>
      <c r="G71" s="102" t="s">
        <v>40</v>
      </c>
      <c r="H71" s="102" t="s">
        <v>240</v>
      </c>
      <c r="I71" s="102" t="s">
        <v>241</v>
      </c>
      <c r="J71" s="102" t="s">
        <v>241</v>
      </c>
      <c r="K71" s="102" t="s">
        <v>242</v>
      </c>
      <c r="L71" s="102">
        <v>2026</v>
      </c>
    </row>
    <row r="72" spans="1:12" ht="15.6">
      <c r="A72" s="101">
        <v>68</v>
      </c>
      <c r="B72" s="102" t="s">
        <v>183</v>
      </c>
      <c r="C72" s="102" t="s">
        <v>184</v>
      </c>
      <c r="D72" s="104" t="s">
        <v>328</v>
      </c>
      <c r="E72" s="104" t="s">
        <v>335</v>
      </c>
      <c r="F72" s="102" t="s">
        <v>239</v>
      </c>
      <c r="G72" s="102" t="s">
        <v>40</v>
      </c>
      <c r="H72" s="102" t="s">
        <v>240</v>
      </c>
      <c r="I72" s="102" t="s">
        <v>241</v>
      </c>
      <c r="J72" s="102" t="s">
        <v>241</v>
      </c>
      <c r="K72" s="102" t="s">
        <v>242</v>
      </c>
      <c r="L72" s="102">
        <v>2026</v>
      </c>
    </row>
    <row r="73" spans="1:12" ht="15.6">
      <c r="A73" s="101">
        <v>69</v>
      </c>
      <c r="B73" s="102" t="s">
        <v>183</v>
      </c>
      <c r="C73" s="102" t="s">
        <v>184</v>
      </c>
      <c r="D73" s="104" t="s">
        <v>328</v>
      </c>
      <c r="E73" s="104" t="s">
        <v>336</v>
      </c>
      <c r="F73" s="102" t="s">
        <v>239</v>
      </c>
      <c r="G73" s="102" t="s">
        <v>40</v>
      </c>
      <c r="H73" s="102" t="s">
        <v>240</v>
      </c>
      <c r="I73" s="102" t="s">
        <v>241</v>
      </c>
      <c r="J73" s="102" t="s">
        <v>241</v>
      </c>
      <c r="K73" s="102" t="s">
        <v>242</v>
      </c>
      <c r="L73" s="102">
        <v>2026</v>
      </c>
    </row>
    <row r="74" spans="1:12" ht="15.6">
      <c r="A74" s="101">
        <v>70</v>
      </c>
      <c r="B74" s="102" t="s">
        <v>183</v>
      </c>
      <c r="C74" s="102" t="s">
        <v>184</v>
      </c>
      <c r="D74" s="104" t="s">
        <v>328</v>
      </c>
      <c r="E74" s="104" t="s">
        <v>337</v>
      </c>
      <c r="F74" s="102" t="s">
        <v>244</v>
      </c>
      <c r="G74" s="102" t="s">
        <v>40</v>
      </c>
      <c r="H74" s="102" t="s">
        <v>240</v>
      </c>
      <c r="I74" s="102" t="s">
        <v>241</v>
      </c>
      <c r="J74" s="102" t="s">
        <v>241</v>
      </c>
      <c r="K74" s="102" t="s">
        <v>242</v>
      </c>
      <c r="L74" s="102">
        <v>2026</v>
      </c>
    </row>
    <row r="75" spans="1:12" ht="15.6">
      <c r="A75" s="101">
        <v>71</v>
      </c>
      <c r="B75" s="102" t="s">
        <v>183</v>
      </c>
      <c r="C75" s="102" t="s">
        <v>184</v>
      </c>
      <c r="D75" s="104" t="s">
        <v>338</v>
      </c>
      <c r="E75" s="104" t="s">
        <v>339</v>
      </c>
      <c r="F75" s="104" t="s">
        <v>239</v>
      </c>
      <c r="G75" s="102" t="s">
        <v>40</v>
      </c>
      <c r="H75" s="102" t="s">
        <v>240</v>
      </c>
      <c r="I75" s="102" t="s">
        <v>241</v>
      </c>
      <c r="J75" s="102" t="s">
        <v>241</v>
      </c>
      <c r="K75" s="102" t="s">
        <v>242</v>
      </c>
      <c r="L75" s="102">
        <v>2026</v>
      </c>
    </row>
    <row r="76" spans="1:12" ht="15.6">
      <c r="A76" s="101">
        <v>72</v>
      </c>
      <c r="B76" s="102" t="s">
        <v>183</v>
      </c>
      <c r="C76" s="102" t="s">
        <v>184</v>
      </c>
      <c r="D76" s="104" t="s">
        <v>338</v>
      </c>
      <c r="E76" s="104" t="s">
        <v>340</v>
      </c>
      <c r="F76" s="104" t="s">
        <v>324</v>
      </c>
      <c r="G76" s="102" t="s">
        <v>40</v>
      </c>
      <c r="H76" s="102" t="s">
        <v>240</v>
      </c>
      <c r="I76" s="102" t="s">
        <v>241</v>
      </c>
      <c r="J76" s="102" t="s">
        <v>241</v>
      </c>
      <c r="K76" s="102" t="s">
        <v>242</v>
      </c>
      <c r="L76" s="102">
        <v>2026</v>
      </c>
    </row>
    <row r="77" spans="1:12" ht="15.6">
      <c r="A77" s="101">
        <v>73</v>
      </c>
      <c r="B77" s="102" t="s">
        <v>183</v>
      </c>
      <c r="C77" s="102" t="s">
        <v>184</v>
      </c>
      <c r="D77" s="104" t="s">
        <v>338</v>
      </c>
      <c r="E77" s="104" t="s">
        <v>341</v>
      </c>
      <c r="F77" s="104" t="s">
        <v>324</v>
      </c>
      <c r="G77" s="102" t="s">
        <v>40</v>
      </c>
      <c r="H77" s="102" t="s">
        <v>240</v>
      </c>
      <c r="I77" s="102" t="s">
        <v>241</v>
      </c>
      <c r="J77" s="102" t="s">
        <v>241</v>
      </c>
      <c r="K77" s="102" t="s">
        <v>242</v>
      </c>
      <c r="L77" s="102">
        <v>2026</v>
      </c>
    </row>
    <row r="78" spans="1:12" ht="15.6">
      <c r="A78" s="101">
        <v>74</v>
      </c>
      <c r="B78" s="102" t="s">
        <v>183</v>
      </c>
      <c r="C78" s="102" t="s">
        <v>184</v>
      </c>
      <c r="D78" s="104" t="s">
        <v>338</v>
      </c>
      <c r="E78" s="104" t="s">
        <v>342</v>
      </c>
      <c r="F78" s="104" t="s">
        <v>324</v>
      </c>
      <c r="G78" s="102" t="s">
        <v>40</v>
      </c>
      <c r="H78" s="102" t="s">
        <v>240</v>
      </c>
      <c r="I78" s="102" t="s">
        <v>241</v>
      </c>
      <c r="J78" s="102" t="s">
        <v>241</v>
      </c>
      <c r="K78" s="102" t="s">
        <v>242</v>
      </c>
      <c r="L78" s="102">
        <v>2026</v>
      </c>
    </row>
    <row r="79" spans="1:12" ht="15.6">
      <c r="A79" s="101">
        <v>75</v>
      </c>
      <c r="B79" s="102" t="s">
        <v>183</v>
      </c>
      <c r="C79" s="102" t="s">
        <v>184</v>
      </c>
      <c r="D79" s="104" t="s">
        <v>338</v>
      </c>
      <c r="E79" s="104" t="s">
        <v>343</v>
      </c>
      <c r="F79" s="104" t="s">
        <v>324</v>
      </c>
      <c r="G79" s="102" t="s">
        <v>40</v>
      </c>
      <c r="H79" s="102" t="s">
        <v>240</v>
      </c>
      <c r="I79" s="102" t="s">
        <v>241</v>
      </c>
      <c r="J79" s="102" t="s">
        <v>241</v>
      </c>
      <c r="K79" s="102" t="s">
        <v>242</v>
      </c>
      <c r="L79" s="102">
        <v>2026</v>
      </c>
    </row>
    <row r="80" spans="1:12" ht="15.6">
      <c r="A80" s="101">
        <v>76</v>
      </c>
      <c r="B80" s="102" t="s">
        <v>183</v>
      </c>
      <c r="C80" s="102" t="s">
        <v>184</v>
      </c>
      <c r="D80" s="104" t="s">
        <v>338</v>
      </c>
      <c r="E80" s="104" t="s">
        <v>344</v>
      </c>
      <c r="F80" s="104" t="s">
        <v>239</v>
      </c>
      <c r="G80" s="102" t="s">
        <v>40</v>
      </c>
      <c r="H80" s="102" t="s">
        <v>240</v>
      </c>
      <c r="I80" s="102" t="s">
        <v>241</v>
      </c>
      <c r="J80" s="102" t="s">
        <v>241</v>
      </c>
      <c r="K80" s="102" t="s">
        <v>242</v>
      </c>
      <c r="L80" s="102">
        <v>2026</v>
      </c>
    </row>
    <row r="81" spans="1:12" ht="15.6">
      <c r="A81" s="101">
        <v>77</v>
      </c>
      <c r="B81" s="102" t="s">
        <v>183</v>
      </c>
      <c r="C81" s="102" t="s">
        <v>184</v>
      </c>
      <c r="D81" s="104" t="s">
        <v>338</v>
      </c>
      <c r="E81" s="104" t="s">
        <v>345</v>
      </c>
      <c r="F81" s="102" t="s">
        <v>239</v>
      </c>
      <c r="G81" s="102" t="s">
        <v>40</v>
      </c>
      <c r="H81" s="102" t="s">
        <v>240</v>
      </c>
      <c r="I81" s="102" t="s">
        <v>241</v>
      </c>
      <c r="J81" s="102" t="s">
        <v>241</v>
      </c>
      <c r="K81" s="102" t="s">
        <v>242</v>
      </c>
      <c r="L81" s="102">
        <v>2026</v>
      </c>
    </row>
    <row r="82" spans="1:12" ht="15.6">
      <c r="A82" s="101">
        <v>78</v>
      </c>
      <c r="B82" s="102" t="s">
        <v>183</v>
      </c>
      <c r="C82" s="102" t="s">
        <v>184</v>
      </c>
      <c r="D82" s="102" t="s">
        <v>346</v>
      </c>
      <c r="E82" s="104" t="s">
        <v>347</v>
      </c>
      <c r="F82" s="102" t="s">
        <v>239</v>
      </c>
      <c r="G82" s="102" t="s">
        <v>40</v>
      </c>
      <c r="H82" s="102" t="s">
        <v>240</v>
      </c>
      <c r="I82" s="102" t="s">
        <v>241</v>
      </c>
      <c r="J82" s="102" t="s">
        <v>241</v>
      </c>
      <c r="K82" s="102" t="s">
        <v>242</v>
      </c>
      <c r="L82" s="102">
        <v>2026</v>
      </c>
    </row>
    <row r="83" spans="1:12" ht="15.6">
      <c r="A83" s="101">
        <v>79</v>
      </c>
      <c r="B83" s="102" t="s">
        <v>183</v>
      </c>
      <c r="C83" s="102" t="s">
        <v>184</v>
      </c>
      <c r="D83" s="102" t="s">
        <v>346</v>
      </c>
      <c r="E83" s="102" t="s">
        <v>348</v>
      </c>
      <c r="F83" s="102" t="s">
        <v>239</v>
      </c>
      <c r="G83" s="102" t="s">
        <v>40</v>
      </c>
      <c r="H83" s="102" t="s">
        <v>240</v>
      </c>
      <c r="I83" s="102" t="s">
        <v>241</v>
      </c>
      <c r="J83" s="102" t="s">
        <v>241</v>
      </c>
      <c r="K83" s="102" t="s">
        <v>242</v>
      </c>
      <c r="L83" s="102">
        <v>2026</v>
      </c>
    </row>
    <row r="84" spans="1:12" ht="15.6">
      <c r="A84" s="101">
        <v>80</v>
      </c>
      <c r="B84" s="102" t="s">
        <v>183</v>
      </c>
      <c r="C84" s="102" t="s">
        <v>184</v>
      </c>
      <c r="D84" s="102" t="s">
        <v>346</v>
      </c>
      <c r="E84" s="102" t="s">
        <v>349</v>
      </c>
      <c r="F84" s="102" t="s">
        <v>324</v>
      </c>
      <c r="G84" s="102" t="s">
        <v>40</v>
      </c>
      <c r="H84" s="102" t="s">
        <v>240</v>
      </c>
      <c r="I84" s="102" t="s">
        <v>241</v>
      </c>
      <c r="J84" s="102" t="s">
        <v>241</v>
      </c>
      <c r="K84" s="102" t="s">
        <v>242</v>
      </c>
      <c r="L84" s="102">
        <v>2026</v>
      </c>
    </row>
    <row r="85" spans="1:12" ht="15.6">
      <c r="A85" s="101">
        <v>81</v>
      </c>
      <c r="B85" s="102" t="s">
        <v>183</v>
      </c>
      <c r="C85" s="102" t="s">
        <v>184</v>
      </c>
      <c r="D85" s="102" t="s">
        <v>346</v>
      </c>
      <c r="E85" s="102" t="s">
        <v>350</v>
      </c>
      <c r="F85" s="102" t="s">
        <v>324</v>
      </c>
      <c r="G85" s="102" t="s">
        <v>40</v>
      </c>
      <c r="H85" s="102" t="s">
        <v>240</v>
      </c>
      <c r="I85" s="102" t="s">
        <v>241</v>
      </c>
      <c r="J85" s="102" t="s">
        <v>241</v>
      </c>
      <c r="K85" s="102" t="s">
        <v>242</v>
      </c>
      <c r="L85" s="102">
        <v>2026</v>
      </c>
    </row>
    <row r="86" spans="1:12" ht="15.6">
      <c r="A86" s="101">
        <v>82</v>
      </c>
      <c r="B86" s="102" t="s">
        <v>183</v>
      </c>
      <c r="C86" s="102" t="s">
        <v>184</v>
      </c>
      <c r="D86" s="102" t="s">
        <v>346</v>
      </c>
      <c r="E86" s="102" t="s">
        <v>351</v>
      </c>
      <c r="F86" s="102" t="s">
        <v>239</v>
      </c>
      <c r="G86" s="102" t="s">
        <v>40</v>
      </c>
      <c r="H86" s="102" t="s">
        <v>240</v>
      </c>
      <c r="I86" s="102" t="s">
        <v>241</v>
      </c>
      <c r="J86" s="102" t="s">
        <v>241</v>
      </c>
      <c r="K86" s="102" t="s">
        <v>242</v>
      </c>
      <c r="L86" s="102">
        <v>2026</v>
      </c>
    </row>
    <row r="87" spans="1:12" ht="15.6">
      <c r="A87" s="101">
        <v>83</v>
      </c>
      <c r="B87" s="102" t="s">
        <v>183</v>
      </c>
      <c r="C87" s="102" t="s">
        <v>184</v>
      </c>
      <c r="D87" s="104" t="s">
        <v>352</v>
      </c>
      <c r="E87" s="102" t="s">
        <v>353</v>
      </c>
      <c r="F87" s="102" t="s">
        <v>324</v>
      </c>
      <c r="G87" s="102" t="s">
        <v>40</v>
      </c>
      <c r="H87" s="102" t="s">
        <v>240</v>
      </c>
      <c r="I87" s="102" t="s">
        <v>241</v>
      </c>
      <c r="J87" s="102" t="s">
        <v>241</v>
      </c>
      <c r="K87" s="102" t="s">
        <v>242</v>
      </c>
      <c r="L87" s="102">
        <v>2026</v>
      </c>
    </row>
    <row r="88" spans="1:12" ht="15.6">
      <c r="A88" s="101">
        <v>84</v>
      </c>
      <c r="B88" s="102" t="s">
        <v>183</v>
      </c>
      <c r="C88" s="102" t="s">
        <v>184</v>
      </c>
      <c r="D88" s="104" t="s">
        <v>352</v>
      </c>
      <c r="E88" s="104" t="s">
        <v>354</v>
      </c>
      <c r="F88" s="102" t="s">
        <v>239</v>
      </c>
      <c r="G88" s="102" t="s">
        <v>40</v>
      </c>
      <c r="H88" s="102" t="s">
        <v>240</v>
      </c>
      <c r="I88" s="102" t="s">
        <v>241</v>
      </c>
      <c r="J88" s="102" t="s">
        <v>241</v>
      </c>
      <c r="K88" s="102" t="s">
        <v>242</v>
      </c>
      <c r="L88" s="102">
        <v>2026</v>
      </c>
    </row>
    <row r="89" spans="1:12" ht="15.6">
      <c r="A89" s="101">
        <v>85</v>
      </c>
      <c r="B89" s="102" t="s">
        <v>183</v>
      </c>
      <c r="C89" s="102" t="s">
        <v>184</v>
      </c>
      <c r="D89" s="104" t="s">
        <v>352</v>
      </c>
      <c r="E89" s="104" t="s">
        <v>355</v>
      </c>
      <c r="F89" s="104" t="s">
        <v>239</v>
      </c>
      <c r="G89" s="102" t="s">
        <v>40</v>
      </c>
      <c r="H89" s="102" t="s">
        <v>240</v>
      </c>
      <c r="I89" s="102" t="s">
        <v>241</v>
      </c>
      <c r="J89" s="102" t="s">
        <v>241</v>
      </c>
      <c r="K89" s="102" t="s">
        <v>242</v>
      </c>
      <c r="L89" s="102">
        <v>2026</v>
      </c>
    </row>
    <row r="90" spans="1:12" ht="24" customHeight="1">
      <c r="A90" s="101">
        <v>86</v>
      </c>
      <c r="B90" s="102" t="s">
        <v>183</v>
      </c>
      <c r="C90" s="102" t="s">
        <v>184</v>
      </c>
      <c r="D90" s="104" t="s">
        <v>352</v>
      </c>
      <c r="E90" s="105" t="s">
        <v>356</v>
      </c>
      <c r="F90" s="104" t="s">
        <v>239</v>
      </c>
      <c r="G90" s="102" t="s">
        <v>40</v>
      </c>
      <c r="H90" s="102" t="s">
        <v>240</v>
      </c>
      <c r="I90" s="102" t="s">
        <v>241</v>
      </c>
      <c r="J90" s="102" t="s">
        <v>241</v>
      </c>
      <c r="K90" s="102" t="s">
        <v>242</v>
      </c>
      <c r="L90" s="102">
        <v>2026</v>
      </c>
    </row>
    <row r="91" spans="1:12" ht="15.6">
      <c r="A91" s="101">
        <v>87</v>
      </c>
      <c r="B91" s="102" t="s">
        <v>183</v>
      </c>
      <c r="C91" s="102" t="s">
        <v>184</v>
      </c>
      <c r="D91" s="104" t="s">
        <v>352</v>
      </c>
      <c r="E91" s="104" t="s">
        <v>357</v>
      </c>
      <c r="F91" s="104" t="s">
        <v>239</v>
      </c>
      <c r="G91" s="102" t="s">
        <v>40</v>
      </c>
      <c r="H91" s="102" t="s">
        <v>240</v>
      </c>
      <c r="I91" s="102" t="s">
        <v>241</v>
      </c>
      <c r="J91" s="102" t="s">
        <v>241</v>
      </c>
      <c r="K91" s="102" t="s">
        <v>242</v>
      </c>
      <c r="L91" s="102">
        <v>2026</v>
      </c>
    </row>
    <row r="92" spans="1:12" ht="15.6">
      <c r="A92" s="101">
        <v>88</v>
      </c>
      <c r="B92" s="102" t="s">
        <v>183</v>
      </c>
      <c r="C92" s="102" t="s">
        <v>184</v>
      </c>
      <c r="D92" s="104" t="s">
        <v>352</v>
      </c>
      <c r="E92" s="104" t="s">
        <v>358</v>
      </c>
      <c r="F92" s="104" t="s">
        <v>239</v>
      </c>
      <c r="G92" s="102" t="s">
        <v>40</v>
      </c>
      <c r="H92" s="102" t="s">
        <v>240</v>
      </c>
      <c r="I92" s="102" t="s">
        <v>241</v>
      </c>
      <c r="J92" s="102" t="s">
        <v>241</v>
      </c>
      <c r="K92" s="102" t="s">
        <v>242</v>
      </c>
      <c r="L92" s="102">
        <v>2026</v>
      </c>
    </row>
    <row r="93" spans="1:12" ht="15.6">
      <c r="A93" s="101">
        <v>89</v>
      </c>
      <c r="B93" s="102" t="s">
        <v>183</v>
      </c>
      <c r="C93" s="102" t="s">
        <v>184</v>
      </c>
      <c r="D93" s="104" t="s">
        <v>352</v>
      </c>
      <c r="E93" s="104" t="s">
        <v>359</v>
      </c>
      <c r="F93" s="104" t="s">
        <v>324</v>
      </c>
      <c r="G93" s="102" t="s">
        <v>40</v>
      </c>
      <c r="H93" s="102" t="s">
        <v>240</v>
      </c>
      <c r="I93" s="102" t="s">
        <v>241</v>
      </c>
      <c r="J93" s="102" t="s">
        <v>241</v>
      </c>
      <c r="K93" s="102" t="s">
        <v>242</v>
      </c>
      <c r="L93" s="102">
        <v>2026</v>
      </c>
    </row>
    <row r="94" spans="1:12" ht="15.6">
      <c r="A94" s="101">
        <v>90</v>
      </c>
      <c r="B94" s="102" t="s">
        <v>211</v>
      </c>
      <c r="C94" s="102" t="s">
        <v>360</v>
      </c>
      <c r="D94" s="104" t="s">
        <v>213</v>
      </c>
      <c r="E94" s="104" t="s">
        <v>361</v>
      </c>
      <c r="F94" s="104" t="s">
        <v>324</v>
      </c>
      <c r="G94" s="102" t="s">
        <v>40</v>
      </c>
      <c r="H94" s="102" t="s">
        <v>240</v>
      </c>
      <c r="I94" s="102" t="s">
        <v>241</v>
      </c>
      <c r="J94" s="102" t="s">
        <v>241</v>
      </c>
      <c r="K94" s="102" t="s">
        <v>242</v>
      </c>
      <c r="L94" s="102">
        <v>2026</v>
      </c>
    </row>
    <row r="95" spans="1:12" ht="15.6">
      <c r="A95" s="101">
        <v>91</v>
      </c>
      <c r="B95" s="102" t="s">
        <v>211</v>
      </c>
      <c r="C95" s="102" t="s">
        <v>360</v>
      </c>
      <c r="D95" s="104" t="s">
        <v>213</v>
      </c>
      <c r="E95" s="104" t="s">
        <v>362</v>
      </c>
      <c r="F95" s="104" t="s">
        <v>324</v>
      </c>
      <c r="G95" s="102" t="s">
        <v>40</v>
      </c>
      <c r="H95" s="102" t="s">
        <v>240</v>
      </c>
      <c r="I95" s="102" t="s">
        <v>241</v>
      </c>
      <c r="J95" s="102" t="s">
        <v>241</v>
      </c>
      <c r="K95" s="102" t="s">
        <v>242</v>
      </c>
      <c r="L95" s="102">
        <v>2026</v>
      </c>
    </row>
    <row r="96" spans="1:12" ht="15.6">
      <c r="A96" s="101">
        <v>92</v>
      </c>
      <c r="B96" s="102" t="s">
        <v>211</v>
      </c>
      <c r="C96" s="102" t="s">
        <v>360</v>
      </c>
      <c r="D96" s="104" t="s">
        <v>213</v>
      </c>
      <c r="E96" s="104" t="s">
        <v>363</v>
      </c>
      <c r="F96" s="104" t="s">
        <v>324</v>
      </c>
      <c r="G96" s="102" t="s">
        <v>40</v>
      </c>
      <c r="H96" s="102" t="s">
        <v>240</v>
      </c>
      <c r="I96" s="102" t="s">
        <v>241</v>
      </c>
      <c r="J96" s="102" t="s">
        <v>241</v>
      </c>
      <c r="K96" s="102" t="s">
        <v>242</v>
      </c>
      <c r="L96" s="102">
        <v>2026</v>
      </c>
    </row>
    <row r="97" spans="1:12" ht="15.6">
      <c r="A97" s="101">
        <v>93</v>
      </c>
      <c r="B97" s="102" t="s">
        <v>211</v>
      </c>
      <c r="C97" s="102" t="s">
        <v>360</v>
      </c>
      <c r="D97" s="104" t="s">
        <v>213</v>
      </c>
      <c r="E97" s="104" t="s">
        <v>364</v>
      </c>
      <c r="F97" s="104" t="s">
        <v>324</v>
      </c>
      <c r="G97" s="102" t="s">
        <v>40</v>
      </c>
      <c r="H97" s="102" t="s">
        <v>240</v>
      </c>
      <c r="I97" s="102" t="s">
        <v>241</v>
      </c>
      <c r="J97" s="102" t="s">
        <v>241</v>
      </c>
      <c r="K97" s="102" t="s">
        <v>242</v>
      </c>
      <c r="L97" s="102">
        <v>2026</v>
      </c>
    </row>
    <row r="98" spans="1:12" ht="15.6">
      <c r="A98" s="101">
        <v>94</v>
      </c>
      <c r="B98" s="102" t="s">
        <v>211</v>
      </c>
      <c r="C98" s="102" t="s">
        <v>360</v>
      </c>
      <c r="D98" s="104" t="s">
        <v>213</v>
      </c>
      <c r="E98" s="104" t="s">
        <v>365</v>
      </c>
      <c r="F98" s="104" t="s">
        <v>324</v>
      </c>
      <c r="G98" s="102" t="s">
        <v>40</v>
      </c>
      <c r="H98" s="102" t="s">
        <v>240</v>
      </c>
      <c r="I98" s="102" t="s">
        <v>241</v>
      </c>
      <c r="J98" s="102" t="s">
        <v>241</v>
      </c>
      <c r="K98" s="102" t="s">
        <v>242</v>
      </c>
      <c r="L98" s="102">
        <v>2026</v>
      </c>
    </row>
    <row r="99" spans="1:12" ht="15.6">
      <c r="A99" s="101">
        <v>95</v>
      </c>
      <c r="B99" s="102" t="s">
        <v>211</v>
      </c>
      <c r="C99" s="102" t="s">
        <v>366</v>
      </c>
      <c r="D99" s="104" t="s">
        <v>367</v>
      </c>
      <c r="E99" s="104" t="s">
        <v>368</v>
      </c>
      <c r="F99" s="104" t="s">
        <v>324</v>
      </c>
      <c r="G99" s="102" t="s">
        <v>40</v>
      </c>
      <c r="H99" s="102" t="s">
        <v>240</v>
      </c>
      <c r="I99" s="102" t="s">
        <v>241</v>
      </c>
      <c r="J99" s="102" t="s">
        <v>241</v>
      </c>
      <c r="K99" s="102" t="s">
        <v>242</v>
      </c>
      <c r="L99" s="102">
        <v>2026</v>
      </c>
    </row>
    <row r="100" spans="1:12" ht="15.6">
      <c r="A100" s="101">
        <v>96</v>
      </c>
      <c r="B100" s="102" t="s">
        <v>211</v>
      </c>
      <c r="C100" s="102" t="s">
        <v>366</v>
      </c>
      <c r="D100" s="104" t="s">
        <v>367</v>
      </c>
      <c r="E100" s="102" t="s">
        <v>369</v>
      </c>
      <c r="F100" s="104" t="s">
        <v>324</v>
      </c>
      <c r="G100" s="102" t="s">
        <v>40</v>
      </c>
      <c r="H100" s="102" t="s">
        <v>240</v>
      </c>
      <c r="I100" s="102" t="s">
        <v>241</v>
      </c>
      <c r="J100" s="102" t="s">
        <v>241</v>
      </c>
      <c r="K100" s="102" t="s">
        <v>242</v>
      </c>
      <c r="L100" s="102">
        <v>2026</v>
      </c>
    </row>
    <row r="101" spans="1:12" ht="15.6">
      <c r="A101" s="101">
        <v>97</v>
      </c>
      <c r="B101" s="102" t="s">
        <v>211</v>
      </c>
      <c r="C101" s="102" t="s">
        <v>366</v>
      </c>
      <c r="D101" s="104" t="s">
        <v>367</v>
      </c>
      <c r="E101" s="102" t="s">
        <v>370</v>
      </c>
      <c r="F101" s="104" t="s">
        <v>324</v>
      </c>
      <c r="G101" s="102" t="s">
        <v>40</v>
      </c>
      <c r="H101" s="102" t="s">
        <v>240</v>
      </c>
      <c r="I101" s="102" t="s">
        <v>241</v>
      </c>
      <c r="J101" s="102" t="s">
        <v>241</v>
      </c>
      <c r="K101" s="102" t="s">
        <v>242</v>
      </c>
      <c r="L101" s="102">
        <v>2026</v>
      </c>
    </row>
    <row r="102" spans="1:12" ht="15.6">
      <c r="A102" s="101">
        <v>98</v>
      </c>
      <c r="B102" s="102" t="s">
        <v>211</v>
      </c>
      <c r="C102" s="102" t="s">
        <v>366</v>
      </c>
      <c r="D102" s="104" t="s">
        <v>367</v>
      </c>
      <c r="E102" s="102" t="s">
        <v>371</v>
      </c>
      <c r="F102" s="104" t="s">
        <v>324</v>
      </c>
      <c r="G102" s="102" t="s">
        <v>40</v>
      </c>
      <c r="H102" s="102" t="s">
        <v>240</v>
      </c>
      <c r="I102" s="102" t="s">
        <v>241</v>
      </c>
      <c r="J102" s="102" t="s">
        <v>241</v>
      </c>
      <c r="K102" s="102" t="s">
        <v>242</v>
      </c>
      <c r="L102" s="102">
        <v>2026</v>
      </c>
    </row>
    <row r="103" spans="1:12" ht="15.6">
      <c r="A103" s="101">
        <v>99</v>
      </c>
      <c r="B103" s="102" t="s">
        <v>211</v>
      </c>
      <c r="C103" s="102" t="s">
        <v>366</v>
      </c>
      <c r="D103" s="104" t="s">
        <v>367</v>
      </c>
      <c r="E103" s="102" t="s">
        <v>372</v>
      </c>
      <c r="F103" s="104" t="s">
        <v>324</v>
      </c>
      <c r="G103" s="102" t="s">
        <v>40</v>
      </c>
      <c r="H103" s="102" t="s">
        <v>240</v>
      </c>
      <c r="I103" s="102" t="s">
        <v>241</v>
      </c>
      <c r="J103" s="102" t="s">
        <v>241</v>
      </c>
      <c r="K103" s="102" t="s">
        <v>242</v>
      </c>
      <c r="L103" s="102">
        <v>2026</v>
      </c>
    </row>
    <row r="104" spans="1:12" ht="15.6">
      <c r="A104" s="101">
        <v>100</v>
      </c>
      <c r="B104" s="102" t="s">
        <v>211</v>
      </c>
      <c r="C104" s="102" t="s">
        <v>366</v>
      </c>
      <c r="D104" s="104" t="s">
        <v>367</v>
      </c>
      <c r="E104" s="102" t="s">
        <v>373</v>
      </c>
      <c r="F104" s="104" t="s">
        <v>324</v>
      </c>
      <c r="G104" s="102" t="s">
        <v>40</v>
      </c>
      <c r="H104" s="102" t="s">
        <v>240</v>
      </c>
      <c r="I104" s="102" t="s">
        <v>241</v>
      </c>
      <c r="J104" s="102" t="s">
        <v>241</v>
      </c>
      <c r="K104" s="102" t="s">
        <v>242</v>
      </c>
      <c r="L104" s="102">
        <v>2026</v>
      </c>
    </row>
    <row r="105" spans="1:12" ht="15.6">
      <c r="A105" s="101">
        <v>101</v>
      </c>
      <c r="B105" s="102" t="s">
        <v>211</v>
      </c>
      <c r="C105" s="102" t="s">
        <v>366</v>
      </c>
      <c r="D105" s="104" t="s">
        <v>367</v>
      </c>
      <c r="E105" s="102" t="s">
        <v>374</v>
      </c>
      <c r="F105" s="104" t="s">
        <v>324</v>
      </c>
      <c r="G105" s="102" t="s">
        <v>40</v>
      </c>
      <c r="H105" s="102" t="s">
        <v>240</v>
      </c>
      <c r="I105" s="102" t="s">
        <v>241</v>
      </c>
      <c r="J105" s="102" t="s">
        <v>241</v>
      </c>
      <c r="K105" s="102" t="s">
        <v>242</v>
      </c>
      <c r="L105" s="102">
        <v>2026</v>
      </c>
    </row>
  </sheetData>
  <autoFilter ref="A1:L105" xr:uid="{50CD1546-A58D-4342-9B23-460C09D6C6D6}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8DADE1-3D53-43B8-B8EC-692A38200AFD}">
  <dimension ref="A1:B3"/>
  <sheetViews>
    <sheetView workbookViewId="0">
      <selection activeCell="B1" sqref="B1"/>
    </sheetView>
  </sheetViews>
  <sheetFormatPr defaultRowHeight="14.45"/>
  <sheetData>
    <row r="1" spans="1:2">
      <c r="A1" t="s">
        <v>183</v>
      </c>
    </row>
    <row r="2" spans="1:2" ht="15.95">
      <c r="B2" s="108" t="s">
        <v>375</v>
      </c>
    </row>
    <row r="3" spans="1:2" ht="15.95">
      <c r="B3" s="108" t="s">
        <v>376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D38A3-0663-432E-BDCA-AC74DFCAEB85}">
  <dimension ref="A1:E25"/>
  <sheetViews>
    <sheetView topLeftCell="A8" workbookViewId="0">
      <selection activeCell="D16" sqref="D16"/>
    </sheetView>
  </sheetViews>
  <sheetFormatPr defaultRowHeight="14.45"/>
  <cols>
    <col min="1" max="2" width="12.7109375" customWidth="1"/>
    <col min="3" max="3" width="14.5703125" customWidth="1"/>
    <col min="4" max="4" width="22.42578125" customWidth="1"/>
    <col min="5" max="5" width="18.28515625" customWidth="1"/>
  </cols>
  <sheetData>
    <row r="1" spans="1:5">
      <c r="A1" s="64" t="s">
        <v>111</v>
      </c>
      <c r="B1" s="64" t="s">
        <v>377</v>
      </c>
      <c r="C1" s="64" t="s">
        <v>112</v>
      </c>
      <c r="D1" s="64" t="s">
        <v>378</v>
      </c>
      <c r="E1" s="60"/>
    </row>
    <row r="2" spans="1:5" ht="17.25" customHeight="1">
      <c r="A2" s="61" t="s">
        <v>130</v>
      </c>
      <c r="B2" s="61" t="s">
        <v>379</v>
      </c>
      <c r="C2" s="61" t="s">
        <v>131</v>
      </c>
      <c r="D2" s="61" t="s">
        <v>132</v>
      </c>
    </row>
    <row r="3" spans="1:5">
      <c r="A3" s="61" t="s">
        <v>130</v>
      </c>
      <c r="B3" s="61" t="s">
        <v>379</v>
      </c>
      <c r="C3" s="61" t="s">
        <v>131</v>
      </c>
      <c r="D3" s="61" t="s">
        <v>139</v>
      </c>
    </row>
    <row r="4" spans="1:5">
      <c r="A4" s="61" t="s">
        <v>130</v>
      </c>
      <c r="B4" s="61" t="s">
        <v>379</v>
      </c>
      <c r="C4" s="61" t="s">
        <v>131</v>
      </c>
      <c r="D4" s="61" t="s">
        <v>142</v>
      </c>
    </row>
    <row r="5" spans="1:5">
      <c r="A5" s="61" t="s">
        <v>130</v>
      </c>
      <c r="B5" s="61" t="s">
        <v>379</v>
      </c>
      <c r="C5" s="61" t="s">
        <v>145</v>
      </c>
      <c r="D5" s="61" t="s">
        <v>146</v>
      </c>
    </row>
    <row r="6" spans="1:5">
      <c r="A6" s="61" t="s">
        <v>130</v>
      </c>
      <c r="B6" s="61" t="s">
        <v>379</v>
      </c>
      <c r="C6" s="61" t="s">
        <v>131</v>
      </c>
      <c r="D6" s="61" t="s">
        <v>150</v>
      </c>
    </row>
    <row r="7" spans="1:5">
      <c r="A7" s="61" t="s">
        <v>130</v>
      </c>
      <c r="B7" s="61" t="s">
        <v>379</v>
      </c>
      <c r="C7" s="61" t="s">
        <v>131</v>
      </c>
      <c r="D7" s="61" t="s">
        <v>153</v>
      </c>
    </row>
    <row r="8" spans="1:5">
      <c r="A8" s="61" t="s">
        <v>130</v>
      </c>
      <c r="B8" s="61" t="s">
        <v>379</v>
      </c>
      <c r="C8" s="61" t="s">
        <v>131</v>
      </c>
      <c r="D8" s="61" t="s">
        <v>155</v>
      </c>
    </row>
    <row r="9" spans="1:5">
      <c r="A9" s="61" t="s">
        <v>160</v>
      </c>
      <c r="B9" s="61" t="s">
        <v>379</v>
      </c>
      <c r="C9" s="61" t="s">
        <v>380</v>
      </c>
      <c r="D9" s="61" t="s">
        <v>162</v>
      </c>
    </row>
    <row r="10" spans="1:5">
      <c r="A10" s="61" t="s">
        <v>160</v>
      </c>
      <c r="B10" s="61" t="s">
        <v>379</v>
      </c>
      <c r="C10" s="61" t="s">
        <v>166</v>
      </c>
      <c r="D10" s="61" t="s">
        <v>167</v>
      </c>
    </row>
    <row r="11" spans="1:5">
      <c r="A11" s="61" t="s">
        <v>160</v>
      </c>
      <c r="B11" s="61" t="s">
        <v>379</v>
      </c>
      <c r="C11" s="61" t="s">
        <v>166</v>
      </c>
      <c r="D11" s="61" t="s">
        <v>169</v>
      </c>
    </row>
    <row r="12" spans="1:5">
      <c r="A12" s="61" t="s">
        <v>160</v>
      </c>
      <c r="B12" s="61" t="s">
        <v>379</v>
      </c>
      <c r="C12" s="61" t="s">
        <v>166</v>
      </c>
      <c r="D12" s="61" t="s">
        <v>172</v>
      </c>
    </row>
    <row r="13" spans="1:5">
      <c r="A13" s="61" t="s">
        <v>160</v>
      </c>
      <c r="B13" s="61" t="s">
        <v>379</v>
      </c>
      <c r="C13" s="61" t="s">
        <v>166</v>
      </c>
      <c r="D13" s="61" t="s">
        <v>174</v>
      </c>
    </row>
    <row r="14" spans="1:5">
      <c r="A14" s="61" t="s">
        <v>160</v>
      </c>
      <c r="B14" s="61" t="s">
        <v>379</v>
      </c>
      <c r="C14" s="61" t="s">
        <v>380</v>
      </c>
      <c r="D14" s="61" t="s">
        <v>176</v>
      </c>
    </row>
    <row r="15" spans="1:5">
      <c r="A15" s="61" t="s">
        <v>160</v>
      </c>
      <c r="B15" s="61" t="s">
        <v>379</v>
      </c>
      <c r="C15" s="61" t="s">
        <v>380</v>
      </c>
      <c r="D15" s="61" t="s">
        <v>178</v>
      </c>
    </row>
    <row r="16" spans="1:5" ht="15">
      <c r="A16" s="61" t="s">
        <v>160</v>
      </c>
      <c r="B16" s="61" t="s">
        <v>379</v>
      </c>
      <c r="C16" s="61" t="s">
        <v>180</v>
      </c>
      <c r="D16" s="61" t="s">
        <v>181</v>
      </c>
    </row>
    <row r="17" spans="1:4">
      <c r="A17" s="61" t="s">
        <v>183</v>
      </c>
      <c r="B17" s="61" t="s">
        <v>379</v>
      </c>
      <c r="C17" s="61" t="s">
        <v>381</v>
      </c>
      <c r="D17" s="61" t="s">
        <v>185</v>
      </c>
    </row>
    <row r="18" spans="1:4">
      <c r="A18" s="61" t="s">
        <v>183</v>
      </c>
      <c r="B18" s="61" t="s">
        <v>379</v>
      </c>
      <c r="C18" s="61" t="s">
        <v>382</v>
      </c>
      <c r="D18" s="61" t="s">
        <v>190</v>
      </c>
    </row>
    <row r="19" spans="1:4">
      <c r="A19" s="61" t="s">
        <v>193</v>
      </c>
      <c r="B19" s="61" t="s">
        <v>379</v>
      </c>
      <c r="C19" s="61" t="s">
        <v>381</v>
      </c>
      <c r="D19" s="61" t="s">
        <v>194</v>
      </c>
    </row>
    <row r="20" spans="1:4">
      <c r="A20" s="61" t="s">
        <v>183</v>
      </c>
      <c r="B20" s="61" t="s">
        <v>379</v>
      </c>
      <c r="C20" s="61" t="s">
        <v>382</v>
      </c>
      <c r="D20" s="61" t="s">
        <v>200</v>
      </c>
    </row>
    <row r="21" spans="1:4">
      <c r="A21" s="61" t="s">
        <v>183</v>
      </c>
      <c r="B21" s="61" t="s">
        <v>379</v>
      </c>
      <c r="C21" s="61" t="s">
        <v>381</v>
      </c>
      <c r="D21" s="61" t="s">
        <v>204</v>
      </c>
    </row>
    <row r="22" spans="1:4">
      <c r="A22" s="61" t="s">
        <v>183</v>
      </c>
      <c r="B22" s="61" t="s">
        <v>379</v>
      </c>
      <c r="C22" s="61" t="s">
        <v>381</v>
      </c>
      <c r="D22" s="61" t="s">
        <v>206</v>
      </c>
    </row>
    <row r="23" spans="1:4">
      <c r="A23" s="61" t="s">
        <v>211</v>
      </c>
      <c r="B23" s="61" t="s">
        <v>379</v>
      </c>
      <c r="C23" s="61" t="s">
        <v>212</v>
      </c>
      <c r="D23" s="61" t="s">
        <v>213</v>
      </c>
    </row>
    <row r="24" spans="1:4">
      <c r="A24" s="61" t="s">
        <v>211</v>
      </c>
      <c r="B24" s="61" t="s">
        <v>379</v>
      </c>
      <c r="C24" s="61" t="s">
        <v>215</v>
      </c>
      <c r="D24" s="61" t="s">
        <v>216</v>
      </c>
    </row>
    <row r="25" spans="1:4">
      <c r="A25" s="61" t="s">
        <v>211</v>
      </c>
      <c r="B25" s="61" t="s">
        <v>379</v>
      </c>
      <c r="C25" s="61" t="s">
        <v>220</v>
      </c>
      <c r="D25" s="61" t="s">
        <v>221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E1E7B6247FD234A9D5B6036ABF788CD" ma:contentTypeVersion="13" ma:contentTypeDescription="Create a new document." ma:contentTypeScope="" ma:versionID="b50dc4aa3594d91fde16775b8441a32e">
  <xsd:schema xmlns:xsd="http://www.w3.org/2001/XMLSchema" xmlns:xs="http://www.w3.org/2001/XMLSchema" xmlns:p="http://schemas.microsoft.com/office/2006/metadata/properties" xmlns:ns2="6fc5a8ea-eaed-4de4-a4c1-bb274ab7d611" xmlns:ns3="8dcc6fa3-9f4a-44be-8138-52b0a7714600" targetNamespace="http://schemas.microsoft.com/office/2006/metadata/properties" ma:root="true" ma:fieldsID="1877d62fc6685f2668d5ea3d4d9ea396" ns2:_="" ns3:_="">
    <xsd:import namespace="6fc5a8ea-eaed-4de4-a4c1-bb274ab7d611"/>
    <xsd:import namespace="8dcc6fa3-9f4a-44be-8138-52b0a7714600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Locatio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fc5a8ea-eaed-4de4-a4c1-bb274ab7d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8ebb0a5-c57d-4c3a-bec7-8a38252dd05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0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dcc6fa3-9f4a-44be-8138-52b0a7714600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618e6159-c170-46ef-874c-a5c14db90d07}" ma:internalName="TaxCatchAll" ma:showField="CatchAllData" ma:web="8dcc6fa3-9f4a-44be-8138-52b0a7714600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fc5a8ea-eaed-4de4-a4c1-bb274ab7d611">
      <Terms xmlns="http://schemas.microsoft.com/office/infopath/2007/PartnerControls"/>
    </lcf76f155ced4ddcb4097134ff3c332f>
    <TaxCatchAll xmlns="8dcc6fa3-9f4a-44be-8138-52b0a7714600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02B8A31-431A-4A75-8F95-F2E710AC8CBE}"/>
</file>

<file path=customXml/itemProps2.xml><?xml version="1.0" encoding="utf-8"?>
<ds:datastoreItem xmlns:ds="http://schemas.openxmlformats.org/officeDocument/2006/customXml" ds:itemID="{558DE143-6186-4541-9866-98F392ACFFEF}"/>
</file>

<file path=customXml/itemProps3.xml><?xml version="1.0" encoding="utf-8"?>
<ds:datastoreItem xmlns:ds="http://schemas.openxmlformats.org/officeDocument/2006/customXml" ds:itemID="{B4160527-3C00-433A-A41B-7632425EE6BC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Marrian Gebreselassie</dc:creator>
  <cp:keywords/>
  <dc:description/>
  <cp:lastModifiedBy/>
  <cp:revision/>
  <dcterms:created xsi:type="dcterms:W3CDTF">2025-10-14T10:03:27Z</dcterms:created>
  <dcterms:modified xsi:type="dcterms:W3CDTF">2026-10-18T21:47:34Z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0x0101009E1E7B6247FD234A9D5B6036ABF788CD</vt:lpwstr>
  </property>
  <property fmtid="{D5CDD505-2E9C-101B-9397-08002B2CF9AE}" pid="3" name="MediaServiceImageTags">
    <vt:lpwstr/>
  </property>
</Properties>
</file>