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undp.sharepoint.com/sites/sudanresilience/Shared Documents/Project Implmentation/SDC Livelihoods/"/>
    </mc:Choice>
  </mc:AlternateContent>
  <xr:revisionPtr revIDLastSave="0" documentId="8_{62BD8CFA-9B74-4C48-8AC1-60332C2FF76F}" xr6:coauthVersionLast="47" xr6:coauthVersionMax="47" xr10:uidLastSave="{00000000-0000-0000-0000-000000000000}"/>
  <bookViews>
    <workbookView xWindow="32280" yWindow="-120" windowWidth="29040" windowHeight="15720" firstSheet="10" activeTab="10" xr2:uid="{7F5AD84A-8156-49CB-A5A9-CD61801E10C5}"/>
  </bookViews>
  <sheets>
    <sheet name="Project_FactSheet" sheetId="2" r:id="rId1"/>
    <sheet name="SDCLivelihoods_ActivityTracker" sheetId="1" r:id="rId2"/>
    <sheet name="SolarStreeLIght" sheetId="9" r:id="rId3"/>
    <sheet name="WaterProjects" sheetId="7" r:id="rId4"/>
    <sheet name="IrrigationPumps" sheetId="8" r:id="rId5"/>
    <sheet name="Sheet1" sheetId="3" r:id="rId6"/>
    <sheet name="Indicators_Ref" sheetId="6" r:id="rId7"/>
    <sheet name="Weekly_Updates" sheetId="4" r:id="rId8"/>
    <sheet name="TDO" sheetId="5" r:id="rId9"/>
    <sheet name="IP_Locations" sheetId="10" r:id="rId10"/>
    <sheet name="STRIDES_Contributions" sheetId="11" r:id="rId11"/>
  </sheets>
  <definedNames>
    <definedName name="_Hlk217503454" localSheetId="7">Weekly_Updates!$I$7</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7" i="1" l="1"/>
  <c r="O3" i="11"/>
  <c r="O4" i="11"/>
  <c r="O5" i="11"/>
  <c r="O6" i="11"/>
  <c r="O7" i="11"/>
  <c r="O8" i="11"/>
  <c r="O9" i="11"/>
  <c r="O10" i="11"/>
  <c r="O11" i="11"/>
  <c r="O12" i="11"/>
  <c r="O13" i="11"/>
  <c r="O14" i="11"/>
  <c r="O15" i="11"/>
  <c r="O16" i="11"/>
  <c r="O17" i="11"/>
  <c r="O18" i="11"/>
  <c r="O19" i="11"/>
  <c r="O20" i="11"/>
  <c r="O2" i="11"/>
  <c r="L3" i="11"/>
  <c r="L4" i="11"/>
  <c r="L5" i="11"/>
  <c r="L6" i="11"/>
  <c r="L7" i="11"/>
  <c r="L8" i="11"/>
  <c r="L9" i="11"/>
  <c r="L10" i="11"/>
  <c r="L11" i="11"/>
  <c r="L12" i="11"/>
  <c r="L13" i="11"/>
  <c r="L14" i="11"/>
  <c r="L15" i="11"/>
  <c r="L16" i="11"/>
  <c r="L17" i="11"/>
  <c r="L18" i="11"/>
  <c r="L19" i="11"/>
  <c r="L20" i="11"/>
  <c r="L2" i="11"/>
  <c r="I3" i="11"/>
  <c r="I4" i="11"/>
  <c r="I5" i="11"/>
  <c r="I6" i="11"/>
  <c r="I7" i="11"/>
  <c r="I8" i="11"/>
  <c r="I9" i="11"/>
  <c r="I10" i="11"/>
  <c r="I11" i="11"/>
  <c r="I12" i="11"/>
  <c r="I13" i="11"/>
  <c r="I14" i="11"/>
  <c r="I15" i="11"/>
  <c r="I16" i="11"/>
  <c r="I17" i="11"/>
  <c r="I18" i="11"/>
  <c r="I19" i="11"/>
  <c r="I20" i="11"/>
  <c r="I2" i="11"/>
  <c r="F3" i="11"/>
  <c r="F4" i="11"/>
  <c r="F5" i="11"/>
  <c r="F6" i="11"/>
  <c r="F7" i="11"/>
  <c r="F8" i="11"/>
  <c r="F9" i="11"/>
  <c r="F10" i="11"/>
  <c r="F11" i="11"/>
  <c r="F12" i="11"/>
  <c r="F13" i="11"/>
  <c r="F14" i="11"/>
  <c r="F15" i="11"/>
  <c r="F16" i="11"/>
  <c r="F17" i="11"/>
  <c r="F18" i="11"/>
  <c r="F19" i="11"/>
  <c r="F20" i="11"/>
  <c r="F2" i="11"/>
  <c r="N22" i="11"/>
  <c r="E22" i="11"/>
  <c r="H22" i="11"/>
  <c r="K22" i="11"/>
  <c r="Q22" i="11"/>
  <c r="D22" i="11"/>
  <c r="AQ8" i="1"/>
  <c r="AQ6" i="1"/>
  <c r="AQ4" i="1"/>
  <c r="AQ5" i="1"/>
  <c r="AS18" i="1"/>
  <c r="AS19" i="1"/>
  <c r="AS20" i="1"/>
  <c r="AS21" i="1"/>
  <c r="AS22" i="1"/>
  <c r="AS16" i="1"/>
  <c r="AS15" i="1"/>
  <c r="AS14" i="1"/>
  <c r="AS13" i="1"/>
  <c r="AS10" i="1"/>
  <c r="AQ22" i="1"/>
  <c r="AQ21" i="1"/>
  <c r="AQ20" i="1"/>
  <c r="AQ19" i="1"/>
  <c r="AQ18" i="1"/>
  <c r="AQ17" i="1"/>
  <c r="AQ16" i="1"/>
  <c r="AQ15" i="1"/>
  <c r="AQ14" i="1"/>
  <c r="AQ13" i="1"/>
  <c r="AQ12" i="1"/>
  <c r="AS12" i="1" s="1"/>
  <c r="AQ11" i="1"/>
  <c r="AS11" i="1" s="1"/>
  <c r="AQ10" i="1"/>
  <c r="AQ9" i="1"/>
  <c r="AS9" i="1" s="1"/>
  <c r="AS8" i="1"/>
  <c r="AQ7" i="1"/>
  <c r="AS7" i="1" s="1"/>
  <c r="AS6" i="1"/>
  <c r="AS5" i="1"/>
  <c r="AS4" i="1"/>
  <c r="AQ3" i="1"/>
  <c r="AS3" i="1" s="1"/>
  <c r="G14" i="8"/>
  <c r="G13" i="8"/>
  <c r="AF11" i="1"/>
  <c r="AF4" i="1"/>
  <c r="AF5" i="1"/>
  <c r="AF6" i="1"/>
  <c r="AF7" i="1"/>
  <c r="AF8" i="1"/>
  <c r="AH8" i="1" s="1"/>
  <c r="AF9" i="1"/>
  <c r="AF10" i="1"/>
  <c r="AH10" i="1" s="1"/>
  <c r="AF12" i="1"/>
  <c r="AH12" i="1" s="1"/>
  <c r="AF13" i="1"/>
  <c r="AF14" i="1"/>
  <c r="AF15" i="1"/>
  <c r="AF16" i="1"/>
  <c r="AF17" i="1"/>
  <c r="AF18" i="1"/>
  <c r="AH18" i="1" s="1"/>
  <c r="AF19" i="1"/>
  <c r="AF20" i="1"/>
  <c r="AF21" i="1"/>
  <c r="AF22" i="1"/>
  <c r="AF3" i="1"/>
  <c r="AH3" i="1" s="1"/>
  <c r="G43" i="9"/>
  <c r="W21" i="1"/>
  <c r="AH21" i="1" s="1"/>
  <c r="W19" i="1"/>
  <c r="AH19" i="1" s="1"/>
  <c r="A4" i="9"/>
  <c r="A5" i="9"/>
  <c r="A6" i="9"/>
  <c r="A7" i="9"/>
  <c r="A8" i="9"/>
  <c r="A9" i="9"/>
  <c r="A10" i="9"/>
  <c r="A11" i="9"/>
  <c r="A12" i="9"/>
  <c r="A13" i="9"/>
  <c r="A14" i="9"/>
  <c r="A15" i="9"/>
  <c r="A16" i="9"/>
  <c r="A17" i="9"/>
  <c r="A18" i="9"/>
  <c r="A19" i="9"/>
  <c r="A20" i="9"/>
  <c r="A3" i="9"/>
  <c r="S45" i="7"/>
  <c r="G45" i="7"/>
  <c r="W7" i="1"/>
  <c r="AH7" i="1" s="1"/>
  <c r="W22" i="1"/>
  <c r="AH22" i="1" s="1"/>
  <c r="W20" i="1"/>
  <c r="AH20" i="1" s="1"/>
  <c r="W17" i="1"/>
  <c r="AH17" i="1" s="1"/>
  <c r="W14" i="1"/>
  <c r="AH14" i="1" s="1"/>
  <c r="W11" i="1"/>
  <c r="W9" i="1"/>
  <c r="AH9" i="1" s="1"/>
  <c r="W6" i="1"/>
  <c r="AH6" i="1" s="1"/>
  <c r="W5" i="1"/>
  <c r="AH5" i="1" s="1"/>
  <c r="W4" i="1"/>
  <c r="W3" i="1"/>
  <c r="U4" i="1"/>
  <c r="U5" i="1"/>
  <c r="U6" i="1"/>
  <c r="U7" i="1"/>
  <c r="U8" i="1"/>
  <c r="U9" i="1"/>
  <c r="U10" i="1"/>
  <c r="U11" i="1"/>
  <c r="U12" i="1"/>
  <c r="U13" i="1"/>
  <c r="U14" i="1"/>
  <c r="U15" i="1"/>
  <c r="U16" i="1"/>
  <c r="U17" i="1"/>
  <c r="U18" i="1"/>
  <c r="U19" i="1"/>
  <c r="U20" i="1"/>
  <c r="U21" i="1"/>
  <c r="U22" i="1"/>
  <c r="U3" i="1"/>
  <c r="U23" i="1"/>
  <c r="AH4" i="1" l="1"/>
  <c r="AH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tc={77B149E0-5EA4-4F1E-A34C-61B277FC4258}</author>
    <author>tc={E75420F6-BFDC-467E-A8A2-664E82CDAF71}</author>
  </authors>
  <commentList>
    <comment ref="AS17" authorId="0" shapeId="0" xr:uid="{77B149E0-5EA4-4F1E-A34C-61B277FC4258}">
      <text>
        <t>[Threaded comment]
Your version of Excel allows you to read this threaded comment; however, any edits to it will get removed if the file is opened in a newer version of Excel. Learn more: https://go.microsoft.com/fwlink/?linkid=870924
Comment:
    Actual is 240; double reporting by DPI from first report and second report</t>
      </text>
    </comment>
    <comment ref="N21" authorId="1" shapeId="0" xr:uid="{E75420F6-BFDC-467E-A8A2-664E82CDAF71}">
      <text>
        <t>[Threaded comment]
Your version of Excel allows you to read this threaded comment; however, any edits to it will get removed if the file is opened in a newer version of Excel. Learn more: https://go.microsoft.com/fwlink/?linkid=870924
Comment:
    Not counted due to lack of adequate supportive documents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tc={BECFC153-DB15-4163-AEB5-A930D34C6FAA}</author>
  </authors>
  <commentList>
    <comment ref="G1" authorId="0" shapeId="0" xr:uid="{BECFC153-DB15-4163-AEB5-A930D34C6FAA}">
      <text>
        <t>[Threaded comment]
Your version of Excel allows you to read this threaded comment; however, any edits to it will get removed if the file is opened in a newer version of Excel. Learn more: https://go.microsoft.com/fwlink/?linkid=870924
Comment:
    @Tarig Abdallah / @Ahmed Adam  Most important part. Please consider lights installed in same area to avoid double counting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tc={445343DF-2C47-4742-A0FD-9CF47D9EA5D8}</author>
  </authors>
  <commentList>
    <comment ref="S1" authorId="0" shapeId="0" xr:uid="{445343DF-2C47-4742-A0FD-9CF47D9EA5D8}">
      <text>
        <t>[Threaded comment]
Your version of Excel allows you to read this threaded comment; however, any edits to it will get removed if the file is opened in a newer version of Excel. Learn more: https://go.microsoft.com/fwlink/?linkid=870924
Comment:
    @Ahmed Adam please confirm litres per hour or daily yeild or x8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tc={CE415E44-785A-4179-AF2C-95FC68705F83}</author>
  </authors>
  <commentList>
    <comment ref="H5" authorId="0" shapeId="0" xr:uid="{CE415E44-785A-4179-AF2C-95FC68705F83}">
      <text>
        <t>[Threaded comment]
Your version of Excel allows you to read this threaded comment; however, any edits to it will get removed if the file is opened in a newer version of Excel. Learn more: https://go.microsoft.com/fwlink/?linkid=870924
Comment:
    @Yassir Zahir / @Amna Tameem please update percentages
Reply:
    Please note that these 7 sites are completed and handed over to the associations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tc={FDABCA4E-A2B9-468D-9F97-2A2B5A15E298}</author>
  </authors>
  <commentList>
    <comment ref="B1" authorId="0" shapeId="0" xr:uid="{FDABCA4E-A2B9-468D-9F97-2A2B5A15E298}">
      <text>
        <t>[Threaded comment]
Your version of Excel allows you to read this threaded comment; however, any edits to it will get removed if the file is opened in a newer version of Excel. Learn more: https://go.microsoft.com/fwlink/?linkid=870924
Comment:
    @Isaac Asare / @Abdalla Ali Abdalla Ibrahim the order of the indicators does not match the activities + more than one activity contribute to an indicator; FYI as you review M&amp;E AWP</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tc={D9938941-EA25-42AE-8214-98C63C803EC9}</author>
    <author>tc={80E2F62F-AA7D-41F0-84EF-F784D5E445CF}</author>
  </authors>
  <commentList>
    <comment ref="H6" authorId="0" shapeId="0" xr:uid="{D9938941-EA25-42AE-8214-98C63C803EC9}">
      <text>
        <t>[Threaded comment]
Your version of Excel allows you to read this threaded comment; however, any edits to it will get removed if the file is opened in a newer version of Excel. Learn more: https://go.microsoft.com/fwlink/?linkid=870924
Comment:
    @Amna Tameem  what database is this referring to?
Reply:
    This is internal data based for NEF, we share the data collection sheet with all the IPs , waiting to receive the final registration form, 
Reply:
    Thanks for clarifying!</t>
      </text>
    </comment>
    <comment ref="E34" authorId="1" shapeId="0" xr:uid="{80E2F62F-AA7D-41F0-84EF-F784D5E445CF}">
      <text>
        <t>[Threaded comment]
Your version of Excel allows you to read this threaded comment; however, any edits to it will get removed if the file is opened in a newer version of Excel. Learn more: https://go.microsoft.com/fwlink/?linkid=870924
Comment:
    @Abdalla Ali Abdalla Ibrahim this is very concerning update from Tokar</t>
      </text>
    </comment>
  </commentList>
</comments>
</file>

<file path=xl/sharedStrings.xml><?xml version="1.0" encoding="utf-8"?>
<sst xmlns="http://schemas.openxmlformats.org/spreadsheetml/2006/main" count="1406" uniqueCount="642">
  <si>
    <t>Project Name:</t>
  </si>
  <si>
    <t>Strengthening the Resilience of IDPS, Refugees and Vulnerable Host Communities in East Sudan</t>
  </si>
  <si>
    <t>Donor:</t>
  </si>
  <si>
    <t>Swiss Agency for Development &amp; Cooperation (SDC)</t>
  </si>
  <si>
    <t>Total budget:</t>
  </si>
  <si>
    <t>CHF 3,500,000</t>
  </si>
  <si>
    <t>Start date:</t>
  </si>
  <si>
    <t>End date:</t>
  </si>
  <si>
    <t>Project Duration:</t>
  </si>
  <si>
    <t>24 months</t>
  </si>
  <si>
    <t>Target locations:</t>
  </si>
  <si>
    <t>Kassala, Gedaref and Red Sea States</t>
  </si>
  <si>
    <t>Implementing Partners:</t>
  </si>
  <si>
    <t>TBC</t>
  </si>
  <si>
    <t>Last update to tracker:</t>
  </si>
  <si>
    <t>23.04.2026</t>
  </si>
  <si>
    <t>Project Locations</t>
  </si>
  <si>
    <t>Red Sea</t>
  </si>
  <si>
    <t>Tokar</t>
  </si>
  <si>
    <t>Sinkat</t>
  </si>
  <si>
    <t>Port Sudan</t>
  </si>
  <si>
    <t>Kassala</t>
  </si>
  <si>
    <t>Girba</t>
  </si>
  <si>
    <t>New Halfa</t>
  </si>
  <si>
    <t>Gedaref</t>
  </si>
  <si>
    <t xml:space="preserve">Mafaza </t>
  </si>
  <si>
    <t>El Rahad</t>
  </si>
  <si>
    <t>Gala AlNahal</t>
  </si>
  <si>
    <t>Output</t>
  </si>
  <si>
    <t>Activity</t>
  </si>
  <si>
    <t>Activity Target</t>
  </si>
  <si>
    <t>Total_Actual</t>
  </si>
  <si>
    <t>Total</t>
  </si>
  <si>
    <t>Gadaref</t>
  </si>
  <si>
    <t xml:space="preserve">Red Sea </t>
  </si>
  <si>
    <t>TDO_Target</t>
  </si>
  <si>
    <t>TDO_Q4_Actual</t>
  </si>
  <si>
    <t>IRW_Target</t>
  </si>
  <si>
    <t>IRW_Q4_Actual</t>
  </si>
  <si>
    <t>Rara _Target</t>
  </si>
  <si>
    <t>Rara_Q4_Actual</t>
  </si>
  <si>
    <t>SRC_Target</t>
  </si>
  <si>
    <t>SRC_Q4_Actual</t>
  </si>
  <si>
    <t>DPI_Taregt</t>
  </si>
  <si>
    <t>DPI_Q4_Actual</t>
  </si>
  <si>
    <t>WCDS_Target</t>
  </si>
  <si>
    <t>WCDS_Q4_Actual</t>
  </si>
  <si>
    <t>NEF_Target</t>
  </si>
  <si>
    <t>NEF_Q4_Actual</t>
  </si>
  <si>
    <t>CDF_Target</t>
  </si>
  <si>
    <t>CDF_Q4_Actual</t>
  </si>
  <si>
    <t>2nd Report_Totals</t>
  </si>
  <si>
    <t>TDO  Q2 -26 Actu</t>
  </si>
  <si>
    <t>IRW Q 2- 26 Actu</t>
  </si>
  <si>
    <t>Rara Q2 26 Actu</t>
  </si>
  <si>
    <t>SRC Q 2 26 Actu</t>
  </si>
  <si>
    <t xml:space="preserve">DPI Q2 </t>
  </si>
  <si>
    <t>WCDS Q2 26 Actu</t>
  </si>
  <si>
    <t>NEF Q2 26 Actu</t>
  </si>
  <si>
    <t>CDF Q2 26 Actu</t>
  </si>
  <si>
    <t xml:space="preserve">Total </t>
  </si>
  <si>
    <t>Comments</t>
  </si>
  <si>
    <t>Output 1: Income generation, employment and food production support provided to IDPs, refugees and host community members;</t>
  </si>
  <si>
    <t>Activity 1.1: Distribute agricultural (seeds, fertilizers, and tools) and Fisheries inputs (Fishing gear, boats and engines and fish processing storage and preservation equipment) to 15,000 IDPs and Vulnerable host community households</t>
  </si>
  <si>
    <t>1800 agri (900F, 900 M) + 20 fishing eqp.</t>
  </si>
  <si>
    <t>2000 (1442 M, 558F)</t>
  </si>
  <si>
    <t>1000 HH (40% F, 10kg of millet seeds, 1 spade, 1 axe per HH)</t>
  </si>
  <si>
    <t>500 (380g of tomato seeds, 380g of eggplant seed, 380g of Jews mellow, Rocket plant and 380g of Okra seeds/HH</t>
  </si>
  <si>
    <t>45 fishermen (18 fishing nets &amp; 9 ice boxes)</t>
  </si>
  <si>
    <t>2200 agri (1001 F, 1199M) + 275 fishing eqp.</t>
  </si>
  <si>
    <t>500 (304 M, 196 F)</t>
  </si>
  <si>
    <t xml:space="preserve">Fishery items distributed to 250 fishery men in Gerba locality  Kassala, CDF distributed  seeds and tools to (1,270 Farmers in New Halfa Kassala , WCDS distributed fishery items including bouts to 25 fishery men </t>
  </si>
  <si>
    <t>Activity 1.2 Facilitate Access to land by 8000 IDPs, Refugees and vulnerable landless groups for agriculture activities</t>
  </si>
  <si>
    <t>6 feddans secured for IDP</t>
  </si>
  <si>
    <t>100 feddans (250 farmers, 25 HH/feddan)</t>
  </si>
  <si>
    <t> </t>
  </si>
  <si>
    <t>Activity 1.3 Establish 12 Agricultural Associations and including IDPs, Refugees and host Community Members</t>
  </si>
  <si>
    <t>3 (20 members each)</t>
  </si>
  <si>
    <t>2 fishermen association (46 members; 23 each)</t>
  </si>
  <si>
    <t xml:space="preserve">IRW established 12 associations 349 members (310 M,39F) </t>
  </si>
  <si>
    <t>Activity 1.4 Provide agricultural extension to 20,000 households services through Farmer Field Schools in collaboration with the Ministry of Production and the Agricultural Research Stations;</t>
  </si>
  <si>
    <t>4 FFS identified (120 farmers enrolled)</t>
  </si>
  <si>
    <t>16 FFS launched, 2 sessions conducted, 500 
farmers (300 M and 200 F)</t>
  </si>
  <si>
    <t>500 HH (30% F, 6 locations, 14 sessions)</t>
  </si>
  <si>
    <t>500 (112 F, 388 M)</t>
  </si>
  <si>
    <t>160 (97 F, 64 M)</t>
  </si>
  <si>
    <t>50 farmers (35 M, 15 F, 8 sessions, 2 sites - village 10, Khawalda village)</t>
  </si>
  <si>
    <t>Activity 1.5 Organize Two (2) Training of Trainer Workshop for 60 Fishermen on Storage, Processing and Value Addition of fish</t>
  </si>
  <si>
    <t>20 F (500 buckets)</t>
  </si>
  <si>
    <t>25 F</t>
  </si>
  <si>
    <t xml:space="preserve">TDO trained 20 Fishermen in fisheries </t>
  </si>
  <si>
    <t>Activity 1.6 Initiate Seed multiplication in 6 sites with lead farmers in partnership with the Agricultural Research Stations</t>
  </si>
  <si>
    <t>2 sites selected</t>
  </si>
  <si>
    <t>2 (Al-Hawata, Wad Meskeen, 2 feddans/crop/2 crops)</t>
  </si>
  <si>
    <t>Activity 1.7: Support to livestock restocking and vaccination (mainly small ruminants) for 4,500 most vulnerable households</t>
  </si>
  <si>
    <t>15 HH (refugees, F, 2 sheep/HH)</t>
  </si>
  <si>
    <t>40 HH (80 sheep, 12 F)</t>
  </si>
  <si>
    <t>50 HH received 150 goats (2 F, 1 M goat per HH, 60%)</t>
  </si>
  <si>
    <t>36 HH (15 F, 72 goats)</t>
  </si>
  <si>
    <t>100 HH (2 goats/HH)</t>
  </si>
  <si>
    <t>25 HH ( 17 F, 75 goats, 3 goats/HH)</t>
  </si>
  <si>
    <t>This is HHs number for direct support with smal ruminants, ther will be vaccenation activites to the HHs</t>
  </si>
  <si>
    <t>Activity 1.8: Provide micro-grants to vulnerable groups and associations to 505 associations/groups and micro-enterprises to undertake small business and Income_x0002_generation venture.</t>
  </si>
  <si>
    <t>120 trained (5 groups, 82 individual projects)</t>
  </si>
  <si>
    <t>50 selected from each community</t>
  </si>
  <si>
    <t xml:space="preserve">Groups / individuals </t>
  </si>
  <si>
    <t xml:space="preserve">CDF provided grants to 5 groups total 139 women . NEF provided grants to 3 groups  and individual projectwith total 165 . TDO provided grants to 11 groups    there is individual projects </t>
  </si>
  <si>
    <t>Activity 1.9: Support emergency employment initiatives for 3000 youth through Cash for Work initiatives.</t>
  </si>
  <si>
    <t>162 (15 F, 147 M)</t>
  </si>
  <si>
    <t>138 ( 47M, 21 F, 70 youth) in cleaning campaign</t>
  </si>
  <si>
    <t>Activity 1.10: Facilitate linkages with at least 2 private sector and other value chains stakeholders to promote access to market</t>
  </si>
  <si>
    <t>Privat secter</t>
  </si>
  <si>
    <t>Output 2: Renewable energy and water infrastructure/equipment provided that benefit IDPs, Refugees and host communities.</t>
  </si>
  <si>
    <t>Activity 2.1: Establish/rehabilitate, upgrade and solarize 12 water resources (water awards, boreholes etc.)</t>
  </si>
  <si>
    <t>WCDS established one water CMC with 16 members</t>
  </si>
  <si>
    <t>Activity 2.2 Establish and train 12 CMCs on Water Resource Management, cost recovery and Sustainability to implement Cost Recovery mechanisms</t>
  </si>
  <si>
    <t>1 Sub-committee of CMC (10 members, 4 F)</t>
  </si>
  <si>
    <t>1 (25 participants on water mng)</t>
  </si>
  <si>
    <t>2 CMCs (5 F, 45M)</t>
  </si>
  <si>
    <t xml:space="preserve">CDF established water CMC with 25 members , WCDS established on CMC with 25 members ( 12 women , 13 men) </t>
  </si>
  <si>
    <t>Activity 2.3 Provision of 20 Solar Water Pumps and Accessories for irrigation including gardening.</t>
  </si>
  <si>
    <t xml:space="preserve">10 soler water irrigation pumps installed 7 in Gadaref and 3 in Kassala sarving  more than 500  farmers </t>
  </si>
  <si>
    <t>Activity 2.4: Provide 10 agricultural machinery including Tractors and accessories to Associations to increase production.</t>
  </si>
  <si>
    <t xml:space="preserve">UNDP procured and haned over 10 Tractors with Accessories to 10 Agricultural coopratives 6 in Gadaref 3 in Kassala and 1 in Red Sea </t>
  </si>
  <si>
    <t>Activity 2.5: Distribute Household Solar Box (Torchlight, radio, charging system) to 8000 IDPs and vulnerable host households</t>
  </si>
  <si>
    <t>240 (58 F)</t>
  </si>
  <si>
    <t>Activity 2.7: Provide 100 Solar Street lights and Flood Lights in Gathering areas to reduce protection risks for women</t>
  </si>
  <si>
    <t>Output 3: Communitybased institutions and structures in place and functioning.</t>
  </si>
  <si>
    <t>Activity 3.1: Establish 12 community management committees (CMCs) each with 25 members and 2-3 Sub-committees (with representation women and youth).</t>
  </si>
  <si>
    <t>2 (32 members - 19 F, 13 M)</t>
  </si>
  <si>
    <t>2 (113 members, 65 F)</t>
  </si>
  <si>
    <t>1 CMC (20 members - 5 F)</t>
  </si>
  <si>
    <t>2 (50 members, 25 F)</t>
  </si>
  <si>
    <t>1 CMC (25 members; 12 F)</t>
  </si>
  <si>
    <t>2 CMCs (7F, 48 M)</t>
  </si>
  <si>
    <t xml:space="preserve">CDF established wa CMC with 25 members </t>
  </si>
  <si>
    <t>Activity 3.2: Conduct training for 300 CMCs on communication and advocacy skills, negotiation and mediation skills, Gender equality, SGBV and leadership skills.</t>
  </si>
  <si>
    <t>1 (113 members, 65 F)</t>
  </si>
  <si>
    <t>200 (60 F)</t>
  </si>
  <si>
    <t>55 members (2 sessions, 7 F, 48 M, 30 Khawalda, 25 Village 10)</t>
  </si>
  <si>
    <t>NEF Trained  50 CMCs members (3F,47M) IRW trained 20 CMCs mebers  ( 4 F,14 M)</t>
  </si>
  <si>
    <t>Activity 3.3: Conduct 12 community peace dialogue forums</t>
  </si>
  <si>
    <t>2 (43 participants)</t>
  </si>
  <si>
    <t>1 (1200 - 48 F)</t>
  </si>
  <si>
    <t>2 (540 participants - 400 M, 140 F)</t>
  </si>
  <si>
    <t>Activity 3.4 Support CMCs to organize peace events such sports, cultural and dance events emphasizing peace, social cohesion, and Co-existence among different groups.</t>
  </si>
  <si>
    <t>Not specified in project docs</t>
  </si>
  <si>
    <t>1 (350 participants)</t>
  </si>
  <si>
    <t>3 events ( 2 in Khawalda, 400 - 160 F, 240 M ; 1 in village 10 , 260 - 80 F , 180 M)</t>
  </si>
  <si>
    <t>No.</t>
  </si>
  <si>
    <t>State</t>
  </si>
  <si>
    <t>Locality</t>
  </si>
  <si>
    <t xml:space="preserve">Targeted area/Community </t>
  </si>
  <si>
    <t>Solar Light capacity (Watts)</t>
  </si>
  <si>
    <t>No. of Hours operating</t>
  </si>
  <si>
    <t>Approximate Beneficiaries (individuals)</t>
  </si>
  <si>
    <t>Coordinates</t>
  </si>
  <si>
    <t>Status</t>
  </si>
  <si>
    <t>Handed over</t>
  </si>
  <si>
    <t>Handover date</t>
  </si>
  <si>
    <t xml:space="preserve">sinkat </t>
  </si>
  <si>
    <t>Mixed Educational Centre School (Agricultural)-Sinkat</t>
  </si>
  <si>
    <t>1000 WATT</t>
  </si>
  <si>
    <t>12 Hours</t>
  </si>
  <si>
    <t>N: 18.9504  E:  36.8348</t>
  </si>
  <si>
    <t>Yes</t>
  </si>
  <si>
    <t>17-2-2026</t>
  </si>
  <si>
    <t xml:space="preserve"> Ibrahim Ahmed Oshiek Health Centre-Sinkat</t>
  </si>
  <si>
    <t>N: 18.853611 E:  36.842578</t>
  </si>
  <si>
    <t xml:space="preserve"> Displaced Persons Shelter Centre-Sinkat</t>
  </si>
  <si>
    <t>N: 18.844431 E:  36.838881</t>
  </si>
  <si>
    <t xml:space="preserve"> Old Hospital Yard-Sinkat</t>
  </si>
  <si>
    <t>N: 18.841318  E:  36.837118</t>
  </si>
  <si>
    <t xml:space="preserve"> Sinkat Main Bus Station-Sinkat</t>
  </si>
  <si>
    <t>N: 18.836968   E:  36.839027</t>
  </si>
  <si>
    <t xml:space="preserve">  Sinkat Police Department-Sinkat</t>
  </si>
  <si>
    <t>N: 18.83780   E:  36.836974</t>
  </si>
  <si>
    <t xml:space="preserve">  Lady Maryam Mosque-Sinkat</t>
  </si>
  <si>
    <t>N: 18.836596   E:  36.835812</t>
  </si>
  <si>
    <t>Sinkat Model Health Centre-Sinkat</t>
  </si>
  <si>
    <t>N: 18.832903   E:  36.836372</t>
  </si>
  <si>
    <t xml:space="preserve">  Sinkat Locality Square-Sinkat</t>
  </si>
  <si>
    <t>N: 18.832605   E:  36.836968</t>
  </si>
  <si>
    <t xml:space="preserve">  Bir Taksoub School-Sinkat</t>
  </si>
  <si>
    <t xml:space="preserve">  N: 18.812726   E:  36.835393</t>
  </si>
  <si>
    <t xml:space="preserve"> Vegetable Market-Sinkat</t>
  </si>
  <si>
    <t>N: 18.839389   E:  36.832662</t>
  </si>
  <si>
    <t xml:space="preserve"> End of Street in the Middle of the Market-Sinkat</t>
  </si>
  <si>
    <t>N: 18.841259   E:  36.829913</t>
  </si>
  <si>
    <t xml:space="preserve">  Dinayet Health Centre-Sinkat</t>
  </si>
  <si>
    <t>N: 18.838861   E:  36.826623</t>
  </si>
  <si>
    <t xml:space="preserve"> Entrance to Block 7, Mar Fedin-Sinkat</t>
  </si>
  <si>
    <t>N: 18.836099   E:  36.829788</t>
  </si>
  <si>
    <t xml:space="preserve">  Gebeit Hospital-Gabait</t>
  </si>
  <si>
    <t>N: 18.951854  E:  36.834604</t>
  </si>
  <si>
    <t xml:space="preserve">  Tekrayit Water Station-Gabait</t>
  </si>
  <si>
    <t>N: 18.945429  E:  36.830799</t>
  </si>
  <si>
    <t xml:space="preserve">  Doctor Aila Girls’ Dormitory-Gabait</t>
  </si>
  <si>
    <t>N: 18.946286   E:  36.838104</t>
  </si>
  <si>
    <t xml:space="preserve">  Gebeit Market-Gabait</t>
  </si>
  <si>
    <t>N: 18.953563   36.834531</t>
  </si>
  <si>
    <t xml:space="preserve"> Entrance to Al-Salam Neighborhood-Gabait</t>
  </si>
  <si>
    <t>N: 18.954053   E:  36.830463</t>
  </si>
  <si>
    <t>N: 18.946611   E:  36.838813</t>
  </si>
  <si>
    <t>Toker</t>
  </si>
  <si>
    <t xml:space="preserve"> Next to Al-Noor Company</t>
  </si>
  <si>
    <t>N: 18.422575 E:  37.729199</t>
  </si>
  <si>
    <t>18-2-2026</t>
  </si>
  <si>
    <t xml:space="preserve">   Al-Humaira School</t>
  </si>
  <si>
    <t>N: 18.421296  E:  37.729789</t>
  </si>
  <si>
    <t xml:space="preserve">  Al-Sahwa Centre</t>
  </si>
  <si>
    <t>N: 18.422598  E:  37.726750</t>
  </si>
  <si>
    <t xml:space="preserve">   Entrance to First Neighbourhood</t>
  </si>
  <si>
    <t>N: 18.435306  E:  37.727397</t>
  </si>
  <si>
    <t xml:space="preserve"> Next to Veterinary Office</t>
  </si>
  <si>
    <t>N: 18.434497 E:  37.733851</t>
  </si>
  <si>
    <t xml:space="preserve"> Next to Omheil Building</t>
  </si>
  <si>
    <t>N: 18.431425  E:  37.733270</t>
  </si>
  <si>
    <t xml:space="preserve">  Next to Police Station</t>
  </si>
  <si>
    <t>N: 18.432831  E:  37.735249</t>
  </si>
  <si>
    <t xml:space="preserve">  Next to Institution Rest House</t>
  </si>
  <si>
    <t>N: 18.433921  E:  37.735635</t>
  </si>
  <si>
    <t xml:space="preserve"> Behind Doctors’ Mess</t>
  </si>
  <si>
    <t>N: 18.431442  E:  37.737932</t>
  </si>
  <si>
    <t xml:space="preserve"> Entrance to Informal Settlement</t>
  </si>
  <si>
    <t>N: 18.429157   E:  37.737932</t>
  </si>
  <si>
    <t>Portsudan</t>
  </si>
  <si>
    <t>Salabona Beet Alshabab – IDPs</t>
  </si>
  <si>
    <t>N: 19.637907   E:  37.239201</t>
  </si>
  <si>
    <t>15-2-2026</t>
  </si>
  <si>
    <t>Salabona Alshaikh Mustafa Alameen School – IDPs</t>
  </si>
  <si>
    <t>N: 19.638116   E:  37.237247</t>
  </si>
  <si>
    <t>Althowra Sharq School – IDPs</t>
  </si>
  <si>
    <t>N: 19.653702   E:  37.222098</t>
  </si>
  <si>
    <t>Um Algora School 9 – IDPs</t>
  </si>
  <si>
    <t>N: 19.674778   E:  37.176976</t>
  </si>
  <si>
    <t>Um Algora School 4 – IDPs</t>
  </si>
  <si>
    <t>N: 19.664045   E:  37.187180</t>
  </si>
  <si>
    <t>Hay Alameen 6 Community Center – Host Community</t>
  </si>
  <si>
    <t>N: 19.612985   E:  37.187628</t>
  </si>
  <si>
    <t>Hay Alameen 1 Community Center – Host Community</t>
  </si>
  <si>
    <t>N: 19.608508   E:  37.172607</t>
  </si>
  <si>
    <t>Hay Alameen 7 – Alferdos Association – Host Community</t>
  </si>
  <si>
    <t>N: 19.617344   E:  37.185236</t>
  </si>
  <si>
    <t>shaikh alnoor</t>
  </si>
  <si>
    <t>N: 19.596276   E:  37.190581</t>
  </si>
  <si>
    <t>zamzam assosiation host comunity</t>
  </si>
  <si>
    <t>N: 19.593619   E:  37.188442</t>
  </si>
  <si>
    <r>
      <t xml:space="preserve"> I</t>
    </r>
    <r>
      <rPr>
        <b/>
        <sz val="10"/>
        <color rgb="FF000000"/>
        <rFont val="Aptos"/>
        <family val="2"/>
      </rPr>
      <t>tem #</t>
    </r>
  </si>
  <si>
    <t>Type of water intervention</t>
  </si>
  <si>
    <t xml:space="preserve">Project Main Components </t>
  </si>
  <si>
    <t>Expected Drawdown (m)</t>
  </si>
  <si>
    <t>Pumping Setting Depth (F)</t>
  </si>
  <si>
    <t>Pump Selection Type &amp; Model</t>
  </si>
  <si>
    <t>Nominal Power (kW)</t>
  </si>
  <si>
    <t>Number of Panels</t>
  </si>
  <si>
    <t>N. of hours it operates on solar system for borehole</t>
  </si>
  <si>
    <t>Water production rate per hour</t>
  </si>
  <si>
    <t>Water productivity rate (m³/day) of the borehole</t>
  </si>
  <si>
    <t>Water productivity per liter/day</t>
  </si>
  <si>
    <t>Number of beneficiaries of water stations (persons)</t>
  </si>
  <si>
    <t>Water Yeilding (L/H)</t>
  </si>
  <si>
    <t>Handed Over</t>
  </si>
  <si>
    <t>Handover Date</t>
  </si>
  <si>
    <t>Sinkat Town</t>
  </si>
  <si>
    <t>Rehabilitaion of Existing Bore 1</t>
  </si>
  <si>
    <t xml:space="preserve">Rehabilitation of the Bore Hole </t>
  </si>
  <si>
    <t>Provision and installation of a submersible pump.</t>
  </si>
  <si>
    <t>Provision and installation of a solar system.</t>
  </si>
  <si>
    <r>
      <t>·</t>
    </r>
    <r>
      <rPr>
        <sz val="7"/>
        <color rgb="FF000000"/>
        <rFont val="Times New Roman"/>
        <family val="1"/>
      </rPr>
      <t xml:space="preserve">  </t>
    </r>
    <r>
      <rPr>
        <sz val="10"/>
        <color rgb="FF000000"/>
        <rFont val="Aptos"/>
        <family val="2"/>
      </rPr>
      <t>Steel fence.</t>
    </r>
  </si>
  <si>
    <r>
      <t>·</t>
    </r>
    <r>
      <rPr>
        <sz val="7"/>
        <color rgb="FF000000"/>
        <rFont val="Times New Roman"/>
        <family val="1"/>
      </rPr>
      <t xml:space="preserve">  </t>
    </r>
    <r>
      <rPr>
        <sz val="10"/>
        <color rgb="FF000000"/>
        <rFont val="Aptos"/>
        <family val="2"/>
      </rPr>
      <t>Connection with a main water pipe.</t>
    </r>
  </si>
  <si>
    <t>N18.897359    E36.834747</t>
  </si>
  <si>
    <t xml:space="preserve">Connection with electricity </t>
  </si>
  <si>
    <t>panelli 95PR6 N/13 2 HP 2INCH</t>
  </si>
  <si>
    <t xml:space="preserve">1.5kw </t>
  </si>
  <si>
    <t>6 m3</t>
  </si>
  <si>
    <t>48 m3</t>
  </si>
  <si>
    <t>13-5-2026</t>
  </si>
  <si>
    <t>Rehabilitaion of Existing Bore 2</t>
  </si>
  <si>
    <t>N18.898223    E36.835627</t>
  </si>
  <si>
    <t>4.5m3</t>
  </si>
  <si>
    <t>36m3</t>
  </si>
  <si>
    <t>Rehabilitaion of Existing Bore 3</t>
  </si>
  <si>
    <t>N18.900234    E36.838049</t>
  </si>
  <si>
    <t>5m3</t>
  </si>
  <si>
    <t>40m3</t>
  </si>
  <si>
    <t>Rehabilitaion of Existing Bore 4</t>
  </si>
  <si>
    <t>N18.832307    E36.841176</t>
  </si>
  <si>
    <t>Gabait</t>
  </si>
  <si>
    <t>N18.934057    E36.841237</t>
  </si>
  <si>
    <t>N18.932777    E36.841238</t>
  </si>
  <si>
    <t>N18.928002    E36.837902</t>
  </si>
  <si>
    <t>5.5m3</t>
  </si>
  <si>
    <t>44 m3</t>
  </si>
  <si>
    <t>Locality /Site Name/ Association</t>
  </si>
  <si>
    <t>Irrigated Area</t>
  </si>
  <si>
    <t>Scope of Work</t>
  </si>
  <si>
    <t>GPS coordinates</t>
  </si>
  <si>
    <t>Beneficiaries (HH)</t>
  </si>
  <si>
    <t>Progress of Work up to date</t>
  </si>
  <si>
    <t>Note</t>
  </si>
  <si>
    <t>Kassala / mustanerat Association</t>
  </si>
  <si>
    <t>10 Feddan/ 4.2 Hectares</t>
  </si>
  <si>
    <t>•10 HP pump                        
• Solar system.
• Fence.
• Signboard.</t>
  </si>
  <si>
    <t> 15°25'05.9"N 36°22'50.3"E</t>
  </si>
  <si>
    <t>Kassala / Awlad Omer Wdaa Association</t>
  </si>
  <si>
    <t>15°23'31.2"N 36°22'09.2"E</t>
  </si>
  <si>
    <t>Kassala / Abu Esraa Name</t>
  </si>
  <si>
    <t>15°29'57.1"N 36°18'59.9"E</t>
  </si>
  <si>
    <t>El Rahad /Hilat Salih / Association Name</t>
  </si>
  <si>
    <t>•10 HP pump                       
• Solar system.
• Fence.
• Signboard.</t>
  </si>
  <si>
    <t>13°25'51.7"N, 34°36'17.1"E</t>
  </si>
  <si>
    <t>Handed over on 09 Aug 2026</t>
  </si>
  <si>
    <t>El Rahad/Hilat Khalifa / Association Name</t>
  </si>
  <si>
    <t>13°23'05.1"N, 34°39'02.1"E</t>
  </si>
  <si>
    <t>El Rahad/Abdellatif / Abdellatif Association</t>
  </si>
  <si>
    <t>13°15'40.1"N, 34°45'36.8"E</t>
  </si>
  <si>
    <t>Al Mafaza/Wad Gateet / Association Name</t>
  </si>
  <si>
    <t>13°38'51.0"N, 34°31'00.9"E</t>
  </si>
  <si>
    <t>Handed over on 10 Aug 2026</t>
  </si>
  <si>
    <t>Al Mafaza/Al wahedo/ Association Name</t>
  </si>
  <si>
    <t>13°39'50.8"N, 34°28'50.4"E</t>
  </si>
  <si>
    <t xml:space="preserve">Al Fashaga/El Tomat – Wad Zaid / Wad Zaid Association </t>
  </si>
  <si>
    <t>14°17'32.9"N, 35°51'55.3"</t>
  </si>
  <si>
    <t>Handed over on 04 Aug 2026</t>
  </si>
  <si>
    <t>Al Fashaga/El Tomat - Wad Zaid/ Association Name</t>
  </si>
  <si>
    <t>14°19'05.4"N, 35°51'23.8"E</t>
  </si>
  <si>
    <t>Handed over on 05 Aug 2026</t>
  </si>
  <si>
    <t>Budget</t>
  </si>
  <si>
    <t>Expenditures</t>
  </si>
  <si>
    <t>Balance</t>
  </si>
  <si>
    <t>Donor 1</t>
  </si>
  <si>
    <t>Output 1</t>
  </si>
  <si>
    <t xml:space="preserve"> </t>
  </si>
  <si>
    <t>Output 2</t>
  </si>
  <si>
    <t>Output 3</t>
  </si>
  <si>
    <t>Output 4</t>
  </si>
  <si>
    <t>Output 6</t>
  </si>
  <si>
    <t>785.453.00</t>
  </si>
  <si>
    <t>Output Indicator</t>
  </si>
  <si>
    <t>Baseline</t>
  </si>
  <si>
    <t>Target</t>
  </si>
  <si>
    <t>Actual - June 26</t>
  </si>
  <si>
    <t xml:space="preserve">Comments </t>
  </si>
  <si>
    <t>1.2 % of smallholder farmers reporting increase in agricultural production per hectare.</t>
  </si>
  <si>
    <t>At least 80%</t>
  </si>
  <si>
    <t>1.1 Number of smallholder farmers receiving agriculture support, including IDPs and host communities.</t>
  </si>
  <si>
    <t xml:space="preserve">45 fisharies trained in  20 in Gadare , 25 in PortSudan </t>
  </si>
  <si>
    <t>1.6 % of household stating improvement in food security based in Food Insecurity Experience Survey (FIES)</t>
  </si>
  <si>
    <t>1.3 Number of groups, associations and Micro_x0002_enterprises receiving micro_x0002_grants and savings support to establish small businesses.</t>
  </si>
  <si>
    <t xml:space="preserve">there is addtional individual projects </t>
  </si>
  <si>
    <t>1.4 Number of people benefiting from emergency employment opportunities</t>
  </si>
  <si>
    <t>1.5 % increase in household income attributed to project intervention.</t>
  </si>
  <si>
    <t>At least 85%</t>
  </si>
  <si>
    <t>2.1 Number and type of water resources rehabilitated, up and running</t>
  </si>
  <si>
    <t>2.2 Number of households with accessing water within 500 meter from households.</t>
  </si>
  <si>
    <t>At least 160000 people of which 60% female</t>
  </si>
  <si>
    <t>2.3 Number of Solar Pumps distributed.</t>
  </si>
  <si>
    <t>2.4 Number and type of farm machinery to support agricultural production.</t>
  </si>
  <si>
    <t>2.5 % increase in area under production per household thanks to access to machinery</t>
  </si>
  <si>
    <t>2.6 % of households reporting reduction in GBV incidents thanks to the project.</t>
  </si>
  <si>
    <t>Output 3: Community_x0002_based institutions and structures in place and functioning.</t>
  </si>
  <si>
    <t xml:space="preserve">3.1 Number of CMCs established. </t>
  </si>
  <si>
    <t>3.2 % of females and Youth in the CMCs</t>
  </si>
  <si>
    <t>At least 40%</t>
  </si>
  <si>
    <t>3.3 Number of community peace dialogue forums conducted.</t>
  </si>
  <si>
    <t>3.4 % of IDPs and host community members stating improvement in relations among different groups.</t>
  </si>
  <si>
    <t>At least 75%</t>
  </si>
  <si>
    <t>Week Duration</t>
  </si>
  <si>
    <t>TDO</t>
  </si>
  <si>
    <t>IRW</t>
  </si>
  <si>
    <t xml:space="preserve">Rara </t>
  </si>
  <si>
    <t>SRC</t>
  </si>
  <si>
    <t>DPI</t>
  </si>
  <si>
    <t>WCDS</t>
  </si>
  <si>
    <t>NEF</t>
  </si>
  <si>
    <t>CDF</t>
  </si>
  <si>
    <t>Undefined</t>
  </si>
  <si>
    <t>Procurement</t>
  </si>
  <si>
    <t>2nd Nov to 6th Nov</t>
  </si>
  <si>
    <t xml:space="preserve">Key Activities and Progress
•	Identified eight villages’ clusters, including 16 villages, as target locations for project implementation.
•	Community consultations are currently ongoing to support the selection of 420 farmers to participate in the upcoming agricultural activities.
•	A pre-needs assessment was conducted to identify the preferred types of vegetable seeds, as well as the required local agricultural tools and fertilizers.
•	The procurement of 400 agricultural tools has been completed in preparation for distribution to the selected farmers
</t>
  </si>
  <si>
    <t xml:space="preserve">Key Activities and Progress
•	Registered a total of 2,000 beneficiaries across four villages’ clusters, including 20 villages.
•	Identified and selected 200 IDPs without access to land to receive targeted land access support.
•	Conducted a primary assessment to determine the crop preferences of farmers with demonstrated experience in cultivation. Based on the findings, the procurement process has been initiated to source two types of vegetable seeds (onion and tomato) as requested by the beneficiaries.
•	Engaged in coordination with the Agricultural Research Station (ARS) regarding seed multiplication and developed a detailed implementation plan in collaboration with ARS.
</t>
  </si>
  <si>
    <t>None</t>
  </si>
  <si>
    <t xml:space="preserve">1)	SDC – DPI: Sinkat 
•	A meeting was held with the Agricultural and Community management, the aim of the meeting to identify the trainees’ targets.
•	Meeting has been conducted with the IDPs and they identified their committees and who will attend the training
•	The committees promised to submit the lists of the female committees.
•	All committees submitted their members list of trainees
•	Currently underway of identifying the Agricultural beneficiaries and from the other projects components.
•	The preparations for the Agricultural and CMCs are completed and the training will commence next week.
•	DPI communicated with MoA to purchase the seeds which already determined by beneficiaries.
•	The MoA communicated and connected DPI with supplies, the suppliers provided the seeds price each solemn
•	Currently the DPI logistic in process for screening the quotations 
•	DPI communicated Red Sea Organization to collect from them the solar kits and the receiving process is undergoing.
</t>
  </si>
  <si>
    <t>•	The RPA has been signed with the IP the will implement the SDC activity in Port Sudan locality.</t>
  </si>
  <si>
    <t xml:space="preserve"> NEF Organization:
•	Technical Agreement (TA): Signed all parts in Kassala, pending HAC Federal endorsement.
•	Target Locations: 8 villages confirmed in Khashm El Girba to align with UNDP water sites (Shigrab-West, Andala, 26 Arab, 1 Arab, Khashm El Girba, Al Monaba, Girba Camp, Kilo 26 Camp).
•	Winter Seeds Procurement: Administrative procedures completed; supplier selection expected within 10–13 days.
•	Fisheries Inputs: Coordination with Kassala Fisheries Dept. ongoing to finalize tools and equipment.
</t>
  </si>
  <si>
    <t>CDF Organization: Weekly update not yet received.</t>
  </si>
  <si>
    <t>9th Nov to 13th Nov</t>
  </si>
  <si>
    <r>
      <rPr>
        <sz val="11"/>
        <color rgb="FF000000"/>
        <rFont val="Aptos Narrow"/>
        <scheme val="minor"/>
      </rPr>
      <t xml:space="preserve">#	Activity 	Achievement/s
1	Activity 1.1:Distribute agricultural (seeds, fertilizers, and tools) and Fisheries inputs (Fishing gear, boats and engines and fish processing storage and preservation equipment) to DPs and Vulnerable host community households	 Following with Ministry of agriculture to receive the seeds test results.
The supplier was identified and Ministry of agriculture received the seeds samples for the test and the purchasing process within next week, 
2	Activity 1.4 Provide agricultural 
extension to households services 
through Farmer Field Schools in 
collaboration with the Ministry of 
Production and the Agricultural Research 
Stations;	The training has been done and competed including field work on how the farmers making appropriate vegetable beds for various vegetables , attended by 25 farmers ( male)
3	Activity 2.1 Establish and train  CMCs 
on Water Resource Management, cost 
recovery and Sustainability to implement 
Cost Recovery mechanisms	The training done and completed attend by 50 farmers form the six selected sites, with attendance of 7 females only ( IDPs) 
4	Activity 3.2: Conduct training for 
CMCs on communication and advocacy 
skills, negotiation and mediation skills, 
Gender equality, SGBV and leadership 
Skills.	The training has been started ( Partially )and undergoing, and planned to be completed next week  
</t>
    </r>
    <r>
      <rPr>
        <b/>
        <sz val="11"/>
        <color rgb="FFFF0000"/>
        <rFont val="Aptos Narrow"/>
        <scheme val="minor"/>
      </rPr>
      <t xml:space="preserve">5	Activity 3.3: Conduct community 
peace dialogue forums	Done and completed, attended by 50 Females, 25 IDPs
</t>
    </r>
  </si>
  <si>
    <t xml:space="preserve">CDF Organization and the Near East Foundation:
•	Community mobilization and engagement have been completed in 16 communities in New Halfa and Girba Localities by UNDP and the 2 IPs
•	Beneficiary registration is currently on-going in the 2 localities.
•	Preparations for the procurement of winter seeds and tools is on-going by the 2 IPs. 
•	A jount UNDP and NEF field mission was conducted to assess the allocation of the SDC tractor to one of the two communities (Umgamis or Andalla). The team met with both communities and reviewed the status of their associations, including legality, functionality, and access to winter-season agricultural land. Based on these findings, UNDP will further discuss and determine which community will receive the tractor.
</t>
  </si>
  <si>
    <t xml:space="preserve">CDF Organization and the Near East Foundation:
•	Community mobilization and engagement have been completed in 16 communities in New Halfa and Girba Localities by UNDP and the 2 IPs
•	Beneficiary registration is currently on-going in the 2 localities.
•	Preparations for the procurement of winter seeds and tools is on-going by the 2 IPs. 
•	A jount UNDP and NEF field mission was conducted to assess the allocation of the SDC tractor to one of the two communities (Umgamis or Andalla). The team met with both communities and reviewed the status of their associations, including legality, functionality, and access to winter-season agricultural land. Based on these findings, UNDP will further discuss and determine which community will receive the tractor.
</t>
  </si>
  <si>
    <t xml:space="preserve">SDC Project
•	Handover Tractor to Elmafaza network (Alrwad association network) total beneficiaries 333 members,
•	Complete the beneficiary’s selection and registration. 
•	Seeds and tools procurement ongoing (Altwaki and IRW).
•	IRW Sign agreement with research center and handed over farm plot for seed multiplication activities in Elrahad locality 
</t>
  </si>
  <si>
    <t>16th Nov to 20th Nov</t>
  </si>
  <si>
    <t xml:space="preserve">•	Complete vegetable seeds distribution to 1,980 beneficiaries 980 women, 1000 men, and fishy items to 20 fishermen in Almafaza locality.
•	 Sign agreement with ministry of production (agricultural extension) to provide agricultural extension training to 500 farmers, 
</t>
  </si>
  <si>
    <t xml:space="preserve">•	Compleat the procurement of seeds for 2000 farmers in Elrahad localities, 
•	Procurement of livestock to 80 HH, completed.
</t>
  </si>
  <si>
    <t xml:space="preserve">Ticnical agreement  has been signed . Join feild mission to Glaelnahel conducted with UNDP, Meeting with the locality executive  officer, agricultural department with oher government  department conducted, the project objectives and activities discussed , the locality goverment commeted to provide the support needed. As result  three communities selleted to be the project target comunities. </t>
  </si>
  <si>
    <t xml:space="preserve">SRCS (Tokar):
•	Suppliers have been identified and procurements under process for the seeds and agricultural tools.
•	Center of peace and sustainable development of the Red Sea university have been contracted to train the CMC. </t>
  </si>
  <si>
    <t>DPI: Sinkat 
•	procurement of seeds has been completed by close coordination with the ministry of agriculture to their engagement and to gain certified seeds. the seeds are :(arugula , Tomato, Okra , and Purslane).
•	  100 ruminates have also been procured and arrangements with veterinary offices are underway to vaccinate and verify the health status of all animals before distribution. 2 goats will be distributed per HH
•	A joint visit of representative of UNDP and DPI made to the solar sites in Sinkat and Gabait - Fifteen sites identified in both location them we subject them to the deputy of locality to select from them the target number.
•	 Training package for CMC so as Osman mentioned, partially completed and next week will be completely complete.
•	DPI planning to distribute the milky goats and 560 solar kits in calibration day and to regard it project launching on Wednesday 26.</t>
  </si>
  <si>
    <r>
      <rPr>
        <sz val="11"/>
        <color rgb="FF000000"/>
        <rFont val="Aptos Narrow"/>
        <family val="2"/>
        <scheme val="minor"/>
      </rPr>
      <t xml:space="preserve">•	Target communities and beneficiaries have been identified 
•	</t>
    </r>
    <r>
      <rPr>
        <b/>
        <sz val="11"/>
        <color rgb="FFFF0000"/>
        <rFont val="Aptos Narrow"/>
        <family val="2"/>
        <scheme val="minor"/>
      </rPr>
      <t>One CMC has been established</t>
    </r>
    <r>
      <rPr>
        <sz val="11"/>
        <color rgb="FF000000"/>
        <rFont val="Aptos Narrow"/>
        <family val="2"/>
        <scheme val="minor"/>
      </rPr>
      <t xml:space="preserve"> 
•	The market assessment has been completed, two suppliers have been identified to provide fishes  inputs for the fishermen. 
</t>
    </r>
  </si>
  <si>
    <t>•	Initiated procurement of winter seeds, fertilizers, and fishery kits, prioritizing winter seeds due to time sensitivity.</t>
  </si>
  <si>
    <t>•	No updates reported by the IP.</t>
  </si>
  <si>
    <t>23rd Nov to 27th Nov</t>
  </si>
  <si>
    <t>Eltwaki:
•	Seed distribution to 1,980 beneficiaries has been completed (1,000 female and 980 male).
•	A contract has been signed with the Ministry of Production for the Farmers School.
•	Mobilization for the microgrants component has begun, and grant proposal formats have been distributed to association groups.
•	Compleate the seed distribution disterbution, start the community mobilization for the micro finance activity, project proposal format has been developed and disterbuted to the groups,</t>
  </si>
  <si>
    <t>IRW:
•	Community mobilization and establishment of CMCs have begun in three communities to support project implementation.
•	Seed procurement has been finalized, and distribution to beneficiaries is scheduled for next week. Earlier internal challenges related to the procurement process have been resolved.
•	Procurement of 80 female goats/sheep has commenced in coordination with the Animal Production Unit; vaccination preparations are underway.
•	Signed contract with ministry of production to</t>
  </si>
  <si>
    <t xml:space="preserve">•	A joint field visit with UNDP was conducted to Gal Al Nahal Locality, where three target communities were selected: Samsam Guga, Um Blail, and Hela Gadeed.
•	Baseline survey activities have started in the three communities, along with coordination meetings with the Ministry of Production and Social Affairs.
•	Base line survay for the three communities had been started, community mobilization starte, Form community CMCs to support the project implementation,
</t>
  </si>
  <si>
    <t xml:space="preserve">SRCS:
•	Seeds and agricultural Tools have been purchased and expected to be distributed first week of December.
•	Contact has been made with the CMC and community leader at large to form the groups and expected to be finalized next week.
•	And agreement has been reached with extensionists from  Ministry of Production and the Agricultural And first instalment paid for preparing material.
</t>
  </si>
  <si>
    <t>a</t>
  </si>
  <si>
    <t xml:space="preserve">WCDS:
•	Target communities and beneficiaries have been identified 
•	One CMC has been established 
•	The market assessment has been completed, two suppliers have been identified to provide fishes  inputs for the fishermen. 
</t>
  </si>
  <si>
    <r>
      <rPr>
        <sz val="11"/>
        <color rgb="FF000000"/>
        <rFont val="Aptos Narrow"/>
        <family val="2"/>
        <scheme val="minor"/>
      </rPr>
      <t xml:space="preserve">NEF Project
•	List for beneficiaries received from targeted communities, Girba and Dar Al-Neem are still pending. </t>
    </r>
    <r>
      <rPr>
        <b/>
        <sz val="11"/>
        <color rgb="FFFF0000"/>
        <rFont val="Aptos Narrow"/>
        <family val="2"/>
        <scheme val="minor"/>
      </rPr>
      <t xml:space="preserve">names were entered into the Kobo database.
</t>
    </r>
    <r>
      <rPr>
        <sz val="11"/>
        <color rgb="FF000000"/>
        <rFont val="Aptos Narrow"/>
        <family val="2"/>
        <scheme val="minor"/>
      </rPr>
      <t xml:space="preserve">•	Procurement at advance level and the supplier Selected for vegetable seeds , fertilizers and tools.
•	Fisheries Component: Proposal was received from the Fishery Department.
</t>
    </r>
  </si>
  <si>
    <t xml:space="preserve">CDF Organization
•	Two Farmer Field Schools were identified in Village 10 and Amarat Al-Khawaldeh Village with 25 beneficiaries includes, with women actively participating.
•	Seed identified Coriander, Okra, Cucumber, Sunflower, Watermelon, Cantaloupe.
</t>
  </si>
  <si>
    <t>1st Dec to 11 Dec</t>
  </si>
  <si>
    <t xml:space="preserve">During the period the project team conducted 3 coordination meetings with locality.               •  In coordination with veterinary services unit  the project team prepositioned necessary vaccines ( sheep box, PPR and HS). In addition to deworming drugs.                               •15 vulnerable refugees women received local breed female sheep at production age – 2 sheep  for each women HH.                                2 CMC has been formed with total of 32 member (19, F, 13 M) the groups will be trained next week.                       Project proposal format for the small grants competition  developed and shared with all the target communities and entrepreneurs groups, 3 proposals has received, the process is ongoing to receive and select the good projects for micro finance support. </t>
  </si>
  <si>
    <t>During the reporting period, the project team successfully completed the distribution of four types of vegetable seeds to 2,000 beneficiaries across six villages. This total includes 200 internally displaced persons (IDPs) who currently lack access to agricultural land.                                        Farmer Field School (FFS) conducted  to the farmers ( 2000) This session was linked to the seed distribution and aimed at guiding beneficiaries on the necessary steps for starting vegetable production. Key messages included:
• Procedures for establishing nurseries and starting the two seed types prior to transplantation.
• Proper techniques for direct planting of leafy vegetables in the field.                          Two plot sites for seed multiplication of the two vegetable seed varieties. Land preparation has already started at the first site in Al Hawata</t>
  </si>
  <si>
    <t xml:space="preserve">Compleate the base line survey , the report hase been shared  with UNDP. Tow CMCs have been established </t>
  </si>
  <si>
    <r>
      <t>·</t>
    </r>
    <r>
      <rPr>
        <sz val="10"/>
        <color theme="1"/>
        <rFont val="Aptos"/>
        <family val="2"/>
      </rPr>
      <t>         Agricultural extension training for selected farmers took place from 1–7 December.                                                                A total of 120 farmers participated from the eight targeted communities, of whom 60% were women (96 women and 64 men).All suppliers signed contracts, and deliveries to Khashm El Girba store began on 11 December. NEF coordinated with the Ministry of Agriculture and the Ministry of Social Welfare to secure safe storage for all agricultural inputs. CFW youth will support weighing and packaging activities. Distribution will begin on 14 December</t>
    </r>
  </si>
  <si>
    <t xml:space="preserve">CDF conducted two days home gardening training workshop first day is theoretical, and the second is practical, distributed seeds and fertilizer and tools to 250 beneficiaries.                                           Distributed agricultural seeds and tools  fto  500 (304 M, 196 F) farmers  (250 ALKHWALDA and 250 -10 SKAN VELAGE communities. </t>
  </si>
  <si>
    <t>30th Nov to 4th Dec</t>
  </si>
  <si>
    <t xml:space="preserve">Altwaki – Elmafaza Locality
•	Four Farmers’ Schools have started, and training is ongoing.
•	50 vulnerable women have been selected for livestock activities; goat distribution has begun for these families.
•	Small grant/microfinance application formats have been distributed to target communities/groups to compete for the small grants fund.
•	Two agricultural associations have been established.
</t>
  </si>
  <si>
    <t xml:space="preserve">IRW – Elrahad
•	Farmers’ School has started.
•	Seed multiplication farm has been initiated.
</t>
  </si>
  <si>
    <t xml:space="preserve">Rara
•	Community mobilization conducted in two communities.
•	Two CMCs established.
•	Planning for cash-for-work activities has started.
</t>
  </si>
  <si>
    <t xml:space="preserve">Tokar locality SRC
•	CMCs training has been completed targeted 25 Members (17M/18F)
•	Distribution of 150 milky goats have been completed targeted 50 HH. 
</t>
  </si>
  <si>
    <t xml:space="preserve">Sinkat locality DPI: 
•	50 milky goats have been distributed targeted 25 HH
•	150 small solar kits have been distributed targeted 150 HH  
</t>
  </si>
  <si>
    <t xml:space="preserve">Port Sudan locality WCDS: 
•	Purchas of 9 ice cool and 18 fishing network, will be distributed early next week  
•	2 fishermen Association has been established in Tawaratit consist of 45 persons 
</t>
  </si>
  <si>
    <t>2. NEF Organization
Progress:
•	Agricultural extension training ongoing (1–5 December)
•	Fisheries coordination completed; tender to be launched Sunday
•	Community engagement initiated for CFW (youth participation)
•	Coordination ongoing with Livestock Department for restocking plan
•	Procurement for seeds, tools, fertilizer finalized
•	4 training sessions completed for 80 farmers on: Winter crops, Planting techniques, Irrigation &amp; pest control
•	Fisheries procurement to begin next week
•	Livestock technical details finalized + vulnerability criteria applied
UNDP Community mobilizer conducted joint field mission with Practical Action to the Girba Locality</t>
  </si>
  <si>
    <t xml:space="preserve">1. CDF Organization
Progress:
Distribution of Seeds, Fertilizers, and Equipment in Amara Al-Khawalda Village: 
•	The activity was changed to home gardens, and the seeds were specified. The beneficiaries were divided into agricultural groups for the home garden activities.
•	Beneficiaries for livestock restocking and vaccination (Activity 1.7) were identified.
A land survey was conducted in Village 10 Iskan in New Halfa:
•	and identified a suitable land for the beneficiaries.
•	Beneficiaries for Livestock support were selected.
Inputs prepared (In Progress – Amara Al-Khawaldeh):
•	Seeds: purslane, rocket, cucumis, okra, eggplant, carrots (15 lbs each)
•	Tools: preparation going on
UNDP Community mobilizer conducted joint field mission with CDF to the New-halfa Locality.
Planned for Next Week:
•	Start home garden implementation in Amara Al-Khawalda by 8 December.
</t>
  </si>
  <si>
    <t>12 Dec --28</t>
  </si>
  <si>
    <t>TDO start the small grants- microfinance activity, the  application forms disterbuted to all the target communities, Orintation meeting conducted to key community members and TOT training on how to fill the forms conducted , 3 proposals for 3 groups submitted with total of ( 18 members ) in Eltnadba refugee camp .                                                 Tow CMCs have been fourmed  ( 32 members ( 19 women , 13 men )</t>
  </si>
  <si>
    <t xml:space="preserve">Tow plots of land identified and prepared for the  seed multiplication two  two types of seeds: onion and cucumber are sellected, the  facilitater start the preparation on the graound </t>
  </si>
  <si>
    <r>
      <rPr>
        <sz val="11"/>
        <color rgb="FF000000"/>
        <rFont val="Aptos"/>
        <family val="2"/>
      </rPr>
      <t>• T</t>
    </r>
    <r>
      <rPr>
        <b/>
        <sz val="11"/>
        <color rgb="FF000000"/>
        <rFont val="Aptos"/>
        <family val="2"/>
      </rPr>
      <t xml:space="preserve">raining modules  for CMCs, developed </t>
    </r>
    <r>
      <rPr>
        <sz val="11"/>
        <color rgb="FF000000"/>
        <rFont val="Aptos"/>
        <family val="2"/>
      </rPr>
      <t xml:space="preserve"> Tow  CMCs (Oum Blail &amp; Hilat Gadeed) established with total number of 70 participants ( 53% women and 25% youth , the CMCs recived training on CMCs management, community mobilization and finncial mangement ,the CMCs will support the project implementation and monitoring, they are fully engage in all the activities </t>
    </r>
  </si>
  <si>
    <t xml:space="preserve"> - Seed desterbtion to 325 farmers from 26 Arab (191 men and 134 women), Agricutural items distributed were, small bag of hybrid tomato, Okra hybrid, Jute Mallow and Purslane, as well as hoe and weeder for ideal batch one farmers, other batch two farmers receive only hoe, puslane, jute mallow.                                      _-11 committees  of fisheries  formed each  committee consists of 25 fisher men. Fishery processing training for 25 women is scheduled for next week  . The other 275 fishermen will be targeted with items delivery for the other weeks to come.                                                                                .orientation on CFW modalities, targeting 200 youth (40% women). Communities have initiated mapping of activities related to harvesting, planting, and public service engagement and different clean up campaigns</t>
  </si>
  <si>
    <t>One hundred (100) feddans of agricultural land were leased for the benefit of 250 farmers, meaning that each feddan serves 25 farmers. This land was allocated to farmers who had previously received seeds and fertilizers in Village 10 Housing</t>
  </si>
  <si>
    <t>7th Dec to 11th Dec</t>
  </si>
  <si>
    <t xml:space="preserve">Altawak – Elmafaza Locality
•	Vaccines and deworming drugs prepositioned with veterinary services.
•	15 refugee women received two female sheep each.
•	Two CMCs formed (32 members).
•	Three small-grant proposals received; review ongoing.
</t>
  </si>
  <si>
    <t xml:space="preserve">IRW – El Rahad Locality
•	Seed distribution to 2,000 beneficiaries, including 200 IDPs.
•	FFS sessions conducted on nursery establishment and field planting.
•	Two seed multiplication plots established; land preparation in progress at Al Hawata.
</t>
  </si>
  <si>
    <t xml:space="preserve">Rara – Galaelnahal Locality
•	Updates will be shared once received.
</t>
  </si>
  <si>
    <t xml:space="preserve">C-SRC {Sudanese Red Crescent Sosiety}
1- A Meeting with CMC completed for the selection of 1000 farmers and each farmer should get 10 Kg Tokarawi Millet seeds and one shovel and one Axe
2- Formation of 4 agricultural groups {this evening one group will get agricultural extension. this will be facilitated by agriculturist from Takar locality
</t>
  </si>
  <si>
    <t>CM-Update:
1. Training to CMC on negation skills, SGBV, Gender equality, and leadership skills targeted 25 participants out of them 3 males 
2. Training conducted to 25 farmers on agricultural extensions, nine males and 16 females ( DPs
3. 10 Goats distributed to 5 female households. DPs in Sinkat
4. Seeds and solar kits distributed to 140 households respectively in Aisaf community..
5. Winter seeds distributed to 82 households out of them 12 females.</t>
  </si>
  <si>
    <t>NO UPDATE</t>
  </si>
  <si>
    <r>
      <rPr>
        <sz val="11"/>
        <color rgb="FF000000"/>
        <rFont val="Calibri"/>
        <family val="2"/>
      </rPr>
      <t xml:space="preserve">NEF Organization
•	Completed data entry and verification for 2,200 beneficiaries (Batch 1 &amp; 2) using Kobo, validated with community leaders.
•	Suppliers for seeds, tools, and fertilizers contracted; deliveries to Khashm El Girba started on 11 December.
•	Conducted agricultural extension training for 120 farmers (60% women) across eight communities.
•	Launched fisheries and livestock procurement processes.
•	Continued community consultations for Cash-for-Work (CFW) activities and began beneficiary identification.
•	Seeds, Tools &amp; Fertilizer Distribution: Distribution scheduled for 14–18 December across eight communities, covering 2,200 farmers, with CFW youth supporting weighing and packaging.
•	Fisheries: 
o	</t>
    </r>
    <r>
      <rPr>
        <b/>
        <sz val="11"/>
        <color rgb="FFFF0000"/>
        <rFont val="Calibri"/>
        <family val="2"/>
      </rPr>
      <t xml:space="preserve">Due to limited budget and high market prices, support was  adjusted.
</t>
    </r>
    <r>
      <rPr>
        <sz val="11"/>
        <color rgb="FF000000"/>
        <rFont val="Calibri"/>
        <family val="2"/>
      </rPr>
      <t xml:space="preserve">o	One fish processing training for 25 women scheduled; procurement for 275 fishermen initiated.
•	Livestock:
o	Procurement initiated for goats targeting 90 vulnerable households, based on agreed vulnerability criteria.
o	Coordination ensured no overlap with seed beneficiaries or other actors.
•	Cash-for-Work (CFW)
o	Community orientation completed for 200 youth (40% women).
o	Initial CFW activities started on 11 December in Girba, with a cap of 15 working days per youth.
Challenges
•	Delays in finalizing vegetable seed contracts.
•	Limited fisheries budget amid high market prices.
</t>
    </r>
  </si>
  <si>
    <t xml:space="preserve">CDF Org:
No update report provided by the partner.
</t>
  </si>
  <si>
    <t xml:space="preserve">Activating the CMCs in villages and engaging them in project activities </t>
  </si>
  <si>
    <t xml:space="preserve">• Conducted pre-dialogue consultations with Mayors (Nazirs/Omdas) and community leaders to map conflect drivers , identify key challenges to be adress with community mobilization and forums </t>
  </si>
  <si>
    <t>25 families from village 10, Halfa locality, received 3 improved goats. Approximately 125 children benefited directly from the milk, and approximately 90 members of the household benefited from the yogurt and fattening</t>
  </si>
  <si>
    <t>14th Dec to 18th Dec</t>
  </si>
  <si>
    <t xml:space="preserve">2-SRC {Sudanese red crescent society) – SDC: 
a-Completed teaching of 500 field farmers through 14 sessions for farmers field schools.
b-Identification of two feddans  for seed multiplication finished in cooperation and collaboration  with agricultural extension department and research station in Tokar.
c- in the activity of formation of 4 groups of farmers, two of them are already established and will get support from SRC. the third one  will be restablished, the fourth one is not formed yet but soon.
d- 10 sites of the solar light poles fixation  at Tokar  under SDC  today shown to the company to begin fixing of the poles.
</t>
  </si>
  <si>
    <t xml:space="preserve">WCDO – SDC:
•	Establishment of 2 remaining    2 fishermen Association.
•	Extension training session  will be conducted for  the  for  125 household in twaratit  area   in collaboration with Red Sea University (  sea  sciences   cologne)  as local partners .
•	Establishment of CMCs on Water Resource Management Conduct communication and advocacy , negotiation and mediation  skills , Gender equality and leadership  training workshop for CMC.
</t>
  </si>
  <si>
    <t xml:space="preserve">1. NEF Org;
•	On 17 December, NEF started distributing seeds, tools, and fertilizers to 325 farmers (191 men, 134 women) in 26 Arab community, with participation from UNDP, Ministry of Agriculture, Social Welfare, and HAC representatives.
•	Distributed items included hybrid vegetable seeds (tomato, okra, jute mallow, purslane) and farming tools, with persons with disabilities included among beneficiaries.
•	Distribution will continue in the remaining seven communities next week.
Fisheries
•	Final procurement stage completed; fish processing training for 25 women is scheduled for next week.
•	The remaining 275 fishermen will receive inputs in subsequent phases.
Challenges
•	Delays in vegetable seed delivery caused by late contract finalization with some suppliers.
Plan for Next Week
•	Continue agricultural input distribution in remaining communities.
•	Initiate fisheries training, advance CFW activities, and finalize fisheries and livestock procurement.
</t>
  </si>
  <si>
    <t xml:space="preserve">2. CDF
•	No update received from the implementing partner.
</t>
  </si>
  <si>
    <r>
      <rPr>
        <b/>
        <sz val="11"/>
        <color rgb="FF000000"/>
        <rFont val="Aptos Narrow"/>
        <family val="2"/>
        <scheme val="minor"/>
      </rPr>
      <t xml:space="preserve">•	SDC Project - Kassala
</t>
    </r>
    <r>
      <rPr>
        <sz val="11"/>
        <color rgb="FF000000"/>
        <rFont val="Aptos Narrow"/>
        <family val="2"/>
        <scheme val="minor"/>
      </rPr>
      <t xml:space="preserve">o	For Solar pumps - PO 10439946 -Supplier :Hagana for development , the work is going on 3 sites in Kassala locality (Bustan, north swagi and Al sabeel associations) and the executed work about 50%.
o	For the other three sites (2 in Kassala and one in Girba) not handed over to the contractor.
</t>
    </r>
  </si>
  <si>
    <t>21st Dec to 25th Dec</t>
  </si>
  <si>
    <t xml:space="preserve">Altawaki, Elrahad:
•	Distribution of livestock to 10 IPDs (6 females and 4 males) in Hanan Village, 31 heads of goats and sheep. 
•	Support IPDs to access land ( plot of land have been rented prepared to be planted by IPDs in Hanan Village). 
•	Conduct farmer field school to   47 farmers (21 females and 26 males),  in the village of Abu Daqan is on the west of Al-Rahad river – Mafaza locality
•	Conduct training to CMCs on CMCs management , target beneficiaries were 10 females and 14 males the total 24 participants.
</t>
  </si>
  <si>
    <t xml:space="preserve">IRW- Elrahad :
•	Conduct farmer field school . 
</t>
  </si>
  <si>
    <t xml:space="preserve">Rara – Galaelnahel :
•	Tow CMCs formed with total of 20 members each , include sup groups  
•	 Conducted pre-dialogue consultations with Mayors (Nazirs/Omdas) and community leaders to map conflict drivers.
•	Identified key challenges to be addressed in the broader forums once facilitators are trained.
</t>
  </si>
  <si>
    <t xml:space="preserve">DPI Org – SDC:
•	Certified seeds has been distributed to 50 IDPs of Sinkat ( 11 females HH  and 39 males HH).
</t>
  </si>
  <si>
    <t xml:space="preserve">NEF
•	No updates were received from the implementing partner during this reporting period.
</t>
  </si>
  <si>
    <t xml:space="preserve">CDF
•	Two Farmer Field Schools (FFSs) were identified in Village 10 Housing and Amarat Al-Khawaldeh, each targeting 25 beneficiaries, with women included in both schools.
•	Key needs for the FFSs were identified, including office supplies, crops, and field areas.
•	Agricultural seed types were finalized as follows:
o	Village 10: Coriander, Okra, Cucumber
o	Amarat Al-Khawaldeh: Sunflower, Watermelon, Cantaloupe
</t>
  </si>
  <si>
    <r>
      <rPr>
        <b/>
        <sz val="11"/>
        <color rgb="FF000000"/>
        <rFont val="Aptos Narrow"/>
        <family val="2"/>
        <scheme val="minor"/>
      </rPr>
      <t xml:space="preserve">•	SDC Project – Solar Pumps - Kassala
</t>
    </r>
    <r>
      <rPr>
        <sz val="11"/>
        <color rgb="FF000000"/>
        <rFont val="Aptos Narrow"/>
        <family val="2"/>
        <scheme val="minor"/>
      </rPr>
      <t xml:space="preserve">o	For PO 10439946 (Supplier: Hagana for Development), work is ongoing at three sites in Kassala locality (Bustan, North Swagi, and Al Sabeel associations), with approximately 50% progress achieved.
o	The remaining three sites (two in Kassala and one in Girba) have not yet been handed over to the contractor.
</t>
    </r>
  </si>
  <si>
    <t>28th Dec to 31st Dec</t>
  </si>
  <si>
    <t xml:space="preserve">Atawaki – El Mafaza Locality
•	A two-day training was conducted for 24 CMC members (10 women, 14 men), covering CMC management, GBV, accountability, and community mobilization.
•	Follow-up visits were conducted to refugee home gardening activities in Eltenadba, with technical support provided.
•	Five feddans of land were rented to support 20 IDP farmers.
•	Three small business projects were handed over to three refugee groups in Eltinadba (18 members: 9 women and 9 men).
•	Livestock was distributed to 15 IDP families in El Mafaza.
•	Farmer Field School sessions were conducted in:
o	El Mafaza (26 participants)
o	Alkhashkhash (20 participants)
o	Aburakham (25 participants)
o	Eltenadba (16 participants)
</t>
  </si>
  <si>
    <t xml:space="preserve">IRW – El Rahad Locality
•	Livestock distribution was carried out for 25 communities.
</t>
  </si>
  <si>
    <t xml:space="preserve">Raira – Gala El Nahal Locality
•	Community sensitization meetings were conducted with sheikhs, omdas, women leaders, youth representatives, IDPs, and other stakeholders.
•	Sub-committees (2–3 per CMC) were formed, including:
o	Verification and Targeting
o	Peace and Social Cohion
o	Complaints and Community Liaison
</t>
  </si>
  <si>
    <t xml:space="preserve">SRCS (SDC):
•	SRC have completed water resources management for the CMC, the training have been located in Port Suda. 
</t>
  </si>
  <si>
    <t xml:space="preserve">2. NEF Organization
•	No update received during the reporting period.
</t>
  </si>
  <si>
    <t xml:space="preserve">CDF Organization
•	No update received during the reporting period
</t>
  </si>
  <si>
    <r>
      <rPr>
        <b/>
        <sz val="11"/>
        <color rgb="FF000000"/>
        <rFont val="Aptos Narrow"/>
        <family val="2"/>
        <scheme val="minor"/>
      </rPr>
      <t xml:space="preserve">SDC Fund – Solar Irrigation - Kassala
</t>
    </r>
    <r>
      <rPr>
        <sz val="11"/>
        <color rgb="FF000000"/>
        <rFont val="Aptos Narrow"/>
        <family val="2"/>
        <scheme val="minor"/>
      </rPr>
      <t xml:space="preserve">•	Solar Pumps:
o	Three Kassala sites handed over to the contractor; installation to commence.
</t>
    </r>
  </si>
  <si>
    <t>4th Jan to 8th Jan</t>
  </si>
  <si>
    <t xml:space="preserve">2. NEF Org: 
A) Winter Vegetable Seed Distribution 
•	Completed: All 2,200 vulnerable households received seeds for the winter season. 
•	Beneficiary profile: 60% former IDP hosts, &lt;5% current IDPs, 3% refugees. 
B) Fishery Training 
•	Procurement completed for all equipment and materials required for the upcoming training, which is now underway. 
C) Livestock Distribution 
•	88% completed: 140 goats distributed to 88 vulnerable households. 
•	All animals were vaccinated, and beneficiaries received pre-distribution training from the Veterinary Department. 
•	Distribution to the final community (Griba) will be completed shortly. 
D) Cash for Work (CFW) 
•	Target: 200 youth (40% women). 
•	70% progress: 140 youth engaged across 1 Arab, 26 Arab, Andala, Shegrab West, and El Munbaa in harvesting, planting, public services, and hygiene/cleaning campaigns. 
•	Next phase will prioritize IDP youth hosted at El Sanyia School in Griba, in coordination with HAC. 
E) Micro-Grants and Business Support 
•	Training delivered in four communities: Shegrab West, El Munbaa, 26 Arab, and 1 Arab. 
•	Feasibility studies were submitted by the consultant for further review and next-stage support. 
</t>
  </si>
  <si>
    <t xml:space="preserve">1. CDF Organization 
Strengthened Community-Based Institutions 
•	Establish CMCs: 
o	Completed: 2 CMCs established in Al-Khawalda and Village 10, inclusive of women, youth, IDPs, and host communities. 
•	CMC Training: 
o	Completed: One-day trainings conducted in both communities. 
o	Participants: 30 in Al-Khawalda, 25 in Village 10 (Total: 55). 
•	Peace Dialogue Forums: Completed: 
o	Al-Khawalda: 330 participants (80 F, 250 M) 
o	Village 10: 210 participants (60 F, 150 M) 
•	Peace Events: Completed: 
o	Al-Khawalda: 400 participants (160 F, 240 M) 
o	Village 10: 260 participants (80 F, 180 M) 
o	Events highlighted peacebuilding, social cohesion, and conflict resolution, including participation of IDPs. 
Renewable Energy and Water Resource Management 
•	Water CMCs: 
o	Established 2 Water CMCs (Al-Khawalda and Village 10, Halfa locality). 
o	Total members: 50 (5 F, 45 M). 
•	Training: 
o	Conducted two one-day workshops on water resource management, covering cost recovery and sustainability mechanisms. 
Livelihood and Resilience Activities: 
•	Farmer Field Schools: 
o	Completed: 25 beneficiaries selected in Village 10 Iskan. 
•	Livestock Restocking and Vaccination: 
o	Completed: 25 vulnerable households received goats (2 females, 1 male each); additional 15 vulnerable families’ livestock were vaccinated. 
•	Micro-Grants for Women:  In Progress: 
o	Applications received from 456 women; 50 women per community selected (30 IDPs, 20 host community). 
o	Training areas identified based on market demand: Al-Khawalda: Ghee production, handicrafts (saaf), soap making. And Village 10: Handicrafts (accessories), dairy processing (cheese, yogurt), soap making. 
•	Activity 1.9 – Cash for Work (Youth): 
o	Ongoing: Contracts signed with New Halfa locality (Health Promotion). 138 youth participated in environmental sanitation activities. 
</t>
  </si>
  <si>
    <t>Supplier of solar street lights has installed 19  solar lights under SDC (14 in Sinkat and 5 in Gabait), that of Gabait ought to be 6 but as one  solar bar broken,  the supplier promised to install it later after, he bring it from Port Sudan. </t>
  </si>
  <si>
    <t>11th Jan to 15th Jan</t>
  </si>
  <si>
    <t xml:space="preserve">NEF Organization:  
•	Completed winter season seed, tool, and fertilizer distribution for 2,200 vulnerable beneficiaries. PDM launched using both physical verification and mobile-based cross-checking, covering approximately 80% of beneficiaries.
•	In livestock restoking finalized the distribution of 200 vaccinated local goats to 100 vulnerable households across the targeted communities. plus, training from the Vet Department on animal husbandry, disease prevention, and milk value addition. 
•	Cash for Work activities continued during the week, engaging 160 youth to date, including IDP youth from Girba. 
•	Continued micro-grant training, reaching beneficiaries in four communities, with feasibility studies completed and shared by the consultant. 
•	Additionally, fishery training for 25 women on fish processing, storage, and value addition continued, with graduation scheduled for 15 January 2026.
</t>
  </si>
  <si>
    <t>CDF Organization: No update received during this reporting period.</t>
  </si>
  <si>
    <t xml:space="preserve">SDC Project: - Gedaref
•	The handover of seven solar irrigation sites to the contractors is currently ongoing.
•	The tractor is being handed over to the associations in Al-Hawata
•	More details will be shared shortly.
SDC Fund Items
Contract Ref: 10491568 – Installation of 10 solarized irrigation pumps
(7 Gedaref, 3 Kassala) – Contractor: Hewa for Water Drilling
•	Kassala: Three sites have been handed over to the contractor.
</t>
  </si>
  <si>
    <t>18th Jan to 22nd Jan</t>
  </si>
  <si>
    <t xml:space="preserve">2. DPI Update – Sinkat Locality
•	DPI teams conducted field monitoring visits to assess the performance of winter seed cultivation.
•	The team observed a clear positive impact, with improved crop growth and visible progress resulting from earlier interventions.
</t>
  </si>
  <si>
    <t xml:space="preserve">Port Sudan (WCDS)
1. Fishermen Associations
•	The two remaining fishermen associations have been fully established, completing the planned formation of targeted fisher groups in the intervention area.
2. Community Management Committee (CMC) – Water Resources
•	A Water Resources CMC has been established, comprising 23 members representing community stakeholders.
•	The CMC will help oversee water related planning, usage, and sustainability activities.
3. Solar Lighting
•	Ten locations for solar streetlight installation have been identified: 
o	5 locations in IDP communities
o	5 locations in host communities
•	This selection ensures balanced support and improved safety for both population groups.
</t>
  </si>
  <si>
    <t xml:space="preserve">NEF Activities
•	Continued PDM activities and mobilization of sub-CMCs, aligned with UNDP visits (19–21 Jan).
•	Ongoing CFW clean-up campaigns at the IDP gathering point in Girba, improving hygiene conditions.
•	Advanced follow-up on micro-grant training and feasibility studies, pending discussions with UNDP on budget top-ups.
•	Completed 6-day fishery training, graduating 25 women (15 Jan 2026).
•	Conducted joint UNDP–NEF field visits to Umgamies (19 Jan) and El Munabaa (21 Jan), with positive outcomes on operational and financial alignment.
</t>
  </si>
  <si>
    <t xml:space="preserve">CDF Org:
•	Conducted the second Farmer Field School session for 25 women and men in Iskan Village.
•	Held community committee meetings in Iskan (25 youth, including women) and Amara Al-Khawalda (30 members).
•	Cash-for-Work (CFW) achievements: So far, cleared 50 feddans of agricultural land in Iskan with 50 displaced youth. And cleaned the main irrigation canal in Amara Al-Khawalda with 41 young men.
•	Income-generating training delivered to: 50 women in Iskan and 50 women in Amara Al-Khawalda (Handicrafts, food processing, soap making)
•	Participated in a UNDP-led coordination meeting at the Ministry of Finance and Economic Planning (18 Jan 2026).
•	Supported a UNDP field visit to New Halfa (20 Jan 2026), including meetings with Health and Agricultural Extension Departments, community consultations, inauguration of the first marketing bazaar, and beneficiary visits.
Planned Activities (Next Week)
•	Follow-up visits: Amara Al-Khawalda &amp; Iskan (25–29 Jan)
•	Third Farmer Field School session: Iskan (25 Jan)
</t>
  </si>
  <si>
    <t xml:space="preserve">Procurement Activities - Gedaref
Hewa – Water Drilling (Alshuwak)
•	Sites handed over for implementation: 
o	New irrigation pump – Altomat Wad Zayed.
o	New irrigation pump – Altomat Flata.
</t>
  </si>
  <si>
    <t>25th Jan to 29th Jan</t>
  </si>
  <si>
    <t xml:space="preserve">Toker locality (SRCS):
100 youth from host community (60 male and 40 female) had been selected to conduct the activity 1-7 which is cash for work.
</t>
  </si>
  <si>
    <t xml:space="preserve">NEF Org: (reporting period 28 January - 1 February 2026)
•	Community meetings were conducted in Al Girba Locality to strengthen the establishment of Community Management Committees (CMCs). Awareness sessions were delivered on the role and importance of CMCs.
•	Finalized CMC lists were collected and validated for six villages (Village 26 Arab, Dar Al-Naeem, Andala, Umm Qumays, Al-Manba’a, and Al-Shajrab West) in coordination with UNDP.
•	Challenges: CMC formation remains pending in Wahed Arab Village; meetings in Girba town were delayed due to scheduling constraints.
</t>
  </si>
  <si>
    <t xml:space="preserve">Procurement Activities - Gedaref
Contractor: Hewa (Water Drilling) – Alshuwak
•	Sites handed over for implementation:
o	New construction of irrigation pump in Altomat Wad Zayed.
o	New construction of irrigation pump in Altomat Flata.
. SDC Fund – Infrastructure Works - Kassala
Contract Ref: 10491568 – Installation of 10 Solarized Irrigation Pumps
(7 Gedaref, 3 Kassala)
Kassala: 40% completion of solarized irrigation pump installation.
</t>
  </si>
  <si>
    <t>1st Feb to 5th Feb</t>
  </si>
  <si>
    <t xml:space="preserve">RPA Activities – El Tawaki
•	4 Farmer schools were  established in Alkhushkhasha , Tynaidba , Abrakham and Almfaza in total 89 farmers . 
•	A Demonstration farm  in Hanan village is established , pipe line extension from the water source  has been  fixed  to ensure  stability of irrigation water .
•	Routine follow up for the project activities by the project team is ongoing.
</t>
  </si>
  <si>
    <t xml:space="preserve">Toker locality : SRC :
•	a process of digging of Ten previously identified 10 sites is completed for installing solar poles for street lighting.
</t>
  </si>
  <si>
    <r>
      <rPr>
        <sz val="11"/>
        <color rgb="FF000000"/>
        <rFont val="Aptos Narrow"/>
        <scheme val="minor"/>
      </rPr>
      <t xml:space="preserve">Port Sudan – WCDS: 
•	Ten previously selected  locations for solar energy light had been lighted.. their details :( 2  ALaman district , 2 Dar El Salam district, 2 Om Elgora district , 2 </t>
    </r>
    <r>
      <rPr>
        <sz val="11"/>
        <color rgb="FFFF0000"/>
        <rFont val="Aptos Narrow"/>
        <scheme val="minor"/>
      </rPr>
      <t>Salaboona district and one El Thawra district of Port Sudan</t>
    </r>
    <r>
      <rPr>
        <sz val="11"/>
        <color rgb="FF000000"/>
        <rFont val="Aptos Narrow"/>
        <scheme val="minor"/>
      </rPr>
      <t xml:space="preserve">).
</t>
    </r>
  </si>
  <si>
    <t xml:space="preserve">CDF Org: 
•	Follow-up with 50 women beneficiaries engaged in income-generating activities (food processing, soap making, and handicrafts) in Village 10 Iskan and Amara Al-Khawaldeh. 
•	Follow-up provided to 25 livestock beneficiary households in Village 10 Iskan, including administration of the second preventative vaccination dose in coordination with the local animal production department.
•	Home gardens and seasonal crops were monitored in Village 10 Iskan and Amara Al-Khawaldeh.
•	Assessments conducted to select new beneficiaries for livestock, income-generating activities, and summer-season farming.
•	Coordination meeting held with the Halfa Al-Jadeeda Agricultural Extension Department to review remaining 1:1 targets and identify an additional village to complete project activities.
</t>
  </si>
  <si>
    <t xml:space="preserve">Procurement Activities - Gedaref
Contractor: Hewa (Water Drilling) – Alshuwak
•	The construction reach 5%:
	New construction of irrigation pump in Altomat Wad Zayed.
	New construction of irrigation pump in Altomat Flata.
Contractor: Hewa (Water Drilling) – Al Rahad
•	The construction reach 5%:
	New construction of 3 irrigation pump in Alrahad (Hillat Salih, Dabanga and Kumur Alia Salamat).
	New construction of 2 irrigation pump in Almafaza (Wad Gateet and Alwihaido).
</t>
  </si>
  <si>
    <t>8th Feb to 12th Feb</t>
  </si>
  <si>
    <r>
      <rPr>
        <sz val="11"/>
        <color rgb="FF000000"/>
        <rFont val="Aptos Narrow"/>
        <scheme val="minor"/>
      </rPr>
      <t xml:space="preserve">Toker locality : SRC :
•	Installation of Ten street light has been completed.
</t>
    </r>
    <r>
      <rPr>
        <sz val="11"/>
        <color rgb="FFFF0000"/>
        <rFont val="Aptos Narrow"/>
        <scheme val="minor"/>
      </rPr>
      <t xml:space="preserve">Participatory Vegetable Farm – Sinkat Locality
•	A joint vegetable farm established with IDPs and host community.
•	20 beneficiaries (men and women) participating.
•	All beneficiaries trained in various vegetable cultivation techniques.
•	Each participant allocated 4 planting basins for different vegetable seeds.
•	150 m² of land rented for the plantation.
•	A full perimeter fence constructed using wood and thorns to protect crops.
</t>
    </r>
  </si>
  <si>
    <t xml:space="preserve">Sinkat Locality: DPI 
•	UNDP and IP conducted visits to beneficiaries who received goats.
•	Purpose: to verify goats are properly kept and households are benefiting from milk and related products.
</t>
  </si>
  <si>
    <r>
      <rPr>
        <sz val="11"/>
        <color rgb="FF000000"/>
        <rFont val="Aptos Narrow"/>
        <scheme val="minor"/>
      </rPr>
      <t xml:space="preserve">NEF (Al Griba Locality)
•	121 small business projects verified across five villages.
•	Community Management Committee (CMC) established in 1 Arab (12 members); Al Griba CMC revitalization ongoing.
•	</t>
    </r>
    <r>
      <rPr>
        <sz val="11"/>
        <color rgb="FFFF0000"/>
        <rFont val="Aptos Narrow"/>
        <scheme val="minor"/>
      </rPr>
      <t>Beneficiary lists finalized for small business grants and Cash-for-Work (CFW); activities begin 12 February (10-day cycle)</t>
    </r>
    <r>
      <rPr>
        <sz val="11"/>
        <color rgb="FF000000"/>
        <rFont val="Aptos Narrow"/>
        <scheme val="minor"/>
      </rPr>
      <t xml:space="preserve">.
•	Coordination meetings held to strengthen governance and transparency
</t>
    </r>
  </si>
  <si>
    <t xml:space="preserve">CDF Org: (New Halfa Locality)
•	Follow-up conducted with:
	50 women engaged in income-generating activities (food processing, soap making, handicrafts).
	25 livestock beneficiary families.
	Home gardening and crop activities (harvesting underway).
•	Mobilization conducted; Village 6 selected to complete remaining targets, 500 beneficiaries selected for home gardening and 500 for summer crops.
•	Next week: Follow-up visits and home gardening training in Village 6.
</t>
  </si>
  <si>
    <t xml:space="preserve">SDC Fund
•	70% completion of solar irrigation pumps installation in Kassala.
</t>
  </si>
  <si>
    <t>15th Feb to 19th Feb</t>
  </si>
  <si>
    <t xml:space="preserve">TDO
•	Completed the construction of two fish drying racks.
•	Conducted negotiations with fish processing and training experts to support upcoming capacity-building activities.
•	Followed up on Farmer Field Schools (FFS) and carried out field visits to selected farmers to monitor implementation progress.
•	Completed the registration of youth participating in agricultural activities under the second batch of the youth employment initiative.
•	Developed and shared the Tranche 2 work plan with the UNDP Livelihoods Officer.
</t>
  </si>
  <si>
    <t xml:space="preserve">IRW
•	Completed the formulation process for 12 Agricultural Associations involving IDPs, refugees, and host community members, with legal certification scheduled for March.
•	Continued delivery of agricultural extension services through Farmer Field Schools (FFS) in target villages in collaboration with the Ministry of Production and Agricultural Research Stations.
•	Successfully established two seed multiplication plots with lead farmers in partnership with Agricultural Research Stations, with ongoing monitoring led by farmers in coordination with ARC Gedaref.
•	Finalized all preparatory arrangements for Cash-for-Work activities targeting youth as part of emergency employment support initiatives.
•	Initiated coordination with local authorities to obtain official lists for establishing Community Management Committees (CMCs), ensuring representation of women and youth and preparation for forming sub-committees
</t>
  </si>
  <si>
    <t xml:space="preserve">Toker locality : SRC :
•	under the activity 1-5 which is cash for work :  100 youth (60 males and 40 females) participated in the work of Cleaning Basket trees from schools , cemeteries and Torit district . They stated this work on Sunday the 15th of this month and it will extend for one week (up to the next Sunday).
•	Ten street solar light poles has been hand overed from supplier to the engineer of UNDP.
</t>
  </si>
  <si>
    <t xml:space="preserve">Sinkat Locality: DPI 
No update
</t>
  </si>
  <si>
    <t xml:space="preserve">Port Sudan Locality: WCDS
No updates 
</t>
  </si>
  <si>
    <r>
      <rPr>
        <sz val="11"/>
        <color rgb="FF000000"/>
        <rFont val="Aptos Narrow"/>
        <scheme val="minor"/>
      </rPr>
      <t xml:space="preserve">NEF Org: 
•	Trained 35 small grant beneficiaries in business management.
•	</t>
    </r>
    <r>
      <rPr>
        <b/>
        <sz val="11"/>
        <color rgb="FF0F9ED5"/>
        <rFont val="Aptos Narrow"/>
        <scheme val="minor"/>
      </rPr>
      <t xml:space="preserve">Continued Cash for Work activities in Um Gamis and Dar Al-Naeem communities, supporting short-term employment for 35 participants.
</t>
    </r>
    <r>
      <rPr>
        <sz val="11"/>
        <color rgb="FF000000"/>
        <rFont val="Aptos Narrow"/>
        <scheme val="minor"/>
      </rPr>
      <t xml:space="preserve">•	Conducted Farmers Field School (FFS) awareness sessions for 440 beneficiaries in seven villages, finalizing beneficiary targets and schedules.
•	Coordinated with 7 Community Management Committees (CMCs) to prepare for peace dialogue forums and social cohesion events.
•	Advanced procurement processes for small business grants.
•	Next Week Plan;
•	Continue Cash for Work and finalize FFS implementation.
•	Advance procurement for small business support.
•	Initiate CMC training and peace-building-related community activities.
</t>
    </r>
  </si>
  <si>
    <t xml:space="preserve"> CDF Org: 
•	Follow-up provided to 50 women engaged in food processing, soap making, and handicrafts; vendor linkages strengthened in Village 10 Iskan and Amara Al-Khawaldeh.
•	25 livestock beneficiary households (goats) monitored and technical support provided
•	Home gardens monitored in two villages as well, with partial vegetable harvesting completed.
•	Procurement initiated for seeds and tools for new home garden beneficiaries.
Next Week plan: Deliver home gardening training and distribute agricultural inputs.
</t>
  </si>
  <si>
    <t xml:space="preserve">Hewa For Drilling The following New sites require handover to contractor’s to start implementation - Gedaref:
•	1.1 Hilat Salih Elrahad 10HP
•	1.2 Dabanga Elrahad 10HP
•	1.3 Wad Gateet El Mafaza 10HP
•	1.4 Al wahedo El Mafaza 10HP
•	1.7 Kumur Ali Salamat Elrahad 10HP
</t>
  </si>
  <si>
    <t>22nd Feb to 26th Feb</t>
  </si>
  <si>
    <t xml:space="preserve">•	SRC Tokar
-	The cash for work activities have been started in Tokar locality by cleaning camping and fighting mesquite trees activities. The locations were selected by CMCs
-	Identification of land has been completed (5 feddan) to Provide agricultural extension services to the targeted households. 
-	The beneficiaries of Micro grant have been selected, first group (20 women) will have a training on small enterprises management
</t>
  </si>
  <si>
    <t xml:space="preserve">•	DPI Sinkat 
-	Identification and Preparation of land have been completed to Provide agricultural extension services to the targeted beneficiaries through Farmer Field Schools
</t>
  </si>
  <si>
    <t xml:space="preserve">•	WCDS Port Sudan
-	Installing of 10 streetlights has been completed successfully. The CMCs have been engaged effectively in following up and monitoring. 
</t>
  </si>
  <si>
    <t xml:space="preserve">NEF
•	CMC mobilization completed across all targeted locations, including Al Girba.
•	Preparations for CMC training and small business activities will commence upon receipt of the second tranche.
</t>
  </si>
  <si>
    <t xml:space="preserve">CDF
•	Follow-up conducted with:
o	25 women beneficiaries in Village 10 Iskan (food processing, soap making, handicrafts) with vendor linkages established in New Halfa.
o	25 women beneficiaries in Amara Al-Khawaldeh; soap production completed and distributed to neighboring villages.
o	25 livestock beneficiary families (goat distribution).
•	Monitoring of home gardens and agricultural crops in Amara Al-Khawaldeh and Village 10 Iskan; partial vegetable harvesting completed.
•	Procurement of seeds and tools finalized for home garden beneficiaries in Village 6 Iskan.
Planned (1–5 March 2026):
•	Follow-up visits in Amara Al-Khawaldeh and Village 10 Iskan.
•	Home gardening training and distribution of seeds/tools in Village 6 Iskan.
</t>
  </si>
  <si>
    <t>1st Mar to 5th Mar</t>
  </si>
  <si>
    <t xml:space="preserve">TDO
•	Follow-up of farmer field schools and conducted check visits to some farmers to monitor progress so far. 
•	Support registration and legalization of one agricultural association.
•	Work plan for the tranche 2 has been produced and shared with UNDP Livelihoods Officer
</t>
  </si>
  <si>
    <t xml:space="preserve">IRW
•	The growth of distributed vegetable seeds at farmers’ fields was monitored during the reporting period.
•	Crop performance is progressing well, with healthy plant development observed.
•	Monitoring of the seed multiplication plots continued under the supervision of a specialist from the Agricultural Research Corporation (ARC).
•	Delays in fund transfers affected the timely provision of fuel for irrigation and some required inputs for the multiplication plots.
•	Despite these delays, lead farmers managed to continue activities with ongoing technical guidance from ARC.
</t>
  </si>
  <si>
    <t xml:space="preserve">II.	NEF Organization
•	Finalizing logistics and mobilization for 44 members of CMC (3 female and 41 male) for training, in Al Girba.
•	Preparing for seed multiplication activities, including coordination with lead farmers and the Girba seed team.
Next Steps
•	Start CMC training 
•	Complete Cash-for-Work payments for beneficiaries in Um Gamies and Dar Al Neem
•	Continue tendering for small business inputs.
</t>
  </si>
  <si>
    <t xml:space="preserve">I.	CDF Organization
	Follow-up with women beneficiaries engaged in income-generating activities in Village 10 Iskan and Amara Al-Khawaldeh, including vendor linkages and monitoring soap production and distribution. 
	Monitoring was also conducted for livestock beneficiaries and home gardens, with partial vegetable harvesting observed. 
	Home garden training for 500 beneficiaries in Village 6 Iskan was conducted with distribution of tools and seeds. 
	A market survey was carried out in Villages 6 and 10 Iskan, and a meeting with the CMC in Village 10 discussed preparations for the upcoming summer agricultural season and land allocation.Planned Activities (8–12 March 2026):
Follow-up monitoring in Amara Al-Khawaldeh, Village 10 Iskan, and Village 6 Iskan.
</t>
  </si>
  <si>
    <r>
      <rPr>
        <sz val="11"/>
        <color rgb="FF000000"/>
        <rFont val="Aptos Narrow"/>
        <scheme val="minor"/>
      </rPr>
      <t>Tokar:
•	Tractors: Three tractors with their accessories have been delivered to Tokar—</t>
    </r>
    <r>
      <rPr>
        <b/>
        <sz val="11"/>
        <color rgb="FFFF0000"/>
        <rFont val="Aptos Narrow"/>
        <scheme val="minor"/>
      </rPr>
      <t>two under the New Kuwait project and one under the SDC project</t>
    </r>
    <r>
      <rPr>
        <sz val="11"/>
        <color rgb="FF000000"/>
        <rFont val="Aptos Narrow"/>
        <scheme val="minor"/>
      </rPr>
      <t xml:space="preserve">. The handover to the targeted beneficiaries is planned for next week, pending the completion of necessary arrangements.
</t>
    </r>
    <r>
      <rPr>
        <b/>
        <sz val="11"/>
        <color rgb="FFA02B93"/>
        <rFont val="Aptos Narrow"/>
        <scheme val="minor"/>
      </rPr>
      <t xml:space="preserve">Sinkat (rehab &amp; solarization of drinking wells
</t>
    </r>
    <r>
      <rPr>
        <sz val="11"/>
        <color rgb="FF000000"/>
        <rFont val="Aptos Narrow"/>
        <scheme val="minor"/>
      </rPr>
      <t xml:space="preserve">•	The supplier has completed the cleaning of six wells—three in Gabait and three in Sinkat. Additionally, fencing works for two wells in Sinkat have commenced.
</t>
    </r>
  </si>
  <si>
    <r>
      <rPr>
        <sz val="11"/>
        <color rgb="FF000000"/>
        <rFont val="Aptos Narrow"/>
        <scheme val="minor"/>
      </rPr>
      <t xml:space="preserve">Hewa For Drilling The following New sites require handover to contractor’s to start implementation:
•	1.1 Hilat Salih Elrahad 10HP
•	1.2 Dabanga Elrahad 10HP
•	1.3 Wad Gateet El Mafaza 10HP
•	1.4 Al wahedo El Mafaza 10HP
•	1.7 Kumur Ali Salamat Elrahad 10HP
MIG Engineering Co. LTD
•	Four agricultural machinery sets (Tractor, Planter and Harvesting Thresher) were delivered to the sites in Almafaza and Alguraisha localities.
•	The handover process will be finalized after completing the necessary arrangements with the government authorities and the recipient associations.
</t>
    </r>
    <r>
      <rPr>
        <b/>
        <sz val="11"/>
        <color rgb="FF000000"/>
        <rFont val="Aptos Narrow"/>
        <scheme val="minor"/>
      </rPr>
      <t xml:space="preserve">SDC Fund
</t>
    </r>
    <r>
      <rPr>
        <sz val="11"/>
        <color rgb="FF000000"/>
        <rFont val="Aptos Narrow"/>
        <scheme val="minor"/>
      </rPr>
      <t xml:space="preserve">•	Solar irrigation pumps installation in Kassala locality – 95% completed.
</t>
    </r>
  </si>
  <si>
    <t>8th Mar to 12th Mar</t>
  </si>
  <si>
    <t xml:space="preserve">IRW
•	The growth of vegetable seeds distributed at farmers’ fields was monitored during the reporting period.
•	Crop performance is progressing well, with healthy plant development observed.
•	Monitoring of the seed multiplication plots continued under the supervision of a specialist from the Agricultural Research Corporation (ARC).
•	Delays in fund transfers affected the timely provision of fuel for irrigation and some required inputs for the multiplication plots.
•	Despite these delays, lead farmers managed to continue activities with ongoing technical guidance from ARC.
</t>
  </si>
  <si>
    <t xml:space="preserve">Tokar: (SRCS): 
•	Cash for work activities are still ongoing by cleaning campaigns and cutting unfriendly trees 
•	Training of three drivers to operate the Tractors has been completed 
</t>
  </si>
  <si>
    <t xml:space="preserve">Sinkat: (DPI): 
•	200 small solar kits have been distributed targeted 200 HH
•	The arrangements and coordination have been started to implement the cash for work activities in Sinkat locality.  
</t>
  </si>
  <si>
    <t>NEF Organization: No report received from the IP.</t>
  </si>
  <si>
    <t xml:space="preserve">CDF Organization:
•	Microfinance assessments were conducted in Village 6 Iskan, Village 10 Iskan, and Al-Khawalda. 
•	Follow-up for 500 home-gardening beneficiaries and agricultural crops in Amara Al-Khawaldeh, Village 10 Iskan, and Village 6 Iskan, vegetable harvesting started.
•	Monitoring of 50 women beneficiaries 25 in each of Amara Al-Khawalda and Iskan 10 villages engaged in income-generating activities (food processing, soap making, and handicrafts), linkage with vendors in New Halfa for raw materials, soap products were produced. 
•	Monitoring 25 livestock beneficiary households receiving goats. 
</t>
  </si>
  <si>
    <r>
      <rPr>
        <sz val="11"/>
        <color rgb="FF000000"/>
        <rFont val="Aptos Narrow"/>
        <scheme val="minor"/>
      </rPr>
      <t xml:space="preserve">Contractor Name: Hewa for Water Drilling: (2 sites have been handed over to the contactor))
•	Solar irrigation pump in Altomat Wad Zayid and
•	Solar irrigation pump in Altomat Falata
</t>
    </r>
    <r>
      <rPr>
        <b/>
        <sz val="11"/>
        <color rgb="FFA02B93"/>
        <rFont val="Aptos Narrow"/>
        <scheme val="minor"/>
      </rPr>
      <t xml:space="preserve">SDC Fund: 
</t>
    </r>
    <r>
      <rPr>
        <sz val="11"/>
        <color rgb="FF000000"/>
        <rFont val="Aptos Narrow"/>
        <scheme val="minor"/>
      </rPr>
      <t xml:space="preserve">•	Installation of solar irrigation pumps in Kassala locality – 95% completed. 
</t>
    </r>
  </si>
  <si>
    <t>15th Mar to 19th Mar</t>
  </si>
  <si>
    <t xml:space="preserve">TDO:
•	Follow-up of farmer field schools and conducted check visits to some farmers to monitor progress so far. 
•	Support registration and legalization of one agricultural association.
•	Work plan for the tranche 2 has been produced and shared with UNDP Livelihoods Officer
</t>
  </si>
  <si>
    <t xml:space="preserve">IRW:
•	The growth of vegetable seeds distributed at farmers’ fields was monitored during the reporting period.
•	Crop performance is progressing well, with healthy plant development observed.
•	Monitoring of the seed multiplication plots continued under the supervision of a specialist from the Agricultural Research Corporation (ARC).
•	Delays in fund transfers affected the timely provision of fuel for irrigation and some required inputs for the multiplication plots.
•	Despite these delays, lead farmers managed to continue activities with ongoing technical guidance from ARC.
</t>
  </si>
  <si>
    <t xml:space="preserve">Tokar locality – SRC -SDC project:
•	Cash for work activities are ongoing in Tokar, these activities targeted 200 youth to cleaning unfriendly trees and cleaning Pubic areas and markets. 
•	For the solar kits, the arrangements have been completed and targeted beneficiaries have been identified to distribute 1200 small solar boxes.
</t>
  </si>
  <si>
    <t xml:space="preserve">NEF Organization
•	Conducted training to Sub-CMCs to strengthen local committee’s capacity for upcoming implementation in Al Girba (16–18 March) with 50 participants, 3 female and 47 male participants, represented include Um Gamies, Andala, Dar Al Neem, Girba, Shegrab West, and El Munbaa.
</t>
  </si>
  <si>
    <t xml:space="preserve">CDF Organization
•	Follow-up conducted for 50 women beneficiaries in in Amara Al-Khawaldeh and Village 10 Iskan (food processing, soap making, handicrafts), including linkage with vendors for raw materials.
•	And 25 households benefiting from livestock (goats) distribution.
•	As well as monitoring visits have been conducted to home gardens in Amara Al-Khawaldeh , Village 6 Iskan and village 10 Iskan, the vegetable harvesting ongoing.
</t>
  </si>
  <si>
    <t xml:space="preserve">SDC Fund: 
•	Installation of solar irrigation pumps in Kassala locality – 95% completed. 
•	Supply of 2 tractors and accessories received. Preparations on the way with the Ministry of Agriculture to hand over.
</t>
  </si>
  <si>
    <t>22nd Mar to 26th Mar</t>
  </si>
  <si>
    <r>
      <rPr>
        <sz val="11"/>
        <color rgb="FF000000"/>
        <rFont val="Aptos Narrow"/>
        <scheme val="minor"/>
      </rPr>
      <t xml:space="preserve">•	SDC project: Tokar locality: SRC has completed the arrangement to distribute 1200 small solar boxes for the targeted HH. 
</t>
    </r>
    <r>
      <rPr>
        <sz val="11"/>
        <color rgb="FFFF0000"/>
        <rFont val="Aptos Narrow"/>
        <scheme val="minor"/>
      </rPr>
      <t xml:space="preserve">•	The cash for work activities are ongoing in Tokar locality targeted 200 HH
</t>
    </r>
  </si>
  <si>
    <t xml:space="preserve">NEF Organization
•	No inputs received
</t>
  </si>
  <si>
    <t xml:space="preserve">CDF Organization
•	No inputs received
</t>
  </si>
  <si>
    <t xml:space="preserve">SDC Project Civil Works
Contract Ref: 10491568 – Installation of 10 solarized irrigation pumps
(3 in Kassala) – Contractor: Hewa for Water Drilling. 98% completion of installation solarized irrigation pumps.
</t>
  </si>
  <si>
    <t>29th Mar to 2nd Apr</t>
  </si>
  <si>
    <t xml:space="preserve">TDO
•	Ongoing follow-up on Farmer Field Schools activities.
•	 Ongoing follow-up on Community Management Committees (CMCs).
</t>
  </si>
  <si>
    <t xml:space="preserve">IRW
•	Completion of Community Management Committees (CMCs) formation.
•	Multiplication of tomato and onion seeds is in progress.
</t>
  </si>
  <si>
    <t xml:space="preserve">SDC- Tokar: 
•	Number of 1200 HH has been identified to distribute small solar kits under SRC society. 
</t>
  </si>
  <si>
    <t xml:space="preserve">SDC- Sinkat Locality: 
•	The cash for work activities is ongoing in Sinkat locality targeted Schools and hospitals under DPI organization 
</t>
  </si>
  <si>
    <t xml:space="preserve">1. CDF Organization
Follow-up activities included:
•	Some 500 beneficiaries received support for home gardening in the New Halfa Locality
•	The IP conducted visits to communities to monitor agricultural production and partial vegetable harvests in New Halfa Locality. 
•	50 women received support for income-generating activities in New Halfa (food processing, soap making, handicrafts), including linkage with vendors; soap production completed and distributed locally 
•	Follow-up visit was organized to 25 livestock beneficiary households in New Halfa 
Planned Activities:
•	Continued follow-up visits in Amara Al-Khawaldeh, Village 10 Iskan, and 6 Iskan 
</t>
  </si>
  <si>
    <r>
      <rPr>
        <sz val="11"/>
        <color rgb="FF000000"/>
        <rFont val="Aptos Narrow"/>
        <scheme val="minor"/>
      </rPr>
      <t xml:space="preserve">Civil Works under SDC Project - Kassala
Contract Ref: 10491568 – Installation of 3 solarized irrigation pumps– Contractor: Hewa for Water Drilling. 98% completion of installation solarized irrigation pumps.
</t>
    </r>
    <r>
      <rPr>
        <b/>
        <sz val="11"/>
        <color rgb="FF4EA72E"/>
        <rFont val="Aptos Narrow"/>
        <scheme val="minor"/>
      </rPr>
      <t xml:space="preserve">Procurement Activities - Gedaref
</t>
    </r>
    <r>
      <rPr>
        <sz val="11"/>
        <color rgb="FF000000"/>
        <rFont val="Aptos Narrow"/>
        <scheme val="minor"/>
      </rPr>
      <t xml:space="preserve">Contractor: Hewa for Water Drilling
•	Solar irrigation pump – Altomat Wad Zayid: 55% completed.
•	Solar irrigation pump – Altomat Falata: 55% completed.
Contractor: Hewa (Al Rahad)
•	Overall progress: 15% completed 
o	3 irrigation pumps in Al Rahad (Hillat Salih, Dabanga, Kumur Ali Salamat).
o	2 irrigation pumps in Al Mafaza (Wad Gateet, Alwihaido).
</t>
    </r>
  </si>
  <si>
    <t>9th to 13 Aug</t>
  </si>
  <si>
    <t xml:space="preserve">Food ball league is conducted in Toker as peace even. First match was on 5/8/2026 and the final match was Wednesday 12/8/2026 between Sudanese Red crescent team and Dalat team. Sudanese Red crescent team wined the final 
Prizes were distributed in celebration of final 
-Cup was given to winner and golden and silver medals were given to final players
-  One set of uniform   (( 15 JERSY AND SHORTS)  was given to  for the youth union  of football in Toker juniors. 
-One set of uniform (15 JERSY AND SHORTS) was given to the juniors union   of football in Toker .
- The seven teams participated in league each one was given 2 foot ball
- The Toker Union for football is given nets and 4 football 
- Today 13/8/2026 at 4 pm    Community peace dialogue forum will be conducted
</t>
  </si>
  <si>
    <t xml:space="preserve">1. 50 (32 female and 18 males ) paraticipated in a forum of community peace dialogue . 
2- 200 solar kits from the total of 500 a located for Gabait are distributed in six areas of Gabait administrative UNit. 130 males and 70 female HH. Their details is:
-Yoyaib  48 (14 male and 34 female HH). 
- Dalab South 26 (5 female and 21 male HH). 
- Tikrayaat 26 (11 female, and 15 male). 
- 10 male for The North of Tikrayaat. 
- Airba village 36 (29 male, 7 female). 
- Tikamoy village 9 (7 male, 2 female). 
- Asout village 45 ( 11 female, 34 male). 
3 .The tracking of the beneficiaries of the activity 1.8  cash for work  as follows:
The target benifeciars are 200. By the current week our partner reached 200 (  150 males and 50 females ). In four weeks .Their details as follows:
- First week 60 males (20 per village across  Three villages for one day each ) 
- - The Second week: 50 males participated (20 in Ashaf village for One day and 30 males cleaned the yard of Sinkat locality for Two days) 
- The Third  week: 47 (25 IDPs females and 2 host males cleaned the IDPs center for Two days) 
12 females from host community cleaned the locality for One day. 
The fourth
 - current week 5 female and 
23 male worked for one day.
In addition to this 15 males previously had cleaned the rented farm. </t>
  </si>
  <si>
    <t xml:space="preserve">1.Implementing Partner women and Child Development society 
(WCDS).
 Due to the high temperature during the summer and the movement of community members to cooler areas during this period society has taken these seasonal conditions into consideration when preparing its activity implementation plan. 
Accordingly, activities that require large community gatherings have been scheduled for late August and early September to coinciding with return of community members to their villages. This timing is expected to ensure broader participation by beneficiaries and support the effective implementation of the planned activities. 
2.Implemeting partner Arbaat Development Association (ADA) 
Association is currently preparing for the HAC assessment and working to complete the required preparations and documentation.
And sent beneficiaries listed of solar boxes distribution. </t>
  </si>
  <si>
    <t>16th to 20th Aug</t>
  </si>
  <si>
    <t>-Sunday 16 August 2026 a truck rentd by SRC Sudanese Red crescent Society transporting solar hand batteries  1200 units to be distributed to beneficiaries in Tokar. At Ashat state security checkpoint a group of citizens or local residents seized the truck demanding 40% of these battery SRC vehicles was stopped and returned to Port Sudan.
- for the 5 tractors and their equipments
a- the CMC of former BDO did  not completed  the registration of their agricultural society 1000 farmers and 2 tractors
b- CMC of SRC also did not complete the registration.1200 farmers 3 tractors
c-they should register at agricultural society registrar , and ministry of justice.these CMCs want only to register with HAC as LNGO.
d- 2 tractors 0f BDO rented by their CMC to a supplier who worked for the ministry of irrigation the 2 tractors worked for 45 days the money which should be paid for CMC was 2000 USD but the contractor failed to pay the money.</t>
  </si>
  <si>
    <t>UND-SINKAT UPDATE: Concerning the update of Sinkat locality,assessment is conducted by UNDP under Kuwait fund to identify 5 borehole ( 2) new in Sinkat and 3 rehabilitation ( 2 in Sinkat and One in Gabait) . </t>
  </si>
  <si>
    <t>•  The 2nd tranche received in WCDS bank Account last week 
•  Preparation of delivery of fishery input / completing the required inputs of (seats, boot canopy, flooring, ) all Perquimans process in involvement of CMC completed to purchase   of a 40 HP Yamaha engine.
• Total beneficiaries 25 fishermen divided in 5 groups 
• Preparation to Provide micro-grants to vulnerable groups to 2 associations/groups inputs 
Next week’s plan.
* delivery of fishery input / completing the required inputs of ( seats, boot canopy, flooring, ) will be on 20th of August the engaging will be delivered next week 
•  Handing over 2 micro-grants to vulnerable groups / associations/groups projects inputs 
• Continuing Monitoring for implemented activities with CMC</t>
  </si>
  <si>
    <t xml:space="preserve">
1. The process of signing a MoU with the State Ministry of Agriculture is ongoing..
2. Three project orientation meetings were conducted at Kamoieb, Belaib and Erbabayai villages.Attendances were 25 person at Kamoieb, 15 and belieb and 52 at Erbabyai villages,
3. 15 IDPs HHs were identified and they confirmed their willingness to benefit from agricultural land renting, but the negotiation with landowners is still going on .
4. We have discussed the issue with the Ministry of Agriculture and 2 agricultural engineers were nominated to supervise the activity. 
5. Negotiation with lead farmers to identify sites is ongoing.
5, HACKT assessment for ADA  conducted and the draft of the report shared with ADA for comment.
6. There is a slight delay in August planned activities, due to delay in first tranche transfer from UNDP, but the process are going smoothly and perfectly as expected.</t>
  </si>
  <si>
    <t>23rd to 27th Aug</t>
  </si>
  <si>
    <t>1-Concerning distribution of solar hand lamps, there is a proposal from head of CMC to give the quota of Tokar City  down town to people of Ashat for electricity is stable within Tokar town.
2- consultation is going on between Chief Executive officer of Tokar locality ،CMC head and SRCS to find a solution</t>
  </si>
  <si>
    <t xml:space="preserve">- Three farmers ( 2 from Sinkat and One from Gabait) had been consulted, to identify their potential, opportunities, challenges and recommendations in the agriculture as required by UNDP. 
- Concerning the update of DPI, their update is continued coordination with RSO for the task of the distribution of remaining 300 solar kits at Gabait administration unit in the next week. 
- Also DPI is preparing the task  of identification and nomination of farmers to distribute for them seeds with close coordination with CMC and local government next week. 
- The challenge for Postponding the planned activities of last week for the next week is due to the delay of HAC permission of travel as DPI mentioned. </t>
  </si>
  <si>
    <t xml:space="preserve"> • fishery input (seats, boot canopy, flooring) delivered on 20th of August.
• Handing over one micro-grants to vulnerable groups / associations/groups (Block manufacturing inputs project for 5 youth 2 out of them female) 
•  Next week’s plan.
•  Handing over one micro-grants to vulnerable groups / associations/groups) Event Tent Rent project input)
•  Preparation to purchase a 40 HP Yamaha engine. For 25 fishermen divided in 5 groups, 
•  Preparation of TOT training for 25 fishermen
•  Continuing Monitoring for implemented activities with CMC
all the best </t>
  </si>
  <si>
    <t xml:space="preserve">ADA- 1. Meeting and side visit with UNDP engineer and Mr Yahia to assess upper Arbaat agriultural
wells for solar system installation.
2. Meeting with seeds administration manager to identify vegetable seeds spacification for Arbaat farmers.
3. Meeting with Dr. Aldawi agricultural reach station for site selection at Arbaat for seed prodution
4. Meeting with community at upper Arbaat cluster for purpose of project orientation and ideentification of required agricultural seeds and tools. </t>
  </si>
  <si>
    <t>30th Aug to 3rd Sept</t>
  </si>
  <si>
    <t xml:space="preserve">Weekly update of WCDS project  as below
•     Handing over one micro-grants to vulnerable groups / associations/groups) Event Tent Rent project input) 5 youth 
•      purchase a 40 HP Yamaha engine. For 25 fishermen divided in 5 groups, 
•       TOT training for 25 fishermen starts on 2nd of Sep.2026 for 3 days 
 Next week’s plan.
      Establishment of Associations and including IDPs, Refugees and host Community Members
      Establish and train CMCs on Water Resource Management, cost recovery and Sustainability to implement Cost Recovery mechanisms.
      Registration process to Support emergency employment initiatives for  youth through Cash for Work activities 
     Continuing Monitoring for implemented activities with CMC. </t>
  </si>
  <si>
    <t>Q4 (2025)</t>
  </si>
  <si>
    <t xml:space="preserve">Comulative </t>
  </si>
  <si>
    <t>Data verification</t>
  </si>
  <si>
    <t>Unit</t>
  </si>
  <si>
    <t>Youth (18-35 yrs)</t>
  </si>
  <si>
    <t>Above 35 yrs</t>
  </si>
  <si>
    <t>Male</t>
  </si>
  <si>
    <t>Female</t>
  </si>
  <si>
    <r>
      <t>State </t>
    </r>
    <r>
      <rPr>
        <sz val="11"/>
        <color rgb="FF000000"/>
        <rFont val="Aptos"/>
        <charset val="1"/>
      </rPr>
      <t> </t>
    </r>
  </si>
  <si>
    <r>
      <t>Implementing Partner</t>
    </r>
    <r>
      <rPr>
        <sz val="11"/>
        <color rgb="FF000000"/>
        <rFont val="Aptos"/>
        <charset val="1"/>
      </rPr>
      <t> </t>
    </r>
  </si>
  <si>
    <r>
      <t>Locality </t>
    </r>
    <r>
      <rPr>
        <sz val="11"/>
        <color rgb="FF000000"/>
        <rFont val="Aptos"/>
        <charset val="1"/>
      </rPr>
      <t> </t>
    </r>
  </si>
  <si>
    <r>
      <t>Targeted Communities</t>
    </r>
    <r>
      <rPr>
        <sz val="11"/>
        <color rgb="FF000000"/>
        <rFont val="Aptos"/>
        <charset val="1"/>
      </rPr>
      <t> </t>
    </r>
  </si>
  <si>
    <t>Kassala </t>
  </si>
  <si>
    <t>Near East Foundation (NEF) </t>
  </si>
  <si>
    <t>Khashm El-Girba </t>
  </si>
  <si>
    <t>Shagarab-West</t>
  </si>
  <si>
    <t>Andala</t>
  </si>
  <si>
    <t xml:space="preserve">26 Arab </t>
  </si>
  <si>
    <t>Khashm El-Girba</t>
  </si>
  <si>
    <t>1 Arab</t>
  </si>
  <si>
    <t>Almunaba</t>
  </si>
  <si>
    <t>Girba Camp</t>
  </si>
  <si>
    <t>26 Arab</t>
  </si>
  <si>
    <t>Um Gamis</t>
  </si>
  <si>
    <t>Child Development Foundation (CDF) </t>
  </si>
  <si>
    <t>New Halfa </t>
  </si>
  <si>
    <t>Village 6</t>
  </si>
  <si>
    <t>Village 10</t>
  </si>
  <si>
    <t>Amarat Elkhwalda</t>
  </si>
  <si>
    <t>Gedaref </t>
  </si>
  <si>
    <t>Altwaki Development Organization (TDO) </t>
  </si>
  <si>
    <t>Al-Mafaza </t>
  </si>
  <si>
    <t>Altenadba</t>
  </si>
  <si>
    <t>Elgrefab</t>
  </si>
  <si>
    <t>Aburakham</t>
  </si>
  <si>
    <t>Hanan Village</t>
  </si>
  <si>
    <t>Nur Elhuda</t>
  </si>
  <si>
    <t>Alwaisa</t>
  </si>
  <si>
    <t>Islamic Relief Worldwide (IRW) </t>
  </si>
  <si>
    <t>El-Rahad </t>
  </si>
  <si>
    <t>Bazura</t>
  </si>
  <si>
    <t>Abdulatif</t>
  </si>
  <si>
    <t>Um Medeka</t>
  </si>
  <si>
    <t>Wad Meskeen</t>
  </si>
  <si>
    <t>Raira Voluntary Organization (RARA) </t>
  </si>
  <si>
    <t>Gala Nahal </t>
  </si>
  <si>
    <t>Um blail</t>
  </si>
  <si>
    <t xml:space="preserve">Hela Gadeed </t>
  </si>
  <si>
    <t>Red Sea  </t>
  </si>
  <si>
    <t>Sudanese Red Crescent (SRC)   </t>
  </si>
  <si>
    <t>Tokar  </t>
  </si>
  <si>
    <t>Tawread</t>
  </si>
  <si>
    <t>Peace Initiative and Development Organization (DPI) </t>
  </si>
  <si>
    <t>Sinkat </t>
  </si>
  <si>
    <t>Hashtarbab</t>
  </si>
  <si>
    <t>Tabikak</t>
  </si>
  <si>
    <t>Tiytia</t>
  </si>
  <si>
    <t>Gebait</t>
  </si>
  <si>
    <t>Women And Child Development Society (WCDS) </t>
  </si>
  <si>
    <t>Port Sudan </t>
  </si>
  <si>
    <r>
      <rPr>
        <b/>
        <sz val="12"/>
        <color rgb="FF000000"/>
        <rFont val="Aptos Narrow"/>
      </rPr>
      <t>S</t>
    </r>
    <r>
      <rPr>
        <sz val="12"/>
        <color rgb="FF000000"/>
        <rFont val="Aptos Narrow"/>
      </rPr>
      <t>oarteab</t>
    </r>
  </si>
  <si>
    <t>Salbona</t>
  </si>
  <si>
    <t>Hay Alaman</t>
  </si>
  <si>
    <t xml:space="preserve">Hay Dar Alsalam </t>
  </si>
  <si>
    <t>Hay Althora</t>
  </si>
  <si>
    <t xml:space="preserve">SDC
(CHF) </t>
  </si>
  <si>
    <t>SDC
(USD)</t>
  </si>
  <si>
    <t>SDC_Target</t>
  </si>
  <si>
    <t>SDC_Actual</t>
  </si>
  <si>
    <t xml:space="preserve">Italy
USD </t>
  </si>
  <si>
    <t>Italy_Target</t>
  </si>
  <si>
    <t>Italy_Actual</t>
  </si>
  <si>
    <t xml:space="preserve">JSB </t>
  </si>
  <si>
    <t>JSB_Target</t>
  </si>
  <si>
    <t>JSB_Actual</t>
  </si>
  <si>
    <t>UNDP</t>
  </si>
  <si>
    <t>UNDP_Target</t>
  </si>
  <si>
    <t>UNDP_Actual</t>
  </si>
  <si>
    <t>Total Budget</t>
  </si>
  <si>
    <t>NA</t>
  </si>
  <si>
    <t>4 FFS</t>
  </si>
  <si>
    <t>4 CMCs</t>
  </si>
  <si>
    <t>6 trainings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</si>
</sst>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 #,##0_-;_-* &quot;-&quot;??_-;_-@_-"/>
    <numFmt numFmtId="166" formatCode="_(* #,##0_);_(* \(#,##0\);_(* &quot;-&quot;??_);_(@_)"/>
  </numFmts>
  <fonts count="54">
    <font>
      <sz val="11"/>
      <color theme="1"/>
      <name val="Aptos Narrow"/>
      <family val="2"/>
      <scheme val="minor"/>
    </font>
    <font>
      <b/>
      <sz val="11"/>
      <color rgb="FF000000"/>
      <name val="Aptos Narrow"/>
      <family val="2"/>
      <scheme val="minor"/>
    </font>
    <font>
      <sz val="11"/>
      <color theme="1"/>
      <name val="Aptos Narrow"/>
      <family val="2"/>
      <scheme val="minor"/>
    </font>
    <font>
      <sz val="10"/>
      <color theme="1"/>
      <name val="Times New Roman"/>
      <family val="1"/>
    </font>
    <font>
      <sz val="12"/>
      <color theme="1"/>
      <name val="Times New Roman"/>
      <family val="1"/>
    </font>
    <font>
      <b/>
      <sz val="11"/>
      <color rgb="FFFFFFFF"/>
      <name val="Aptos"/>
      <family val="2"/>
    </font>
    <font>
      <sz val="11"/>
      <color rgb="FF000000"/>
      <name val="Aptos"/>
      <family val="2"/>
    </font>
    <font>
      <sz val="11"/>
      <color theme="1"/>
      <name val="Aptos"/>
      <family val="2"/>
    </font>
    <font>
      <b/>
      <sz val="11"/>
      <color theme="1"/>
      <name val="Aptos"/>
      <family val="2"/>
    </font>
    <font>
      <b/>
      <sz val="11"/>
      <color rgb="FFFF0000"/>
      <name val="Aptos Narrow"/>
      <family val="2"/>
      <scheme val="minor"/>
    </font>
    <font>
      <sz val="11"/>
      <color rgb="FF000000"/>
      <name val="Aptos Narrow"/>
      <family val="2"/>
      <scheme val="minor"/>
    </font>
    <font>
      <sz val="10"/>
      <color theme="1"/>
      <name val="Aptos"/>
      <family val="2"/>
    </font>
    <font>
      <sz val="10"/>
      <color theme="1"/>
      <name val="Symbol"/>
      <family val="1"/>
      <charset val="2"/>
    </font>
    <font>
      <b/>
      <sz val="11"/>
      <color rgb="FF000000"/>
      <name val="Aptos"/>
      <family val="2"/>
    </font>
    <font>
      <sz val="11"/>
      <color theme="1"/>
      <name val="Calibri"/>
      <family val="2"/>
    </font>
    <font>
      <sz val="11"/>
      <color rgb="FF000000"/>
      <name val="Calibri"/>
      <family val="2"/>
    </font>
    <font>
      <b/>
      <sz val="11"/>
      <color rgb="FFFF0000"/>
      <name val="Calibri"/>
      <family val="2"/>
    </font>
    <font>
      <b/>
      <sz val="10"/>
      <color rgb="FFFF0000"/>
      <name val="Aptos"/>
      <family val="2"/>
    </font>
    <font>
      <b/>
      <sz val="11"/>
      <color rgb="FFFF0000"/>
      <name val="Aptos"/>
      <family val="2"/>
    </font>
    <font>
      <sz val="11"/>
      <color rgb="FF006100"/>
      <name val="Aptos Narrow"/>
      <family val="2"/>
      <scheme val="minor"/>
    </font>
    <font>
      <b/>
      <sz val="10"/>
      <color theme="1"/>
      <name val="Aptos"/>
      <family val="2"/>
    </font>
    <font>
      <sz val="10"/>
      <name val="Aptos"/>
      <family val="2"/>
    </font>
    <font>
      <b/>
      <sz val="11"/>
      <color rgb="FF000000"/>
      <name val="Aptos Narrow"/>
      <family val="2"/>
    </font>
    <font>
      <sz val="11"/>
      <color rgb="FF000000"/>
      <name val="Aptos Narrow"/>
      <family val="2"/>
    </font>
    <font>
      <sz val="11"/>
      <color rgb="FF000000"/>
      <name val="Aptos Narrow"/>
      <scheme val="minor"/>
    </font>
    <font>
      <sz val="11"/>
      <color rgb="FFFF0000"/>
      <name val="Aptos Narrow"/>
      <scheme val="minor"/>
    </font>
    <font>
      <sz val="11"/>
      <color theme="1"/>
      <name val="Aptos Narrow"/>
      <scheme val="minor"/>
    </font>
    <font>
      <b/>
      <sz val="11"/>
      <color rgb="FF0F9ED5"/>
      <name val="Aptos Narrow"/>
      <scheme val="minor"/>
    </font>
    <font>
      <b/>
      <sz val="9"/>
      <color theme="1"/>
      <name val="Aptos"/>
      <family val="2"/>
    </font>
    <font>
      <b/>
      <sz val="11"/>
      <color rgb="FF000000"/>
      <name val="Aptos Narrow"/>
      <scheme val="minor"/>
    </font>
    <font>
      <b/>
      <sz val="11"/>
      <color rgb="FFFF0000"/>
      <name val="Aptos Narrow"/>
      <scheme val="minor"/>
    </font>
    <font>
      <b/>
      <sz val="11"/>
      <color rgb="FFA02B93"/>
      <name val="Aptos Narrow"/>
      <scheme val="minor"/>
    </font>
    <font>
      <sz val="11"/>
      <color rgb="FFFF0000"/>
      <name val="Aptos Narrow"/>
      <family val="2"/>
      <scheme val="minor"/>
    </font>
    <font>
      <b/>
      <sz val="11"/>
      <color rgb="FF4EA72E"/>
      <name val="Aptos Narrow"/>
      <scheme val="minor"/>
    </font>
    <font>
      <b/>
      <sz val="10"/>
      <color rgb="FF000000"/>
      <name val="Aptos"/>
      <family val="2"/>
    </font>
    <font>
      <sz val="10"/>
      <color rgb="FF000000"/>
      <name val="Aptos"/>
      <family val="2"/>
    </font>
    <font>
      <sz val="10"/>
      <color rgb="FF000000"/>
      <name val="Calibri"/>
      <family val="2"/>
    </font>
    <font>
      <sz val="7"/>
      <color rgb="FF000000"/>
      <name val="Times New Roman"/>
      <family val="1"/>
    </font>
    <font>
      <sz val="10"/>
      <color rgb="FF000000"/>
      <name val="Symbol"/>
      <family val="1"/>
      <charset val="2"/>
    </font>
    <font>
      <b/>
      <sz val="11"/>
      <color rgb="FF000000"/>
      <name val="Aptos"/>
    </font>
    <font>
      <sz val="10"/>
      <color rgb="FFFF0000"/>
      <name val="Aptos"/>
      <family val="2"/>
    </font>
    <font>
      <sz val="10.5"/>
      <color theme="1"/>
      <name val="Segoe UI"/>
      <family val="2"/>
      <charset val="1"/>
    </font>
    <font>
      <b/>
      <sz val="8"/>
      <color theme="1"/>
      <name val="Aptos"/>
      <family val="2"/>
      <charset val="1"/>
    </font>
    <font>
      <sz val="10"/>
      <color rgb="FF000000"/>
      <name val="Aptos"/>
      <family val="2"/>
      <charset val="1"/>
    </font>
    <font>
      <sz val="10"/>
      <color theme="1"/>
      <name val="Aptos Narrow"/>
      <family val="2"/>
      <scheme val="minor"/>
    </font>
    <font>
      <sz val="10"/>
      <color theme="1"/>
      <name val="Aptos"/>
      <family val="2"/>
      <charset val="1"/>
    </font>
    <font>
      <sz val="10"/>
      <color rgb="FFFF0000"/>
      <name val="Aptos"/>
      <family val="2"/>
      <charset val="1"/>
    </font>
    <font>
      <sz val="11"/>
      <color rgb="FF000000"/>
      <name val="Aptos"/>
      <charset val="1"/>
    </font>
    <font>
      <b/>
      <sz val="11"/>
      <color rgb="FF000000"/>
      <name val="Aptos"/>
      <charset val="1"/>
    </font>
    <font>
      <b/>
      <sz val="12"/>
      <color rgb="FF000000"/>
      <name val="Aptos Narrow"/>
    </font>
    <font>
      <sz val="12"/>
      <color rgb="FF000000"/>
      <name val="Aptos Narrow"/>
    </font>
    <font>
      <sz val="11"/>
      <color rgb="FF000000"/>
      <name val="Aptos Narrow"/>
    </font>
    <font>
      <b/>
      <sz val="10"/>
      <name val="Aptos"/>
      <family val="2"/>
    </font>
    <font>
      <sz val="11"/>
      <name val="Aptos Narrow"/>
      <family val="2"/>
    </font>
  </fonts>
  <fills count="1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17365D"/>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2"/>
        <bgColor rgb="FF000000"/>
      </patternFill>
    </fill>
    <fill>
      <patternFill patternType="solid">
        <fgColor theme="7" tint="0.59999389629810485"/>
        <bgColor rgb="FF000000"/>
      </patternFill>
    </fill>
    <fill>
      <patternFill patternType="solid">
        <fgColor theme="2"/>
        <bgColor indexed="64"/>
      </patternFill>
    </fill>
    <fill>
      <patternFill patternType="solid">
        <fgColor theme="3" tint="0.89999084444715716"/>
        <bgColor indexed="64"/>
      </patternFill>
    </fill>
    <fill>
      <patternFill patternType="solid">
        <fgColor rgb="FFFFFF00"/>
        <bgColor rgb="FF000000"/>
      </patternFill>
    </fill>
    <fill>
      <patternFill patternType="solid">
        <fgColor rgb="FFDAE9F7"/>
        <bgColor rgb="FF000000"/>
      </patternFill>
    </fill>
    <fill>
      <patternFill patternType="solid">
        <fgColor rgb="FFDEEAF6"/>
        <bgColor indexed="64"/>
      </patternFill>
    </fill>
    <fill>
      <patternFill patternType="solid">
        <fgColor rgb="FFFFFFFF"/>
        <bgColor indexed="64"/>
      </patternFill>
    </fill>
    <fill>
      <patternFill patternType="solid">
        <fgColor theme="8" tint="0.79998168889431442"/>
        <bgColor indexed="64"/>
      </patternFill>
    </fill>
    <fill>
      <patternFill patternType="solid">
        <fgColor rgb="FFFBE2D5"/>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style="thin">
        <color rgb="FF000000"/>
      </left>
      <right/>
      <top/>
      <bottom style="thin">
        <color rgb="FF000000"/>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rgb="FF000000"/>
      </bottom>
      <diagonal/>
    </border>
  </borders>
  <cellStyleXfs count="3">
    <xf numFmtId="0" fontId="0" fillId="0" borderId="0"/>
    <xf numFmtId="164" fontId="2" fillId="0" borderId="0" applyFont="0" applyFill="0" applyBorder="0" applyAlignment="0" applyProtection="0"/>
    <xf numFmtId="0" fontId="19" fillId="8" borderId="0" applyNumberFormat="0" applyBorder="0" applyAlignment="0" applyProtection="0"/>
  </cellStyleXfs>
  <cellXfs count="263">
    <xf numFmtId="0" fontId="0" fillId="0" borderId="0" xfId="0"/>
    <xf numFmtId="0" fontId="0" fillId="0" borderId="0" xfId="0" applyAlignment="1">
      <alignment vertical="top"/>
    </xf>
    <xf numFmtId="0" fontId="1" fillId="3" borderId="0" xfId="0" applyFont="1" applyFill="1" applyAlignment="1">
      <alignment wrapText="1"/>
    </xf>
    <xf numFmtId="0" fontId="0" fillId="3" borderId="0" xfId="0" applyFill="1"/>
    <xf numFmtId="0" fontId="1" fillId="3" borderId="1" xfId="0" applyFont="1" applyFill="1" applyBorder="1" applyAlignment="1">
      <alignment vertical="top" wrapText="1"/>
    </xf>
    <xf numFmtId="0" fontId="0" fillId="3" borderId="1" xfId="0" applyFill="1" applyBorder="1" applyAlignment="1">
      <alignment vertical="top" wrapText="1"/>
    </xf>
    <xf numFmtId="0" fontId="1" fillId="3" borderId="1" xfId="0" applyFont="1" applyFill="1" applyBorder="1" applyAlignment="1">
      <alignment wrapText="1"/>
    </xf>
    <xf numFmtId="0" fontId="0" fillId="3" borderId="1" xfId="0" applyFill="1" applyBorder="1" applyAlignment="1">
      <alignment wrapText="1"/>
    </xf>
    <xf numFmtId="15" fontId="0" fillId="3" borderId="1" xfId="0" applyNumberFormat="1" applyFill="1" applyBorder="1" applyAlignment="1">
      <alignment horizontal="left" wrapText="1"/>
    </xf>
    <xf numFmtId="15" fontId="0" fillId="3" borderId="1" xfId="0" applyNumberFormat="1" applyFill="1" applyBorder="1" applyAlignment="1">
      <alignment wrapText="1"/>
    </xf>
    <xf numFmtId="0" fontId="0" fillId="4" borderId="0" xfId="0" applyFill="1"/>
    <xf numFmtId="0" fontId="1" fillId="4" borderId="0" xfId="0" applyFont="1" applyFill="1" applyAlignment="1">
      <alignment wrapText="1"/>
    </xf>
    <xf numFmtId="0" fontId="5" fillId="5" borderId="8"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0" xfId="0" applyFont="1" applyFill="1" applyBorder="1" applyAlignment="1">
      <alignment vertical="center" wrapText="1"/>
    </xf>
    <xf numFmtId="0" fontId="3" fillId="0" borderId="0" xfId="0" applyFont="1" applyAlignment="1">
      <alignment wrapText="1"/>
    </xf>
    <xf numFmtId="0" fontId="4" fillId="0" borderId="0" xfId="0" applyFont="1" applyAlignment="1">
      <alignment vertical="center" wrapText="1"/>
    </xf>
    <xf numFmtId="4" fontId="7" fillId="0" borderId="11" xfId="0" applyNumberFormat="1" applyFont="1" applyBorder="1" applyAlignment="1">
      <alignment horizontal="center" vertical="center"/>
    </xf>
    <xf numFmtId="0" fontId="7" fillId="0" borderId="10" xfId="0" applyFont="1" applyBorder="1" applyAlignment="1">
      <alignment horizontal="right" vertical="center"/>
    </xf>
    <xf numFmtId="0" fontId="6" fillId="0" borderId="12" xfId="0" applyFont="1" applyBorder="1" applyAlignment="1">
      <alignment vertical="center" wrapText="1"/>
    </xf>
    <xf numFmtId="4" fontId="7" fillId="0" borderId="10" xfId="0" applyNumberFormat="1" applyFont="1" applyBorder="1" applyAlignment="1">
      <alignment horizontal="right" vertical="center"/>
    </xf>
    <xf numFmtId="0" fontId="3" fillId="0" borderId="10" xfId="0" applyFont="1" applyBorder="1" applyAlignment="1">
      <alignment vertical="center"/>
    </xf>
    <xf numFmtId="0" fontId="3" fillId="0" borderId="10" xfId="0" applyFont="1" applyBorder="1"/>
    <xf numFmtId="0" fontId="8" fillId="0" borderId="12" xfId="0" applyFont="1" applyBorder="1" applyAlignment="1">
      <alignment vertical="center"/>
    </xf>
    <xf numFmtId="4" fontId="8" fillId="0" borderId="10" xfId="0" applyNumberFormat="1" applyFont="1" applyBorder="1" applyAlignment="1">
      <alignment horizontal="right" vertical="center"/>
    </xf>
    <xf numFmtId="0" fontId="8" fillId="0" borderId="10" xfId="0" applyFont="1" applyBorder="1" applyAlignment="1">
      <alignment horizontal="right" vertical="center"/>
    </xf>
    <xf numFmtId="0" fontId="5" fillId="5" borderId="13" xfId="0" applyFont="1" applyFill="1" applyBorder="1" applyAlignment="1">
      <alignment vertical="center"/>
    </xf>
    <xf numFmtId="0" fontId="5" fillId="5" borderId="8" xfId="0" applyFont="1" applyFill="1" applyBorder="1" applyAlignment="1">
      <alignment vertical="center"/>
    </xf>
    <xf numFmtId="0" fontId="5" fillId="5" borderId="14" xfId="0" applyFont="1" applyFill="1" applyBorder="1" applyAlignment="1">
      <alignment vertical="center"/>
    </xf>
    <xf numFmtId="0" fontId="5" fillId="5" borderId="10" xfId="0" applyFont="1" applyFill="1" applyBorder="1" applyAlignment="1">
      <alignment vertical="center"/>
    </xf>
    <xf numFmtId="0" fontId="0" fillId="0" borderId="0" xfId="0" applyAlignment="1">
      <alignment vertical="top" wrapText="1"/>
    </xf>
    <xf numFmtId="0" fontId="0" fillId="0" borderId="16" xfId="0" applyBorder="1" applyAlignment="1">
      <alignment vertical="top"/>
    </xf>
    <xf numFmtId="0" fontId="11" fillId="0" borderId="0" xfId="0" applyFont="1" applyAlignment="1">
      <alignment horizontal="justify" vertical="top" wrapText="1"/>
    </xf>
    <xf numFmtId="0" fontId="11" fillId="0" borderId="0" xfId="0" applyFont="1" applyAlignment="1">
      <alignment vertical="top" wrapText="1"/>
    </xf>
    <xf numFmtId="0" fontId="14" fillId="0" borderId="0" xfId="0" applyFont="1" applyAlignment="1">
      <alignment vertical="top" wrapText="1"/>
    </xf>
    <xf numFmtId="0" fontId="17" fillId="0" borderId="0" xfId="0" applyFont="1" applyAlignment="1">
      <alignment vertical="top" wrapText="1"/>
    </xf>
    <xf numFmtId="0" fontId="0" fillId="2" borderId="0" xfId="0" applyFill="1" applyAlignment="1">
      <alignment vertical="top" wrapText="1"/>
    </xf>
    <xf numFmtId="0" fontId="11" fillId="2" borderId="0" xfId="0" applyFont="1" applyFill="1" applyAlignment="1">
      <alignment vertical="top" wrapText="1"/>
    </xf>
    <xf numFmtId="0" fontId="11" fillId="2" borderId="0" xfId="0" applyFont="1" applyFill="1" applyAlignment="1">
      <alignment horizontal="justify" vertical="top" wrapText="1"/>
    </xf>
    <xf numFmtId="0" fontId="12" fillId="2" borderId="0" xfId="0" applyFont="1" applyFill="1" applyAlignment="1">
      <alignment horizontal="justify" vertical="top"/>
    </xf>
    <xf numFmtId="0" fontId="14" fillId="2" borderId="0" xfId="0" applyFont="1" applyFill="1" applyAlignment="1">
      <alignment vertical="top" wrapText="1"/>
    </xf>
    <xf numFmtId="0" fontId="9" fillId="0" borderId="0" xfId="0" applyFont="1" applyAlignment="1">
      <alignment vertical="top"/>
    </xf>
    <xf numFmtId="0" fontId="0" fillId="2" borderId="0" xfId="0" applyFill="1" applyAlignment="1">
      <alignment vertical="top"/>
    </xf>
    <xf numFmtId="0" fontId="18" fillId="0" borderId="0" xfId="0" applyFont="1" applyAlignment="1">
      <alignment vertical="top"/>
    </xf>
    <xf numFmtId="0" fontId="10" fillId="0" borderId="0" xfId="0" applyFont="1" applyAlignment="1">
      <alignment vertical="top" wrapText="1"/>
    </xf>
    <xf numFmtId="0" fontId="9" fillId="0" borderId="0" xfId="0" applyFont="1" applyAlignment="1">
      <alignment vertical="top" wrapText="1"/>
    </xf>
    <xf numFmtId="0" fontId="9" fillId="2" borderId="0" xfId="0" applyFont="1" applyFill="1" applyAlignment="1">
      <alignment vertical="top"/>
    </xf>
    <xf numFmtId="0" fontId="9" fillId="2" borderId="0" xfId="0" applyFont="1" applyFill="1" applyAlignment="1">
      <alignment vertical="top" wrapText="1"/>
    </xf>
    <xf numFmtId="0" fontId="10" fillId="2" borderId="0" xfId="0" applyFont="1" applyFill="1" applyAlignment="1">
      <alignment vertical="top" wrapText="1"/>
    </xf>
    <xf numFmtId="0" fontId="11" fillId="0" borderId="0" xfId="0" applyFont="1" applyAlignment="1">
      <alignment vertical="top"/>
    </xf>
    <xf numFmtId="0" fontId="11" fillId="0" borderId="0" xfId="0" applyFont="1"/>
    <xf numFmtId="0" fontId="11" fillId="3" borderId="1" xfId="0" applyFont="1" applyFill="1" applyBorder="1" applyAlignment="1">
      <alignment vertical="top" wrapText="1"/>
    </xf>
    <xf numFmtId="0" fontId="11" fillId="3" borderId="1" xfId="0" applyFont="1" applyFill="1" applyBorder="1" applyAlignment="1">
      <alignment vertical="top"/>
    </xf>
    <xf numFmtId="0" fontId="11" fillId="0" borderId="1" xfId="0" applyFont="1" applyBorder="1" applyAlignment="1">
      <alignment vertical="top"/>
    </xf>
    <xf numFmtId="0" fontId="11" fillId="0" borderId="1" xfId="0" applyFont="1" applyBorder="1" applyAlignment="1">
      <alignment vertical="top" wrapText="1"/>
    </xf>
    <xf numFmtId="165" fontId="11" fillId="0" borderId="1" xfId="1" applyNumberFormat="1" applyFont="1" applyBorder="1" applyAlignment="1">
      <alignment vertical="top"/>
    </xf>
    <xf numFmtId="0" fontId="11" fillId="2" borderId="1" xfId="0" applyFont="1" applyFill="1" applyBorder="1" applyAlignment="1">
      <alignment vertical="top" wrapText="1"/>
    </xf>
    <xf numFmtId="164" fontId="11" fillId="0" borderId="1" xfId="1" applyFont="1" applyBorder="1" applyAlignment="1">
      <alignment vertical="top"/>
    </xf>
    <xf numFmtId="0" fontId="11" fillId="2" borderId="1" xfId="0" applyFont="1" applyFill="1" applyBorder="1" applyAlignment="1">
      <alignment vertical="top"/>
    </xf>
    <xf numFmtId="0" fontId="21" fillId="9" borderId="1" xfId="0" applyFont="1" applyFill="1" applyBorder="1" applyAlignment="1">
      <alignment horizontal="center" vertical="top" wrapText="1"/>
    </xf>
    <xf numFmtId="0" fontId="21" fillId="9" borderId="1" xfId="0" applyFont="1" applyFill="1" applyBorder="1" applyAlignment="1">
      <alignment vertical="top" wrapText="1"/>
    </xf>
    <xf numFmtId="0" fontId="11" fillId="12" borderId="1" xfId="0" applyFont="1" applyFill="1" applyBorder="1" applyAlignment="1">
      <alignment vertical="top" wrapText="1"/>
    </xf>
    <xf numFmtId="0" fontId="11" fillId="12" borderId="1" xfId="0" applyFont="1" applyFill="1" applyBorder="1" applyAlignment="1">
      <alignment vertical="top"/>
    </xf>
    <xf numFmtId="0" fontId="22" fillId="0" borderId="1" xfId="0" applyFont="1" applyBorder="1"/>
    <xf numFmtId="0" fontId="22" fillId="0" borderId="23" xfId="0" applyFont="1" applyBorder="1"/>
    <xf numFmtId="0" fontId="23" fillId="0" borderId="24" xfId="0" applyFont="1" applyBorder="1" applyAlignment="1">
      <alignment wrapText="1"/>
    </xf>
    <xf numFmtId="0" fontId="23" fillId="0" borderId="24" xfId="0" applyFont="1" applyBorder="1"/>
    <xf numFmtId="0" fontId="23" fillId="13" borderId="24" xfId="0" applyFont="1" applyFill="1" applyBorder="1" applyAlignment="1">
      <alignment wrapText="1"/>
    </xf>
    <xf numFmtId="0" fontId="23" fillId="13" borderId="24" xfId="0" applyFont="1" applyFill="1" applyBorder="1"/>
    <xf numFmtId="9" fontId="23" fillId="0" borderId="24" xfId="0" applyNumberFormat="1" applyFont="1" applyBorder="1"/>
    <xf numFmtId="0" fontId="23" fillId="0" borderId="24" xfId="0" applyFont="1" applyBorder="1" applyAlignment="1">
      <alignment vertical="center" wrapText="1"/>
    </xf>
    <xf numFmtId="0" fontId="2" fillId="0" borderId="0" xfId="0" applyFont="1" applyAlignment="1">
      <alignment vertical="top" wrapText="1"/>
    </xf>
    <xf numFmtId="0" fontId="6" fillId="2" borderId="0" xfId="0" applyFont="1" applyFill="1" applyAlignment="1">
      <alignment vertical="top" wrapText="1"/>
    </xf>
    <xf numFmtId="0" fontId="6" fillId="0" borderId="0" xfId="0" applyFont="1" applyAlignment="1">
      <alignment vertical="top" wrapText="1"/>
    </xf>
    <xf numFmtId="0" fontId="7" fillId="2" borderId="0" xfId="0" applyFont="1" applyFill="1" applyAlignment="1">
      <alignment vertical="top" wrapText="1"/>
    </xf>
    <xf numFmtId="0" fontId="7" fillId="2" borderId="0" xfId="0" applyFont="1" applyFill="1" applyAlignment="1">
      <alignment vertical="top"/>
    </xf>
    <xf numFmtId="0" fontId="16" fillId="0" borderId="0" xfId="0" applyFont="1" applyAlignment="1">
      <alignment vertical="top" wrapText="1"/>
    </xf>
    <xf numFmtId="0" fontId="26" fillId="0" borderId="0" xfId="0" applyFont="1" applyAlignment="1">
      <alignment vertical="top" wrapText="1"/>
    </xf>
    <xf numFmtId="0" fontId="11" fillId="0" borderId="0" xfId="0" applyFont="1" applyAlignment="1">
      <alignment wrapText="1"/>
    </xf>
    <xf numFmtId="0" fontId="28" fillId="0" borderId="2" xfId="0" applyFont="1" applyBorder="1" applyAlignment="1">
      <alignment vertical="top" wrapText="1"/>
    </xf>
    <xf numFmtId="0" fontId="24" fillId="0" borderId="0" xfId="0" applyFont="1" applyAlignment="1">
      <alignment vertical="top" wrapText="1"/>
    </xf>
    <xf numFmtId="0" fontId="32" fillId="0" borderId="0" xfId="0" applyFont="1" applyAlignment="1">
      <alignment vertical="top" wrapText="1"/>
    </xf>
    <xf numFmtId="0" fontId="20" fillId="0" borderId="16" xfId="0" applyFont="1" applyBorder="1" applyAlignment="1">
      <alignment vertical="top" wrapText="1"/>
    </xf>
    <xf numFmtId="0" fontId="11" fillId="0" borderId="16" xfId="0" applyFont="1" applyBorder="1" applyAlignment="1">
      <alignment vertical="top"/>
    </xf>
    <xf numFmtId="0" fontId="11" fillId="0" borderId="16" xfId="0" applyFont="1" applyBorder="1" applyAlignment="1">
      <alignment vertical="top" wrapText="1"/>
    </xf>
    <xf numFmtId="0" fontId="11" fillId="0" borderId="25" xfId="0" applyFont="1" applyBorder="1" applyAlignment="1">
      <alignment vertical="top"/>
    </xf>
    <xf numFmtId="0" fontId="11" fillId="0" borderId="25" xfId="0" applyFont="1" applyBorder="1" applyAlignment="1">
      <alignment vertical="top" wrapText="1"/>
    </xf>
    <xf numFmtId="0" fontId="11" fillId="0" borderId="18" xfId="0" applyFont="1" applyBorder="1" applyAlignment="1">
      <alignment vertical="top"/>
    </xf>
    <xf numFmtId="0" fontId="28" fillId="0" borderId="16" xfId="0" applyFont="1" applyBorder="1" applyAlignment="1">
      <alignment vertical="top" wrapText="1"/>
    </xf>
    <xf numFmtId="0" fontId="28" fillId="0" borderId="26" xfId="0" applyFont="1" applyBorder="1" applyAlignment="1">
      <alignment vertical="top" wrapText="1"/>
    </xf>
    <xf numFmtId="0" fontId="11" fillId="0" borderId="4" xfId="0" applyFont="1" applyBorder="1" applyAlignment="1">
      <alignment vertical="top" wrapText="1"/>
    </xf>
    <xf numFmtId="165" fontId="11" fillId="0" borderId="4" xfId="1" applyNumberFormat="1" applyFont="1" applyBorder="1" applyAlignment="1">
      <alignment vertical="top"/>
    </xf>
    <xf numFmtId="0" fontId="11" fillId="0" borderId="27" xfId="0" applyFont="1" applyBorder="1" applyAlignment="1">
      <alignment vertical="top"/>
    </xf>
    <xf numFmtId="0" fontId="34" fillId="14" borderId="8" xfId="0" applyFont="1" applyFill="1" applyBorder="1" applyAlignment="1">
      <alignment wrapText="1" readingOrder="1"/>
    </xf>
    <xf numFmtId="0" fontId="39" fillId="14" borderId="5" xfId="0" applyFont="1" applyFill="1" applyBorder="1" applyAlignment="1">
      <alignment wrapText="1" readingOrder="1"/>
    </xf>
    <xf numFmtId="0" fontId="40" fillId="0" borderId="1" xfId="0" applyFont="1" applyBorder="1" applyAlignment="1">
      <alignment vertical="top" wrapText="1"/>
    </xf>
    <xf numFmtId="0" fontId="0" fillId="0" borderId="16" xfId="0" applyBorder="1"/>
    <xf numFmtId="0" fontId="41" fillId="0" borderId="16" xfId="0" applyFont="1" applyBorder="1"/>
    <xf numFmtId="9" fontId="0" fillId="0" borderId="16" xfId="0" applyNumberFormat="1" applyBorder="1"/>
    <xf numFmtId="0" fontId="42" fillId="0" borderId="0" xfId="0" applyFont="1"/>
    <xf numFmtId="0" fontId="1" fillId="4" borderId="0" xfId="0" applyFont="1" applyFill="1" applyAlignment="1">
      <alignment horizontal="left" vertical="top" wrapText="1"/>
    </xf>
    <xf numFmtId="0" fontId="43" fillId="12" borderId="16" xfId="0" applyFont="1" applyFill="1" applyBorder="1" applyAlignment="1">
      <alignment horizontal="center" vertical="center"/>
    </xf>
    <xf numFmtId="0" fontId="43" fillId="12" borderId="16" xfId="0" applyFont="1" applyFill="1" applyBorder="1" applyAlignment="1">
      <alignment horizontal="center" vertical="center" wrapText="1"/>
    </xf>
    <xf numFmtId="0" fontId="44" fillId="0" borderId="0" xfId="0" applyFont="1"/>
    <xf numFmtId="0" fontId="43" fillId="6" borderId="16" xfId="0" applyFont="1" applyFill="1" applyBorder="1" applyAlignment="1">
      <alignment vertical="center"/>
    </xf>
    <xf numFmtId="0" fontId="43" fillId="6" borderId="16" xfId="0" applyFont="1" applyFill="1" applyBorder="1" applyAlignment="1">
      <alignment vertical="center" wrapText="1"/>
    </xf>
    <xf numFmtId="0" fontId="45" fillId="6" borderId="16" xfId="0" applyFont="1" applyFill="1" applyBorder="1" applyAlignment="1">
      <alignment vertical="center"/>
    </xf>
    <xf numFmtId="0" fontId="43" fillId="6" borderId="16" xfId="0" applyFont="1" applyFill="1" applyBorder="1" applyAlignment="1">
      <alignment horizontal="center" vertical="center"/>
    </xf>
    <xf numFmtId="9" fontId="43" fillId="6" borderId="16" xfId="0" applyNumberFormat="1" applyFont="1" applyFill="1" applyBorder="1" applyAlignment="1">
      <alignment horizontal="center" vertical="center"/>
    </xf>
    <xf numFmtId="0" fontId="43" fillId="0" borderId="16" xfId="0" applyFont="1" applyBorder="1" applyAlignment="1">
      <alignment vertical="center"/>
    </xf>
    <xf numFmtId="0" fontId="46" fillId="0" borderId="16" xfId="0" applyFont="1" applyBorder="1" applyAlignment="1">
      <alignment vertical="center" wrapText="1"/>
    </xf>
    <xf numFmtId="0" fontId="43" fillId="0" borderId="16" xfId="0" applyFont="1" applyBorder="1" applyAlignment="1">
      <alignment vertical="center" wrapText="1"/>
    </xf>
    <xf numFmtId="0" fontId="43" fillId="0" borderId="16" xfId="0" applyFont="1" applyBorder="1" applyAlignment="1">
      <alignment horizontal="center" vertical="center"/>
    </xf>
    <xf numFmtId="0" fontId="45" fillId="0" borderId="16" xfId="0" applyFont="1" applyBorder="1" applyAlignment="1">
      <alignment vertical="center"/>
    </xf>
    <xf numFmtId="0" fontId="47" fillId="16" borderId="16" xfId="0" applyFont="1" applyFill="1" applyBorder="1" applyAlignment="1">
      <alignment readingOrder="1"/>
    </xf>
    <xf numFmtId="0" fontId="47" fillId="0" borderId="16" xfId="0" applyFont="1" applyBorder="1" applyAlignment="1">
      <alignment readingOrder="1"/>
    </xf>
    <xf numFmtId="0" fontId="47" fillId="16" borderId="16" xfId="0" applyFont="1" applyFill="1" applyBorder="1" applyAlignment="1">
      <alignment wrapText="1" readingOrder="1"/>
    </xf>
    <xf numFmtId="0" fontId="0" fillId="0" borderId="0" xfId="0" applyAlignment="1">
      <alignment wrapText="1"/>
    </xf>
    <xf numFmtId="0" fontId="48" fillId="15" borderId="16" xfId="0" applyFont="1" applyFill="1" applyBorder="1" applyAlignment="1">
      <alignment readingOrder="1"/>
    </xf>
    <xf numFmtId="0" fontId="48" fillId="15" borderId="16" xfId="0" applyFont="1" applyFill="1" applyBorder="1" applyAlignment="1">
      <alignment wrapText="1" readingOrder="1"/>
    </xf>
    <xf numFmtId="0" fontId="13" fillId="14" borderId="16" xfId="0" applyFont="1" applyFill="1" applyBorder="1" applyAlignment="1">
      <alignment wrapText="1" readingOrder="1"/>
    </xf>
    <xf numFmtId="0" fontId="34" fillId="14" borderId="16" xfId="0" applyFont="1" applyFill="1" applyBorder="1" applyAlignment="1">
      <alignment wrapText="1" readingOrder="1"/>
    </xf>
    <xf numFmtId="0" fontId="35" fillId="0" borderId="16" xfId="0" applyFont="1" applyBorder="1" applyAlignment="1">
      <alignment wrapText="1" readingOrder="1"/>
    </xf>
    <xf numFmtId="0" fontId="36" fillId="0" borderId="16" xfId="0" applyFont="1" applyBorder="1" applyAlignment="1">
      <alignment wrapText="1" readingOrder="1"/>
    </xf>
    <xf numFmtId="3" fontId="35" fillId="0" borderId="16" xfId="0" applyNumberFormat="1" applyFont="1" applyBorder="1" applyAlignment="1">
      <alignment wrapText="1" readingOrder="1"/>
    </xf>
    <xf numFmtId="0" fontId="35" fillId="13" borderId="16" xfId="0" applyFont="1" applyFill="1" applyBorder="1" applyAlignment="1">
      <alignment wrapText="1" readingOrder="1"/>
    </xf>
    <xf numFmtId="0" fontId="23" fillId="0" borderId="16" xfId="0" applyFont="1" applyBorder="1" applyAlignment="1">
      <alignment wrapText="1"/>
    </xf>
    <xf numFmtId="0" fontId="38" fillId="0" borderId="16" xfId="0" applyFont="1" applyBorder="1" applyAlignment="1">
      <alignment wrapText="1" readingOrder="1"/>
    </xf>
    <xf numFmtId="0" fontId="51" fillId="0" borderId="16" xfId="0" applyFont="1" applyBorder="1"/>
    <xf numFmtId="0" fontId="51" fillId="0" borderId="16" xfId="0" applyFont="1" applyBorder="1" applyAlignment="1">
      <alignment wrapText="1"/>
    </xf>
    <xf numFmtId="4" fontId="51" fillId="0" borderId="16" xfId="0" applyNumberFormat="1" applyFont="1" applyBorder="1" applyAlignment="1">
      <alignment wrapText="1"/>
    </xf>
    <xf numFmtId="0" fontId="23" fillId="0" borderId="1" xfId="0" applyFont="1" applyBorder="1" applyAlignment="1">
      <alignment wrapText="1"/>
    </xf>
    <xf numFmtId="0" fontId="11" fillId="0" borderId="19" xfId="0" applyFont="1" applyBorder="1" applyAlignment="1">
      <alignment vertical="top"/>
    </xf>
    <xf numFmtId="3" fontId="11" fillId="0" borderId="0" xfId="0" applyNumberFormat="1" applyFont="1"/>
    <xf numFmtId="0" fontId="11" fillId="2" borderId="19" xfId="0" applyFont="1" applyFill="1" applyBorder="1" applyAlignment="1">
      <alignment vertical="top"/>
    </xf>
    <xf numFmtId="0" fontId="11" fillId="0" borderId="29" xfId="0" applyFont="1" applyBorder="1" applyAlignment="1">
      <alignment vertical="top"/>
    </xf>
    <xf numFmtId="0" fontId="11" fillId="7" borderId="0" xfId="0" applyFont="1" applyFill="1"/>
    <xf numFmtId="0" fontId="22" fillId="7" borderId="2" xfId="0" applyFont="1" applyFill="1" applyBorder="1"/>
    <xf numFmtId="0" fontId="22" fillId="7" borderId="28" xfId="0" applyFont="1" applyFill="1" applyBorder="1"/>
    <xf numFmtId="0" fontId="22" fillId="7" borderId="0" xfId="0" applyFont="1" applyFill="1"/>
    <xf numFmtId="0" fontId="20" fillId="7" borderId="16" xfId="0" applyFont="1" applyFill="1" applyBorder="1" applyAlignment="1">
      <alignment wrapText="1"/>
    </xf>
    <xf numFmtId="0" fontId="23" fillId="7" borderId="1" xfId="0" applyFont="1" applyFill="1" applyBorder="1" applyAlignment="1">
      <alignment wrapText="1"/>
    </xf>
    <xf numFmtId="0" fontId="23" fillId="7" borderId="23" xfId="0" applyFont="1" applyFill="1" applyBorder="1"/>
    <xf numFmtId="3" fontId="23" fillId="7" borderId="30" xfId="0" applyNumberFormat="1" applyFont="1" applyFill="1" applyBorder="1" applyAlignment="1">
      <alignment horizontal="left"/>
    </xf>
    <xf numFmtId="3" fontId="11" fillId="7" borderId="16" xfId="0" applyNumberFormat="1" applyFont="1" applyFill="1" applyBorder="1"/>
    <xf numFmtId="0" fontId="23" fillId="7" borderId="4" xfId="0" applyFont="1" applyFill="1" applyBorder="1"/>
    <xf numFmtId="0" fontId="23" fillId="7" borderId="24" xfId="0" applyFont="1" applyFill="1" applyBorder="1"/>
    <xf numFmtId="0" fontId="23" fillId="7" borderId="31" xfId="0" applyFont="1" applyFill="1" applyBorder="1"/>
    <xf numFmtId="0" fontId="23" fillId="7" borderId="24" xfId="0" applyFont="1" applyFill="1" applyBorder="1" applyAlignment="1">
      <alignment wrapText="1"/>
    </xf>
    <xf numFmtId="0" fontId="23" fillId="7" borderId="4" xfId="0" applyFont="1" applyFill="1" applyBorder="1" applyAlignment="1">
      <alignment wrapText="1"/>
    </xf>
    <xf numFmtId="0" fontId="23" fillId="7" borderId="2" xfId="0" applyFont="1" applyFill="1" applyBorder="1"/>
    <xf numFmtId="0" fontId="23" fillId="7" borderId="28" xfId="0" applyFont="1" applyFill="1" applyBorder="1"/>
    <xf numFmtId="0" fontId="23" fillId="7" borderId="0" xfId="0" applyFont="1" applyFill="1"/>
    <xf numFmtId="0" fontId="23" fillId="7" borderId="1" xfId="0" applyFont="1" applyFill="1" applyBorder="1"/>
    <xf numFmtId="0" fontId="22" fillId="4" borderId="28" xfId="0" applyFont="1" applyFill="1" applyBorder="1"/>
    <xf numFmtId="0" fontId="23" fillId="4" borderId="23" xfId="0" applyFont="1" applyFill="1" applyBorder="1"/>
    <xf numFmtId="0" fontId="23" fillId="4" borderId="24" xfId="0" applyFont="1" applyFill="1" applyBorder="1"/>
    <xf numFmtId="0" fontId="23" fillId="4" borderId="28" xfId="0" applyFont="1" applyFill="1" applyBorder="1"/>
    <xf numFmtId="0" fontId="23" fillId="4" borderId="1" xfId="0" applyFont="1" applyFill="1" applyBorder="1"/>
    <xf numFmtId="0" fontId="23" fillId="4" borderId="4" xfId="0" applyFont="1" applyFill="1" applyBorder="1"/>
    <xf numFmtId="166" fontId="0" fillId="0" borderId="0" xfId="0" applyNumberFormat="1"/>
    <xf numFmtId="0" fontId="22" fillId="7" borderId="19" xfId="0" applyFont="1" applyFill="1" applyBorder="1" applyAlignment="1">
      <alignment wrapText="1"/>
    </xf>
    <xf numFmtId="0" fontId="23" fillId="7" borderId="19" xfId="0" applyFont="1" applyFill="1" applyBorder="1" applyAlignment="1">
      <alignment wrapText="1"/>
    </xf>
    <xf numFmtId="0" fontId="11" fillId="17" borderId="16" xfId="0" applyFont="1" applyFill="1" applyBorder="1" applyAlignment="1">
      <alignment wrapText="1"/>
    </xf>
    <xf numFmtId="3" fontId="11" fillId="17" borderId="16" xfId="0" applyNumberFormat="1" applyFont="1" applyFill="1" applyBorder="1"/>
    <xf numFmtId="3" fontId="11" fillId="2" borderId="16" xfId="0" applyNumberFormat="1" applyFont="1" applyFill="1" applyBorder="1"/>
    <xf numFmtId="0" fontId="11" fillId="4" borderId="1" xfId="0" applyFont="1" applyFill="1" applyBorder="1" applyAlignment="1">
      <alignment vertical="top"/>
    </xf>
    <xf numFmtId="0" fontId="23" fillId="2" borderId="28" xfId="0" applyFont="1" applyFill="1" applyBorder="1"/>
    <xf numFmtId="9" fontId="43" fillId="0" borderId="16" xfId="0" applyNumberFormat="1" applyFont="1" applyBorder="1" applyAlignment="1">
      <alignment horizontal="center" vertical="center"/>
    </xf>
    <xf numFmtId="15" fontId="45" fillId="0" borderId="16" xfId="0" applyNumberFormat="1" applyFont="1" applyBorder="1" applyAlignment="1">
      <alignment vertical="center" wrapText="1"/>
    </xf>
    <xf numFmtId="0" fontId="52" fillId="13" borderId="23" xfId="0" applyFont="1" applyFill="1" applyBorder="1" applyAlignment="1">
      <alignment wrapText="1"/>
    </xf>
    <xf numFmtId="0" fontId="52" fillId="0" borderId="23" xfId="0" applyFont="1" applyBorder="1" applyAlignment="1">
      <alignment wrapText="1"/>
    </xf>
    <xf numFmtId="0" fontId="23" fillId="0" borderId="0" xfId="0" applyFont="1"/>
    <xf numFmtId="0" fontId="21" fillId="13" borderId="24" xfId="0" applyFont="1" applyFill="1" applyBorder="1"/>
    <xf numFmtId="0" fontId="21" fillId="0" borderId="24" xfId="0" applyFont="1" applyBorder="1"/>
    <xf numFmtId="0" fontId="21" fillId="18" borderId="24" xfId="0" applyFont="1" applyFill="1" applyBorder="1"/>
    <xf numFmtId="0" fontId="21" fillId="0" borderId="0" xfId="0" applyFont="1"/>
    <xf numFmtId="4" fontId="21" fillId="0" borderId="0" xfId="0" applyNumberFormat="1" applyFont="1"/>
    <xf numFmtId="0" fontId="52" fillId="0" borderId="3" xfId="0" applyFont="1" applyBorder="1" applyAlignment="1">
      <alignment horizontal="left" vertical="top" wrapText="1"/>
    </xf>
    <xf numFmtId="0" fontId="52" fillId="0" borderId="32" xfId="0" applyFont="1" applyBorder="1" applyAlignment="1">
      <alignment horizontal="left" vertical="top" wrapText="1"/>
    </xf>
    <xf numFmtId="0" fontId="21" fillId="0" borderId="23" xfId="0" applyFont="1" applyBorder="1" applyAlignment="1">
      <alignment horizontal="left" vertical="top" wrapText="1"/>
    </xf>
    <xf numFmtId="0" fontId="21" fillId="0" borderId="24" xfId="0" applyFont="1" applyBorder="1" applyAlignment="1">
      <alignment horizontal="left" vertical="top" wrapText="1"/>
    </xf>
    <xf numFmtId="0" fontId="53" fillId="0" borderId="24" xfId="0" applyFont="1" applyBorder="1" applyAlignment="1">
      <alignment horizontal="left" vertical="top" wrapText="1"/>
    </xf>
    <xf numFmtId="0" fontId="21" fillId="0" borderId="0" xfId="0" applyFont="1" applyAlignment="1">
      <alignment horizontal="left" vertical="top" wrapText="1"/>
    </xf>
    <xf numFmtId="0" fontId="0" fillId="0" borderId="0" xfId="0" applyAlignment="1">
      <alignment horizontal="left" vertical="top" wrapText="1"/>
    </xf>
    <xf numFmtId="0" fontId="23" fillId="0" borderId="0" xfId="0" applyFont="1" applyAlignment="1">
      <alignment wrapText="1"/>
    </xf>
    <xf numFmtId="1" fontId="21" fillId="0" borderId="24" xfId="0" applyNumberFormat="1" applyFont="1" applyBorder="1"/>
    <xf numFmtId="1" fontId="21" fillId="18" borderId="24" xfId="0" applyNumberFormat="1" applyFont="1" applyFill="1" applyBorder="1"/>
    <xf numFmtId="1" fontId="21" fillId="6" borderId="24" xfId="0" applyNumberFormat="1" applyFont="1" applyFill="1" applyBorder="1"/>
    <xf numFmtId="0" fontId="21" fillId="6" borderId="24" xfId="0" applyFont="1" applyFill="1" applyBorder="1"/>
    <xf numFmtId="43" fontId="21" fillId="0" borderId="24" xfId="0" applyNumberFormat="1" applyFont="1" applyBorder="1"/>
    <xf numFmtId="0" fontId="52" fillId="2" borderId="23" xfId="0" applyFont="1" applyFill="1" applyBorder="1" applyAlignment="1">
      <alignment wrapText="1"/>
    </xf>
    <xf numFmtId="43" fontId="21" fillId="2" borderId="24" xfId="0" applyNumberFormat="1" applyFont="1" applyFill="1" applyBorder="1"/>
    <xf numFmtId="4" fontId="21" fillId="2" borderId="0" xfId="0" applyNumberFormat="1" applyFont="1" applyFill="1"/>
    <xf numFmtId="0" fontId="0" fillId="2" borderId="0" xfId="0" applyFill="1"/>
    <xf numFmtId="166" fontId="21" fillId="2" borderId="24" xfId="0" applyNumberFormat="1" applyFont="1" applyFill="1" applyBorder="1"/>
    <xf numFmtId="0" fontId="21" fillId="2" borderId="24" xfId="0" applyFont="1" applyFill="1" applyBorder="1"/>
    <xf numFmtId="1" fontId="23" fillId="0" borderId="0" xfId="0" applyNumberFormat="1" applyFont="1"/>
    <xf numFmtId="3" fontId="17" fillId="2" borderId="16" xfId="0" applyNumberFormat="1" applyFont="1" applyFill="1" applyBorder="1"/>
    <xf numFmtId="0" fontId="21" fillId="0" borderId="3" xfId="0" applyFont="1" applyBorder="1" applyAlignment="1">
      <alignment horizontal="left" vertical="top" wrapText="1"/>
    </xf>
    <xf numFmtId="0" fontId="21" fillId="0" borderId="2" xfId="0" applyFont="1" applyBorder="1" applyAlignment="1">
      <alignment horizontal="left" vertical="top" wrapText="1"/>
    </xf>
    <xf numFmtId="0" fontId="21" fillId="0" borderId="33" xfId="0" applyFont="1" applyBorder="1" applyAlignment="1">
      <alignment horizontal="left" vertical="top" wrapText="1"/>
    </xf>
    <xf numFmtId="0" fontId="1" fillId="4" borderId="0" xfId="0" applyFont="1" applyFill="1" applyAlignment="1">
      <alignment horizontal="left" vertical="top" wrapText="1"/>
    </xf>
    <xf numFmtId="0" fontId="11" fillId="0" borderId="1" xfId="0" applyFont="1" applyBorder="1" applyAlignment="1">
      <alignment horizontal="left" vertical="top" wrapText="1"/>
    </xf>
    <xf numFmtId="0" fontId="20" fillId="0" borderId="16" xfId="0" applyFont="1" applyBorder="1" applyAlignment="1">
      <alignment horizontal="center" vertical="top"/>
    </xf>
    <xf numFmtId="0" fontId="20" fillId="0" borderId="22" xfId="0" applyFont="1" applyBorder="1" applyAlignment="1">
      <alignment horizontal="center" vertical="top"/>
    </xf>
    <xf numFmtId="0" fontId="20" fillId="0" borderId="4" xfId="0" applyFont="1" applyBorder="1" applyAlignment="1">
      <alignment horizontal="center" vertical="top"/>
    </xf>
    <xf numFmtId="0" fontId="11" fillId="7" borderId="16" xfId="0" applyFont="1" applyFill="1" applyBorder="1" applyAlignment="1">
      <alignment horizontal="center"/>
    </xf>
    <xf numFmtId="0" fontId="11" fillId="6" borderId="19" xfId="0" applyFont="1" applyFill="1" applyBorder="1" applyAlignment="1">
      <alignment horizontal="center"/>
    </xf>
    <xf numFmtId="0" fontId="11" fillId="6" borderId="20" xfId="0" applyFont="1" applyFill="1" applyBorder="1" applyAlignment="1">
      <alignment horizontal="center"/>
    </xf>
    <xf numFmtId="0" fontId="11" fillId="4" borderId="19" xfId="0" applyFont="1" applyFill="1" applyBorder="1" applyAlignment="1">
      <alignment horizontal="center"/>
    </xf>
    <xf numFmtId="0" fontId="11" fillId="4" borderId="20" xfId="0" applyFont="1" applyFill="1" applyBorder="1" applyAlignment="1">
      <alignment horizontal="center"/>
    </xf>
    <xf numFmtId="0" fontId="11" fillId="4" borderId="21" xfId="0" applyFont="1" applyFill="1" applyBorder="1" applyAlignment="1">
      <alignment horizontal="center"/>
    </xf>
    <xf numFmtId="0" fontId="20" fillId="0" borderId="3" xfId="0" applyFont="1" applyBorder="1" applyAlignment="1">
      <alignment horizontal="center" vertical="top"/>
    </xf>
    <xf numFmtId="0" fontId="11" fillId="4" borderId="16" xfId="0" applyFont="1" applyFill="1" applyBorder="1" applyAlignment="1">
      <alignment horizontal="center"/>
    </xf>
    <xf numFmtId="0" fontId="0" fillId="0" borderId="16" xfId="0" applyBorder="1" applyAlignment="1">
      <alignment horizontal="center"/>
    </xf>
    <xf numFmtId="0" fontId="35" fillId="0" borderId="16" xfId="0" applyFont="1" applyBorder="1" applyAlignment="1">
      <alignment horizontal="center" wrapText="1" readingOrder="1"/>
    </xf>
    <xf numFmtId="9" fontId="35" fillId="0" borderId="16" xfId="0" applyNumberFormat="1" applyFont="1" applyBorder="1" applyAlignment="1">
      <alignment wrapText="1" readingOrder="1"/>
    </xf>
    <xf numFmtId="0" fontId="35" fillId="0" borderId="16" xfId="0" applyFont="1" applyBorder="1" applyAlignment="1">
      <alignment wrapText="1" readingOrder="1"/>
    </xf>
    <xf numFmtId="3" fontId="35" fillId="0" borderId="16" xfId="0" applyNumberFormat="1" applyFont="1" applyBorder="1" applyAlignment="1">
      <alignment wrapText="1" readingOrder="1"/>
    </xf>
    <xf numFmtId="0" fontId="35" fillId="0" borderId="16" xfId="0" applyFont="1" applyBorder="1" applyAlignment="1">
      <alignment horizontal="center" readingOrder="1"/>
    </xf>
    <xf numFmtId="0" fontId="43" fillId="6" borderId="16" xfId="0" applyFont="1" applyFill="1" applyBorder="1" applyAlignment="1">
      <alignment vertical="center" wrapText="1"/>
    </xf>
    <xf numFmtId="0" fontId="43" fillId="6" borderId="16" xfId="0" applyFont="1" applyFill="1" applyBorder="1" applyAlignment="1">
      <alignment vertical="center"/>
    </xf>
    <xf numFmtId="0" fontId="43" fillId="0" borderId="16" xfId="0" applyFont="1" applyBorder="1" applyAlignment="1">
      <alignment vertical="center" wrapText="1"/>
    </xf>
    <xf numFmtId="0" fontId="43" fillId="0" borderId="16" xfId="0" applyFont="1" applyBorder="1" applyAlignment="1">
      <alignment vertical="center"/>
    </xf>
    <xf numFmtId="0" fontId="4" fillId="0" borderId="15" xfId="0" applyFont="1" applyBorder="1" applyAlignment="1">
      <alignment vertical="center" wrapText="1"/>
    </xf>
    <xf numFmtId="0" fontId="5" fillId="5" borderId="5" xfId="0" applyFont="1" applyFill="1" applyBorder="1" applyAlignment="1">
      <alignment vertical="center"/>
    </xf>
    <xf numFmtId="0" fontId="5" fillId="5" borderId="6" xfId="0" applyFont="1" applyFill="1" applyBorder="1" applyAlignment="1">
      <alignment vertical="center"/>
    </xf>
    <xf numFmtId="0" fontId="5" fillId="5" borderId="13"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6" fillId="0" borderId="6" xfId="0" applyFont="1" applyBorder="1" applyAlignment="1">
      <alignment vertical="center" wrapText="1"/>
    </xf>
    <xf numFmtId="0" fontId="6" fillId="0" borderId="12" xfId="0" applyFont="1" applyBorder="1" applyAlignment="1">
      <alignment vertical="center" wrapText="1"/>
    </xf>
    <xf numFmtId="4" fontId="7" fillId="0" borderId="5" xfId="0" applyNumberFormat="1" applyFont="1" applyBorder="1" applyAlignment="1">
      <alignment horizontal="right" vertical="center"/>
    </xf>
    <xf numFmtId="4" fontId="7" fillId="0" borderId="12" xfId="0" applyNumberFormat="1" applyFont="1" applyBorder="1" applyAlignment="1">
      <alignment horizontal="right" vertical="center"/>
    </xf>
    <xf numFmtId="0" fontId="3" fillId="0" borderId="5" xfId="0" applyFont="1" applyBorder="1" applyAlignment="1">
      <alignment vertical="center"/>
    </xf>
    <xf numFmtId="0" fontId="3" fillId="0" borderId="12" xfId="0" applyFont="1" applyBorder="1" applyAlignment="1">
      <alignment vertical="center"/>
    </xf>
    <xf numFmtId="0" fontId="23" fillId="0" borderId="2" xfId="0" applyFont="1" applyBorder="1" applyAlignment="1">
      <alignment vertical="center" wrapText="1"/>
    </xf>
    <xf numFmtId="0" fontId="23" fillId="0" borderId="4" xfId="0" applyFont="1" applyBorder="1" applyAlignment="1">
      <alignment vertical="center" wrapText="1"/>
    </xf>
    <xf numFmtId="0" fontId="0" fillId="7" borderId="16" xfId="0" applyFill="1" applyBorder="1" applyAlignment="1">
      <alignment horizontal="center" vertical="top"/>
    </xf>
    <xf numFmtId="0" fontId="0" fillId="0" borderId="17" xfId="0" applyBorder="1" applyAlignment="1">
      <alignment horizontal="center" vertical="top"/>
    </xf>
    <xf numFmtId="0" fontId="0" fillId="0" borderId="18" xfId="0" applyBorder="1" applyAlignment="1">
      <alignment horizontal="center" vertical="top"/>
    </xf>
    <xf numFmtId="0" fontId="0" fillId="4" borderId="19" xfId="0" applyFill="1" applyBorder="1" applyAlignment="1">
      <alignment horizontal="center" vertical="top"/>
    </xf>
    <xf numFmtId="0" fontId="0" fillId="4" borderId="20" xfId="0" applyFill="1" applyBorder="1" applyAlignment="1">
      <alignment horizontal="center" vertical="top"/>
    </xf>
    <xf numFmtId="0" fontId="0" fillId="4" borderId="21" xfId="0" applyFill="1" applyBorder="1" applyAlignment="1">
      <alignment horizontal="center" vertical="top"/>
    </xf>
    <xf numFmtId="0" fontId="0" fillId="6" borderId="19" xfId="0" applyFill="1" applyBorder="1" applyAlignment="1">
      <alignment horizontal="center" vertical="top"/>
    </xf>
    <xf numFmtId="0" fontId="0" fillId="6" borderId="20" xfId="0" applyFill="1" applyBorder="1" applyAlignment="1">
      <alignment horizontal="center" vertical="top"/>
    </xf>
    <xf numFmtId="0" fontId="0" fillId="6" borderId="21" xfId="0" applyFill="1" applyBorder="1" applyAlignment="1">
      <alignment horizontal="center" vertical="top"/>
    </xf>
    <xf numFmtId="0" fontId="11" fillId="3" borderId="1" xfId="0" applyFont="1" applyFill="1" applyBorder="1" applyAlignment="1">
      <alignment horizontal="left" vertical="top" wrapText="1"/>
    </xf>
    <xf numFmtId="0" fontId="21" fillId="10" borderId="1" xfId="0" applyFont="1" applyFill="1" applyBorder="1" applyAlignment="1">
      <alignment horizontal="center" vertical="top" wrapText="1"/>
    </xf>
    <xf numFmtId="0" fontId="21" fillId="9" borderId="1" xfId="0" applyFont="1" applyFill="1" applyBorder="1" applyAlignment="1">
      <alignment horizontal="left" vertical="top" wrapText="1"/>
    </xf>
    <xf numFmtId="0" fontId="21" fillId="11" borderId="1" xfId="0" applyFont="1" applyFill="1" applyBorder="1" applyAlignment="1">
      <alignment horizontal="center" vertical="top"/>
    </xf>
    <xf numFmtId="0" fontId="21" fillId="9" borderId="1" xfId="0" applyFont="1" applyFill="1" applyBorder="1" applyAlignment="1">
      <alignment horizontal="center" vertical="top" wrapText="1"/>
    </xf>
    <xf numFmtId="0" fontId="20" fillId="3" borderId="1" xfId="0" applyFont="1" applyFill="1" applyBorder="1" applyAlignment="1">
      <alignment horizontal="center" vertical="top" wrapText="1"/>
    </xf>
    <xf numFmtId="0" fontId="20" fillId="3" borderId="1" xfId="0" applyFont="1" applyFill="1" applyBorder="1" applyAlignment="1">
      <alignment horizontal="center" vertical="top"/>
    </xf>
    <xf numFmtId="0" fontId="19" fillId="8" borderId="1" xfId="2" applyBorder="1" applyAlignment="1">
      <alignment horizontal="center" vertical="top"/>
    </xf>
    <xf numFmtId="0" fontId="3" fillId="0" borderId="6" xfId="0" applyFont="1" applyBorder="1" applyAlignment="1"/>
    <xf numFmtId="0" fontId="3" fillId="0" borderId="12" xfId="0" applyFont="1" applyBorder="1" applyAlignment="1"/>
    <xf numFmtId="0" fontId="23" fillId="0" borderId="2" xfId="0" applyFont="1" applyBorder="1" applyAlignment="1"/>
    <xf numFmtId="0" fontId="23" fillId="0" borderId="4" xfId="0" applyFont="1" applyBorder="1" applyAlignment="1"/>
  </cellXfs>
  <cellStyles count="3">
    <cellStyle name="Comma" xfId="1" builtinId="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hmed Adam" id="{B8395436-DAF7-4684-91C2-E8FFC16FB8FE}" userId="ahmed.adam@undp.org" providerId="PeoplePicker"/>
  <person displayName="Amna Tameem" id="{7B034B44-85A3-4219-81C2-7528955B42DA}" userId="amna.tameem@undp.org" providerId="PeoplePicker"/>
  <person displayName="Isaac Asare" id="{E78DE3FF-5FC1-45CC-8775-2185AA6607E0}" userId="isaac.asare@undp.org" providerId="PeoplePicker"/>
  <person displayName="Yassir Zahir" id="{73898724-0205-4221-AAF3-440BE766B2BA}" userId="yassir.zahir@undp.org" providerId="PeoplePicker"/>
  <person displayName="Tarig Abdallah" id="{5D57EA4C-0297-4FD5-93DC-DFEF41A5D5B7}" userId="tarig.abdallah@undp.org" providerId="PeoplePicker"/>
  <person displayName="Abdalla Ali Abdalla Ibrahim" id="{ED12E4A3-311A-4F61-95A8-1FC8946BCFC9}" userId="abdalla.ali.abdalla.ibrahim@undp.org" providerId="PeoplePicker"/>
  <person displayName="Amna Tameem" id="{A03E5C9E-B0FB-4E9E-8CFE-0686FB3DCBC1}" userId="S::amna.tameem@undp.org::c053bd61-625b-4610-a707-4253496ad460" providerId="AD"/>
  <person displayName="Yassir Zahir" id="{C553D8CE-AAB9-400E-97C5-49E23E2C9F36}" userId="S::yassir.zahir@undp.org::882d65af-ac7a-4a00-82f5-53e867ecd59d" providerId="AD"/>
  <person displayName="Marrian Gebreselassie" id="{7A7BEEE2-D1A8-4C7F-82E8-FFC77755DBCA}"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S17" dT="2026-10-10T20:27:30.23" personId="{7A7BEEE2-D1A8-4C7F-82E8-FFC77755DBCA}" id="{77B149E0-5EA4-4F1E-A34C-61B277FC4258}">
    <text>Actual is 240; double reporting by DPI from first report and second report</text>
  </threadedComment>
  <threadedComment ref="N21" dT="2026-04-20T23:11:22.88" personId="{7A7BEEE2-D1A8-4C7F-82E8-FFC77755DBCA}" id="{E75420F6-BFDC-467E-A8A2-664E82CDAF71}">
    <text>Not counted due to lack of adequate supportive documents</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6-04-20T14:56:47.20" personId="{7A7BEEE2-D1A8-4C7F-82E8-FFC77755DBCA}" id="{BECFC153-DB15-4163-AEB5-A930D34C6FAA}">
    <text>@Tarig Abdallah / @Ahmed Adam  Most important part. Please consider lights installed in same area to avoid double counting</text>
    <mentions>
      <mention mentionpersonId="{5D57EA4C-0297-4FD5-93DC-DFEF41A5D5B7}" mentionId="{6F6E75FD-4E3B-41BC-AFA2-7BEE3E7DFCFA}" startIndex="0" length="15"/>
      <mention mentionpersonId="{B8395436-DAF7-4684-91C2-E8FFC16FB8FE}" mentionId="{CEFFBCF2-82D0-4341-9A72-547093BAD010}" startIndex="18" length="1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S1" dT="2026-04-20T14:57:38.31" personId="{7A7BEEE2-D1A8-4C7F-82E8-FFC77755DBCA}" id="{445343DF-2C47-4742-A0FD-9CF47D9EA5D8}">
    <text>@Ahmed Adam please confirm litres per hour or daily yeild or x8 ?</text>
    <mentions>
      <mention mentionpersonId="{B8395436-DAF7-4684-91C2-E8FFC16FB8FE}" mentionId="{17FDA98B-44B5-4117-AD64-3C6E7B4F70E5}" startIndex="0" length="11"/>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H5" dT="2026-08-26T12:58:19.69" personId="{7A7BEEE2-D1A8-4C7F-82E8-FFC77755DBCA}" id="{CE415E44-785A-4179-AF2C-95FC68705F83}">
    <text>@Yassir Zahir / @Amna Tameem please update percentages</text>
    <mentions>
      <mention mentionpersonId="{73898724-0205-4221-AAF3-440BE766B2BA}" mentionId="{AC672706-255F-44E3-B810-0D76496E41C3}" startIndex="0" length="13"/>
      <mention mentionpersonId="{7B034B44-85A3-4219-81C2-7528955B42DA}" mentionId="{B8F288C0-733B-4EBC-BEA0-4C738440134F}" startIndex="16" length="12"/>
    </mentions>
  </threadedComment>
  <threadedComment ref="H5" dT="2026-08-26T13:06:18.66" personId="{C553D8CE-AAB9-400E-97C5-49E23E2C9F36}" id="{F701BDC6-6261-4B5C-85CD-3EC0A56D3B33}" parentId="{CE415E44-785A-4179-AF2C-95FC68705F83}">
    <text>Please note that these 7 sites are completed and handed over to the associations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6-02-09T13:31:15.93" personId="{7A7BEEE2-D1A8-4C7F-82E8-FFC77755DBCA}" id="{FDABCA4E-A2B9-468D-9F97-2A2B5A15E298}">
    <text>@Isaac Asare / @Abdalla Ali Abdalla Ibrahim the order of the indicators does not match the activities + more than one activity contribute to an indicator; FYI as you review M&amp;E AWP</text>
    <mentions>
      <mention mentionpersonId="{E78DE3FF-5FC1-45CC-8775-2185AA6607E0}" mentionId="{1C0BC8EC-FD70-40A4-B207-FBE220BBB4A2}" startIndex="0" length="12"/>
      <mention mentionpersonId="{ED12E4A3-311A-4F61-95A8-1FC8946BCFC9}" mentionId="{17C65FFA-6A6B-4D44-A440-CB3F23674C48}" startIndex="15" length="28"/>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H6" dT="2025-11-30T12:42:38.99" personId="{7A7BEEE2-D1A8-4C7F-82E8-FFC77755DBCA}" id="{D9938941-EA25-42AE-8214-98C63C803EC9}" done="1">
    <text>@Amna Tameem  what database is this referring to?</text>
    <mentions>
      <mention mentionpersonId="{7B034B44-85A3-4219-81C2-7528955B42DA}" mentionId="{51DB6DE2-303B-4858-B0DD-0F48F312296B}" startIndex="0" length="12"/>
    </mentions>
  </threadedComment>
  <threadedComment ref="H6" dT="2025-11-30T12:50:09.46" personId="{A03E5C9E-B0FB-4E9E-8CFE-0686FB3DCBC1}" id="{B2509471-1C8E-4F92-8E12-5D3851456A93}" parentId="{D9938941-EA25-42AE-8214-98C63C803EC9}">
    <text xml:space="preserve">This is internal data based for NEF, we share the data collection sheet with all the IPs , waiting to receive the final registration form, </text>
  </threadedComment>
  <threadedComment ref="H6" dT="2025-11-30T13:15:16.79" personId="{7A7BEEE2-D1A8-4C7F-82E8-FFC77755DBCA}" id="{8E31403C-07B9-412B-A582-CBD0A151D607}" parentId="{D9938941-EA25-42AE-8214-98C63C803EC9}">
    <text>Thanks for clarifying!</text>
  </threadedComment>
  <threadedComment ref="E34" dT="2026-08-20T12:38:37.49" personId="{7A7BEEE2-D1A8-4C7F-82E8-FFC77755DBCA}" id="{80E2F62F-AA7D-41F0-84EF-F784D5E445CF}">
    <text>@Abdalla Ali Abdalla Ibrahim this is very concerning update from Tokar</text>
    <mentions>
      <mention mentionpersonId="{ED12E4A3-311A-4F61-95A8-1FC8946BCFC9}" mentionId="{2D4C7494-959E-49F3-A77C-996DBFCF77D7}" startIndex="0" length="28"/>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D1A0-5F6A-4E21-BAA9-FD1E14F0F968}">
  <dimension ref="A1:B18"/>
  <sheetViews>
    <sheetView zoomScale="110" zoomScaleNormal="110" zoomScaleSheetLayoutView="160" workbookViewId="0">
      <selection activeCell="C9" sqref="C9"/>
    </sheetView>
  </sheetViews>
  <sheetFormatPr defaultColWidth="8.7109375" defaultRowHeight="14.45"/>
  <cols>
    <col min="1" max="1" width="24.140625" customWidth="1"/>
    <col min="2" max="2" width="52.85546875" customWidth="1"/>
  </cols>
  <sheetData>
    <row r="1" spans="1:2" ht="29.1">
      <c r="A1" s="4" t="s">
        <v>0</v>
      </c>
      <c r="B1" s="5" t="s">
        <v>1</v>
      </c>
    </row>
    <row r="2" spans="1:2">
      <c r="A2" s="6" t="s">
        <v>2</v>
      </c>
      <c r="B2" s="7" t="s">
        <v>3</v>
      </c>
    </row>
    <row r="3" spans="1:2" ht="15">
      <c r="A3" s="6" t="s">
        <v>4</v>
      </c>
      <c r="B3" s="7" t="s">
        <v>5</v>
      </c>
    </row>
    <row r="4" spans="1:2">
      <c r="A4" s="6" t="s">
        <v>6</v>
      </c>
      <c r="B4" s="8">
        <v>45839</v>
      </c>
    </row>
    <row r="5" spans="1:2">
      <c r="A5" s="6" t="s">
        <v>7</v>
      </c>
      <c r="B5" s="8">
        <v>46568</v>
      </c>
    </row>
    <row r="6" spans="1:2">
      <c r="A6" s="6" t="s">
        <v>8</v>
      </c>
      <c r="B6" s="9" t="s">
        <v>9</v>
      </c>
    </row>
    <row r="7" spans="1:2">
      <c r="A7" s="6" t="s">
        <v>10</v>
      </c>
      <c r="B7" s="9" t="s">
        <v>11</v>
      </c>
    </row>
    <row r="8" spans="1:2">
      <c r="A8" s="6" t="s">
        <v>12</v>
      </c>
      <c r="B8" s="9" t="s">
        <v>13</v>
      </c>
    </row>
    <row r="9" spans="1:2" ht="18" customHeight="1">
      <c r="A9" s="6" t="s">
        <v>14</v>
      </c>
      <c r="B9" s="7" t="s">
        <v>15</v>
      </c>
    </row>
    <row r="10" spans="1:2">
      <c r="A10" s="2" t="s">
        <v>16</v>
      </c>
      <c r="B10" s="3"/>
    </row>
    <row r="11" spans="1:2">
      <c r="A11" s="202" t="s">
        <v>17</v>
      </c>
      <c r="B11" s="10" t="s">
        <v>18</v>
      </c>
    </row>
    <row r="12" spans="1:2">
      <c r="A12" s="202"/>
      <c r="B12" s="10" t="s">
        <v>19</v>
      </c>
    </row>
    <row r="13" spans="1:2" ht="15">
      <c r="A13" s="100"/>
      <c r="B13" s="10" t="s">
        <v>20</v>
      </c>
    </row>
    <row r="14" spans="1:2">
      <c r="A14" s="2" t="s">
        <v>21</v>
      </c>
      <c r="B14" s="3" t="s">
        <v>22</v>
      </c>
    </row>
    <row r="15" spans="1:2">
      <c r="A15" s="3"/>
      <c r="B15" s="3" t="s">
        <v>23</v>
      </c>
    </row>
    <row r="16" spans="1:2">
      <c r="A16" s="11" t="s">
        <v>24</v>
      </c>
      <c r="B16" s="10" t="s">
        <v>25</v>
      </c>
    </row>
    <row r="17" spans="1:2">
      <c r="A17" s="10"/>
      <c r="B17" s="10" t="s">
        <v>26</v>
      </c>
    </row>
    <row r="18" spans="1:2">
      <c r="B18" t="s">
        <v>27</v>
      </c>
    </row>
  </sheetData>
  <mergeCells count="1">
    <mergeCell ref="A11:A1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CB15-1CFF-4E15-9C9A-25455F37138B}">
  <dimension ref="A1:AT23"/>
  <sheetViews>
    <sheetView zoomScaleNormal="100" workbookViewId="0">
      <pane xSplit="2" topLeftCell="AM16" activePane="topRight" state="frozen"/>
      <selection pane="topRight" activeCell="AS17" sqref="AS17"/>
    </sheetView>
  </sheetViews>
  <sheetFormatPr defaultColWidth="8.7109375" defaultRowHeight="15" customHeight="1"/>
  <cols>
    <col min="1" max="1" width="16.140625" style="50" customWidth="1"/>
    <col min="2" max="2" width="56" style="50" customWidth="1"/>
    <col min="3" max="3" width="15.140625" style="50" customWidth="1"/>
    <col min="4" max="4" width="13.140625" style="50" customWidth="1"/>
    <col min="5" max="5" width="11.42578125" style="50" customWidth="1"/>
    <col min="6" max="6" width="15.42578125" style="50" customWidth="1"/>
    <col min="7" max="7" width="8.7109375" style="50" customWidth="1"/>
    <col min="8" max="8" width="17" style="50" customWidth="1"/>
    <col min="9" max="9" width="8.7109375" style="50" customWidth="1"/>
    <col min="10" max="10" width="11.5703125" style="50" customWidth="1"/>
    <col min="11" max="11" width="8.7109375" style="50" customWidth="1"/>
    <col min="12" max="12" width="15.42578125" style="50" customWidth="1"/>
    <col min="13" max="13" width="8.7109375" style="50" customWidth="1"/>
    <col min="14" max="14" width="15.42578125" style="50" customWidth="1"/>
    <col min="15" max="15" width="8.7109375" style="50" customWidth="1"/>
    <col min="16" max="16" width="12.7109375" style="50" customWidth="1"/>
    <col min="17" max="17" width="9.7109375" style="50" customWidth="1"/>
    <col min="18" max="18" width="13.42578125" style="50" customWidth="1"/>
    <col min="19" max="19" width="8.7109375" style="50" customWidth="1"/>
    <col min="20" max="20" width="14.140625" style="50" customWidth="1"/>
    <col min="21" max="21" width="10.140625" style="50" customWidth="1"/>
    <col min="22" max="22" width="16.28515625" style="50" customWidth="1"/>
    <col min="23" max="23" width="17.85546875" style="50" customWidth="1"/>
    <col min="24" max="24" width="17.28515625" style="50" customWidth="1"/>
    <col min="25" max="30" width="8.7109375" style="50"/>
    <col min="31" max="31" width="11.5703125" style="50" customWidth="1"/>
    <col min="32" max="32" width="8.7109375" style="50"/>
    <col min="33" max="33" width="30.140625" style="50" customWidth="1"/>
    <col min="34" max="16384" width="8.7109375" style="50"/>
  </cols>
  <sheetData>
    <row r="1" spans="1:45" ht="14.45" customHeight="1">
      <c r="A1" s="213" t="s">
        <v>28</v>
      </c>
      <c r="B1" s="213" t="s">
        <v>29</v>
      </c>
      <c r="C1" s="213" t="s">
        <v>30</v>
      </c>
      <c r="D1" s="205" t="s">
        <v>31</v>
      </c>
      <c r="E1" s="210" t="s">
        <v>24</v>
      </c>
      <c r="F1" s="211"/>
      <c r="G1" s="211"/>
      <c r="H1" s="211"/>
      <c r="I1" s="211"/>
      <c r="J1" s="212"/>
      <c r="K1" s="208" t="s">
        <v>17</v>
      </c>
      <c r="L1" s="209"/>
      <c r="M1" s="209"/>
      <c r="N1" s="209"/>
      <c r="O1" s="209"/>
      <c r="P1" s="209"/>
      <c r="Q1" s="207" t="s">
        <v>21</v>
      </c>
      <c r="R1" s="207"/>
      <c r="S1" s="207"/>
      <c r="T1" s="207"/>
      <c r="U1" s="204" t="s">
        <v>32</v>
      </c>
      <c r="V1" s="83"/>
      <c r="W1" s="132"/>
      <c r="X1" s="207" t="s">
        <v>33</v>
      </c>
      <c r="Y1" s="207"/>
      <c r="Z1" s="207"/>
      <c r="AA1" s="214" t="s">
        <v>34</v>
      </c>
      <c r="AB1" s="214"/>
      <c r="AC1" s="214"/>
      <c r="AD1" s="207" t="s">
        <v>21</v>
      </c>
      <c r="AE1" s="207"/>
      <c r="AF1" s="136"/>
      <c r="AG1" s="136"/>
      <c r="AI1" s="207" t="s">
        <v>33</v>
      </c>
      <c r="AJ1" s="207"/>
      <c r="AK1" s="207"/>
      <c r="AL1" s="214" t="s">
        <v>34</v>
      </c>
      <c r="AM1" s="214"/>
      <c r="AN1" s="214"/>
      <c r="AO1" s="207" t="s">
        <v>21</v>
      </c>
      <c r="AP1" s="207"/>
      <c r="AQ1" s="136"/>
      <c r="AR1" s="136"/>
    </row>
    <row r="2" spans="1:45" s="78" customFormat="1" ht="29.25">
      <c r="A2" s="206"/>
      <c r="B2" s="206"/>
      <c r="C2" s="206"/>
      <c r="D2" s="206"/>
      <c r="E2" s="79" t="s">
        <v>35</v>
      </c>
      <c r="F2" s="79" t="s">
        <v>36</v>
      </c>
      <c r="G2" s="79" t="s">
        <v>37</v>
      </c>
      <c r="H2" s="79" t="s">
        <v>38</v>
      </c>
      <c r="I2" s="79" t="s">
        <v>39</v>
      </c>
      <c r="J2" s="79" t="s">
        <v>40</v>
      </c>
      <c r="K2" s="79" t="s">
        <v>41</v>
      </c>
      <c r="L2" s="79" t="s">
        <v>42</v>
      </c>
      <c r="M2" s="79" t="s">
        <v>43</v>
      </c>
      <c r="N2" s="79" t="s">
        <v>44</v>
      </c>
      <c r="O2" s="79" t="s">
        <v>45</v>
      </c>
      <c r="P2" s="89" t="s">
        <v>46</v>
      </c>
      <c r="Q2" s="88" t="s">
        <v>47</v>
      </c>
      <c r="R2" s="88" t="s">
        <v>48</v>
      </c>
      <c r="S2" s="88" t="s">
        <v>49</v>
      </c>
      <c r="T2" s="88" t="s">
        <v>50</v>
      </c>
      <c r="U2" s="204"/>
      <c r="V2" s="84"/>
      <c r="W2" s="82" t="s">
        <v>51</v>
      </c>
      <c r="X2" s="137" t="s">
        <v>52</v>
      </c>
      <c r="Y2" s="138" t="s">
        <v>53</v>
      </c>
      <c r="Z2" s="138" t="s">
        <v>54</v>
      </c>
      <c r="AA2" s="154" t="s">
        <v>55</v>
      </c>
      <c r="AB2" s="154" t="s">
        <v>56</v>
      </c>
      <c r="AC2" s="154" t="s">
        <v>57</v>
      </c>
      <c r="AD2" s="138" t="s">
        <v>58</v>
      </c>
      <c r="AE2" s="139" t="s">
        <v>59</v>
      </c>
      <c r="AF2" s="140" t="s">
        <v>60</v>
      </c>
      <c r="AG2" s="161" t="s">
        <v>61</v>
      </c>
      <c r="AH2" s="163" t="s">
        <v>60</v>
      </c>
      <c r="AI2" s="137" t="s">
        <v>52</v>
      </c>
      <c r="AJ2" s="138" t="s">
        <v>53</v>
      </c>
      <c r="AK2" s="138" t="s">
        <v>54</v>
      </c>
      <c r="AL2" s="154" t="s">
        <v>55</v>
      </c>
      <c r="AM2" s="154" t="s">
        <v>56</v>
      </c>
      <c r="AN2" s="154" t="s">
        <v>57</v>
      </c>
      <c r="AO2" s="138" t="s">
        <v>58</v>
      </c>
      <c r="AP2" s="139" t="s">
        <v>59</v>
      </c>
      <c r="AQ2" s="140" t="s">
        <v>60</v>
      </c>
      <c r="AR2" s="161" t="s">
        <v>61</v>
      </c>
      <c r="AS2" s="163" t="s">
        <v>60</v>
      </c>
    </row>
    <row r="3" spans="1:45" ht="119.25" customHeight="1">
      <c r="A3" s="203" t="s">
        <v>62</v>
      </c>
      <c r="B3" s="54" t="s">
        <v>63</v>
      </c>
      <c r="C3" s="53">
        <v>15000</v>
      </c>
      <c r="D3" s="53"/>
      <c r="E3" s="53">
        <v>2000</v>
      </c>
      <c r="F3" s="54" t="s">
        <v>64</v>
      </c>
      <c r="G3" s="54">
        <v>2000</v>
      </c>
      <c r="H3" s="54" t="s">
        <v>65</v>
      </c>
      <c r="I3" s="54">
        <v>2000</v>
      </c>
      <c r="J3" s="54">
        <v>0</v>
      </c>
      <c r="K3" s="54">
        <v>2000</v>
      </c>
      <c r="L3" s="54" t="s">
        <v>66</v>
      </c>
      <c r="M3" s="54">
        <v>2000</v>
      </c>
      <c r="N3" s="54" t="s">
        <v>67</v>
      </c>
      <c r="O3" s="54">
        <v>1000</v>
      </c>
      <c r="P3" s="54" t="s">
        <v>68</v>
      </c>
      <c r="Q3" s="90">
        <v>2000</v>
      </c>
      <c r="R3" s="90" t="s">
        <v>69</v>
      </c>
      <c r="S3" s="90">
        <v>2000</v>
      </c>
      <c r="T3" s="90" t="s">
        <v>70</v>
      </c>
      <c r="U3" s="91">
        <f t="shared" ref="U3:U22" si="0">SUM(E3:S3)</f>
        <v>15000</v>
      </c>
      <c r="V3" s="92"/>
      <c r="W3" s="87">
        <f>1800+20+2000+1000+500+45+2200+275+500</f>
        <v>8340</v>
      </c>
      <c r="X3" s="141">
        <v>20</v>
      </c>
      <c r="Y3" s="142">
        <v>0</v>
      </c>
      <c r="Z3" s="142">
        <v>0</v>
      </c>
      <c r="AA3" s="155">
        <v>0</v>
      </c>
      <c r="AB3" s="155">
        <v>0</v>
      </c>
      <c r="AC3" s="155">
        <v>25</v>
      </c>
      <c r="AD3" s="142">
        <v>250</v>
      </c>
      <c r="AE3" s="143">
        <v>1270</v>
      </c>
      <c r="AF3" s="144">
        <f>X3+Y3+Z3+AA3+AB3+AC3+AD3+AE3</f>
        <v>1565</v>
      </c>
      <c r="AG3" s="162" t="s">
        <v>71</v>
      </c>
      <c r="AH3" s="164">
        <f>W3+AF3</f>
        <v>9905</v>
      </c>
      <c r="AI3" s="141">
        <v>300</v>
      </c>
      <c r="AJ3" s="142">
        <v>400</v>
      </c>
      <c r="AK3" s="142">
        <v>2000</v>
      </c>
      <c r="AL3" s="155">
        <v>0</v>
      </c>
      <c r="AM3" s="155">
        <v>150</v>
      </c>
      <c r="AN3" s="155">
        <v>0</v>
      </c>
      <c r="AO3" s="142">
        <v>0</v>
      </c>
      <c r="AP3" s="143">
        <v>0</v>
      </c>
      <c r="AQ3" s="144">
        <f>AI3+AJ3+AK3+AL3+AM3+AN3+AO3+AP3</f>
        <v>2850</v>
      </c>
      <c r="AR3" s="162" t="s">
        <v>71</v>
      </c>
      <c r="AS3" s="164">
        <f>AH3+AQ3</f>
        <v>12755</v>
      </c>
    </row>
    <row r="4" spans="1:45" ht="57.75" customHeight="1">
      <c r="A4" s="203"/>
      <c r="B4" s="54" t="s">
        <v>72</v>
      </c>
      <c r="C4" s="53">
        <v>8000</v>
      </c>
      <c r="D4" s="53"/>
      <c r="E4" s="53">
        <v>500</v>
      </c>
      <c r="F4" s="54" t="s">
        <v>73</v>
      </c>
      <c r="G4" s="54">
        <v>500</v>
      </c>
      <c r="H4" s="54"/>
      <c r="I4" s="54">
        <v>500</v>
      </c>
      <c r="J4" s="54">
        <v>0</v>
      </c>
      <c r="K4" s="54">
        <v>500</v>
      </c>
      <c r="L4" s="54"/>
      <c r="M4" s="54">
        <v>500</v>
      </c>
      <c r="N4" s="54"/>
      <c r="O4" s="54">
        <v>500</v>
      </c>
      <c r="P4" s="54"/>
      <c r="Q4" s="54">
        <v>500</v>
      </c>
      <c r="R4" s="54">
        <v>0</v>
      </c>
      <c r="S4" s="54">
        <v>500</v>
      </c>
      <c r="T4" s="54" t="s">
        <v>74</v>
      </c>
      <c r="U4" s="55">
        <f t="shared" si="0"/>
        <v>4000</v>
      </c>
      <c r="V4" s="85"/>
      <c r="W4" s="83">
        <f>250</f>
        <v>250</v>
      </c>
      <c r="X4" s="145">
        <v>180</v>
      </c>
      <c r="Y4" s="146">
        <v>0</v>
      </c>
      <c r="Z4" s="146">
        <v>0</v>
      </c>
      <c r="AA4" s="156">
        <v>0</v>
      </c>
      <c r="AB4" s="156">
        <v>0</v>
      </c>
      <c r="AC4" s="156">
        <v>0</v>
      </c>
      <c r="AD4" s="146">
        <v>0</v>
      </c>
      <c r="AE4" s="147">
        <v>660</v>
      </c>
      <c r="AF4" s="144">
        <f t="shared" ref="AF4:AF22" si="1">X4+Y4+Z4+AA4+AB4+AC4+AD4+AE4</f>
        <v>840</v>
      </c>
      <c r="AG4" s="162" t="s">
        <v>75</v>
      </c>
      <c r="AH4" s="164">
        <f>W4+AF4</f>
        <v>1090</v>
      </c>
      <c r="AI4" s="145"/>
      <c r="AJ4" s="146">
        <v>150</v>
      </c>
      <c r="AK4" s="146">
        <v>50</v>
      </c>
      <c r="AL4" s="156"/>
      <c r="AM4" s="156">
        <v>500</v>
      </c>
      <c r="AN4" s="156"/>
      <c r="AO4" s="146"/>
      <c r="AP4" s="147"/>
      <c r="AQ4" s="144">
        <f t="shared" ref="AQ4:AQ5" si="2">AI4+AJ4+AK4+AL4+AM4+AN4+AO4+AP4</f>
        <v>700</v>
      </c>
      <c r="AR4" s="162" t="s">
        <v>75</v>
      </c>
      <c r="AS4" s="164">
        <f>AH4+AQ4</f>
        <v>1790</v>
      </c>
    </row>
    <row r="5" spans="1:45" ht="60.75" customHeight="1">
      <c r="A5" s="203"/>
      <c r="B5" s="54" t="s">
        <v>76</v>
      </c>
      <c r="C5" s="166">
        <v>12</v>
      </c>
      <c r="D5" s="53"/>
      <c r="E5" s="53">
        <v>2</v>
      </c>
      <c r="F5" s="54"/>
      <c r="G5" s="54">
        <v>2</v>
      </c>
      <c r="H5" s="54"/>
      <c r="I5" s="54">
        <v>2</v>
      </c>
      <c r="J5" s="54">
        <v>0</v>
      </c>
      <c r="K5" s="54">
        <v>2</v>
      </c>
      <c r="L5" s="54"/>
      <c r="M5" s="54">
        <v>2</v>
      </c>
      <c r="N5" s="54" t="s">
        <v>77</v>
      </c>
      <c r="O5" s="54">
        <v>4</v>
      </c>
      <c r="P5" s="54" t="s">
        <v>78</v>
      </c>
      <c r="Q5" s="54">
        <v>2</v>
      </c>
      <c r="R5" s="78"/>
      <c r="S5" s="54">
        <v>2</v>
      </c>
      <c r="T5" s="54"/>
      <c r="U5" s="55">
        <f t="shared" si="0"/>
        <v>18</v>
      </c>
      <c r="V5" s="85"/>
      <c r="W5" s="83">
        <f>3+2</f>
        <v>5</v>
      </c>
      <c r="X5" s="145">
        <v>0</v>
      </c>
      <c r="Y5" s="148">
        <v>12</v>
      </c>
      <c r="Z5" s="146">
        <v>0</v>
      </c>
      <c r="AA5" s="156">
        <v>0</v>
      </c>
      <c r="AB5" s="156">
        <v>0</v>
      </c>
      <c r="AC5" s="156">
        <v>0</v>
      </c>
      <c r="AD5" s="146">
        <v>0</v>
      </c>
      <c r="AE5" s="147">
        <v>2</v>
      </c>
      <c r="AF5" s="144">
        <f t="shared" si="1"/>
        <v>14</v>
      </c>
      <c r="AG5" s="162" t="s">
        <v>79</v>
      </c>
      <c r="AH5" s="164">
        <f>W5+AF5</f>
        <v>19</v>
      </c>
      <c r="AI5" s="145">
        <v>0</v>
      </c>
      <c r="AJ5" s="148"/>
      <c r="AK5" s="146">
        <v>0</v>
      </c>
      <c r="AL5" s="156">
        <v>0</v>
      </c>
      <c r="AM5" s="156">
        <v>0</v>
      </c>
      <c r="AN5" s="156">
        <v>0</v>
      </c>
      <c r="AO5" s="146">
        <v>0</v>
      </c>
      <c r="AP5" s="147"/>
      <c r="AQ5" s="144">
        <f t="shared" si="2"/>
        <v>0</v>
      </c>
      <c r="AR5" s="162" t="s">
        <v>79</v>
      </c>
      <c r="AS5" s="164">
        <f>AH5+AQ5</f>
        <v>19</v>
      </c>
    </row>
    <row r="6" spans="1:45" ht="96.75" customHeight="1">
      <c r="A6" s="203"/>
      <c r="B6" s="131" t="s">
        <v>80</v>
      </c>
      <c r="C6" s="53">
        <v>20000</v>
      </c>
      <c r="D6" s="53"/>
      <c r="E6" s="53">
        <v>500</v>
      </c>
      <c r="F6" s="54" t="s">
        <v>81</v>
      </c>
      <c r="G6" s="54">
        <v>500</v>
      </c>
      <c r="H6" s="54" t="s">
        <v>82</v>
      </c>
      <c r="I6" s="54">
        <v>1000</v>
      </c>
      <c r="J6" s="54">
        <v>0</v>
      </c>
      <c r="K6" s="54">
        <v>500</v>
      </c>
      <c r="L6" s="54" t="s">
        <v>83</v>
      </c>
      <c r="M6" s="54">
        <v>500</v>
      </c>
      <c r="N6" s="54" t="s">
        <v>84</v>
      </c>
      <c r="O6" s="54"/>
      <c r="P6" s="54">
        <v>0</v>
      </c>
      <c r="Q6" s="54">
        <v>500</v>
      </c>
      <c r="R6" s="54" t="s">
        <v>85</v>
      </c>
      <c r="S6" s="54">
        <v>500</v>
      </c>
      <c r="T6" s="54" t="s">
        <v>86</v>
      </c>
      <c r="U6" s="55">
        <f t="shared" si="0"/>
        <v>4000</v>
      </c>
      <c r="V6" s="85"/>
      <c r="W6" s="83">
        <f>120+500+500+500+160+50</f>
        <v>1830</v>
      </c>
      <c r="X6" s="145">
        <v>0</v>
      </c>
      <c r="Y6" s="146">
        <v>0</v>
      </c>
      <c r="Z6" s="146">
        <v>0</v>
      </c>
      <c r="AA6" s="156">
        <v>0</v>
      </c>
      <c r="AB6" s="156">
        <v>500</v>
      </c>
      <c r="AC6" s="156">
        <v>0</v>
      </c>
      <c r="AD6" s="146">
        <v>0</v>
      </c>
      <c r="AE6" s="147">
        <v>0</v>
      </c>
      <c r="AF6" s="144">
        <f t="shared" si="1"/>
        <v>500</v>
      </c>
      <c r="AG6" s="162" t="s">
        <v>75</v>
      </c>
      <c r="AH6" s="164">
        <f>W6+AF6</f>
        <v>2330</v>
      </c>
      <c r="AI6" s="145">
        <v>0</v>
      </c>
      <c r="AJ6" s="146">
        <v>0</v>
      </c>
      <c r="AK6" s="146">
        <v>2000</v>
      </c>
      <c r="AL6" s="156">
        <v>0</v>
      </c>
      <c r="AM6" s="156">
        <v>500</v>
      </c>
      <c r="AN6" s="156">
        <v>0</v>
      </c>
      <c r="AO6" s="146">
        <v>0</v>
      </c>
      <c r="AP6" s="147">
        <v>0</v>
      </c>
      <c r="AQ6" s="144">
        <f>AI6+AJ6+AK6+AL6+AM6+AN6+AO6+AP6</f>
        <v>2500</v>
      </c>
      <c r="AR6" s="162" t="s">
        <v>75</v>
      </c>
      <c r="AS6" s="164">
        <f>AH6+AQ6</f>
        <v>4830</v>
      </c>
    </row>
    <row r="7" spans="1:45" ht="63" customHeight="1">
      <c r="A7" s="203"/>
      <c r="B7" s="54" t="s">
        <v>87</v>
      </c>
      <c r="C7" s="53">
        <v>2</v>
      </c>
      <c r="D7" s="53"/>
      <c r="E7" s="53">
        <v>1</v>
      </c>
      <c r="F7" s="54" t="s">
        <v>88</v>
      </c>
      <c r="G7" s="54">
        <v>0</v>
      </c>
      <c r="H7" s="54"/>
      <c r="I7" s="54"/>
      <c r="J7" s="54"/>
      <c r="K7" s="54">
        <v>0</v>
      </c>
      <c r="L7" s="54"/>
      <c r="M7" s="54">
        <v>0</v>
      </c>
      <c r="N7" s="54"/>
      <c r="O7" s="54">
        <v>1</v>
      </c>
      <c r="P7" s="54"/>
      <c r="Q7" s="54">
        <v>0</v>
      </c>
      <c r="R7" s="54" t="s">
        <v>89</v>
      </c>
      <c r="S7" s="54">
        <v>1</v>
      </c>
      <c r="T7" s="54"/>
      <c r="U7" s="55">
        <f t="shared" si="0"/>
        <v>3</v>
      </c>
      <c r="V7" s="85"/>
      <c r="W7" s="83">
        <f>25+20</f>
        <v>45</v>
      </c>
      <c r="X7" s="149">
        <v>20</v>
      </c>
      <c r="Y7" s="146">
        <v>0</v>
      </c>
      <c r="Z7" s="146">
        <v>0</v>
      </c>
      <c r="AA7" s="156">
        <v>0</v>
      </c>
      <c r="AB7" s="156">
        <v>0</v>
      </c>
      <c r="AC7" s="156">
        <v>25</v>
      </c>
      <c r="AD7" s="146">
        <v>0</v>
      </c>
      <c r="AE7" s="147">
        <v>0</v>
      </c>
      <c r="AF7" s="144">
        <f t="shared" si="1"/>
        <v>45</v>
      </c>
      <c r="AG7" s="162" t="s">
        <v>90</v>
      </c>
      <c r="AH7" s="165">
        <f>W7+AF7</f>
        <v>90</v>
      </c>
      <c r="AI7" s="149">
        <v>20</v>
      </c>
      <c r="AJ7" s="146">
        <v>0</v>
      </c>
      <c r="AK7" s="146">
        <v>0</v>
      </c>
      <c r="AL7" s="156">
        <v>0</v>
      </c>
      <c r="AM7" s="156">
        <v>0</v>
      </c>
      <c r="AN7" s="156">
        <v>25</v>
      </c>
      <c r="AO7" s="146">
        <v>0</v>
      </c>
      <c r="AP7" s="147">
        <v>0</v>
      </c>
      <c r="AQ7" s="144">
        <f t="shared" ref="AQ4:AQ22" si="3">AI7+AJ7+AK7+AL7+AM7+AN7+AO7+AP7</f>
        <v>45</v>
      </c>
      <c r="AR7" s="162" t="s">
        <v>90</v>
      </c>
      <c r="AS7" s="165">
        <f>AH7+AQ7</f>
        <v>135</v>
      </c>
    </row>
    <row r="8" spans="1:45" ht="62.25" customHeight="1">
      <c r="A8" s="203"/>
      <c r="B8" s="54" t="s">
        <v>91</v>
      </c>
      <c r="C8" s="53">
        <v>6</v>
      </c>
      <c r="D8" s="53"/>
      <c r="E8" s="53">
        <v>1</v>
      </c>
      <c r="F8" s="54" t="s">
        <v>92</v>
      </c>
      <c r="G8" s="54">
        <v>1</v>
      </c>
      <c r="H8" s="54" t="s">
        <v>93</v>
      </c>
      <c r="I8" s="54">
        <v>1</v>
      </c>
      <c r="J8" s="54">
        <v>0</v>
      </c>
      <c r="K8" s="54">
        <v>1</v>
      </c>
      <c r="L8" s="54"/>
      <c r="M8" s="54">
        <v>1</v>
      </c>
      <c r="N8" s="54"/>
      <c r="O8" s="54"/>
      <c r="P8" s="54"/>
      <c r="Q8" s="54">
        <v>1</v>
      </c>
      <c r="R8" s="54"/>
      <c r="S8" s="54">
        <v>1</v>
      </c>
      <c r="T8" s="54"/>
      <c r="U8" s="55">
        <f t="shared" si="0"/>
        <v>7</v>
      </c>
      <c r="V8" s="85"/>
      <c r="W8" s="83">
        <v>4</v>
      </c>
      <c r="X8" s="145">
        <v>0</v>
      </c>
      <c r="Y8" s="146">
        <v>2</v>
      </c>
      <c r="Z8" s="146">
        <v>0</v>
      </c>
      <c r="AA8" s="156">
        <v>0</v>
      </c>
      <c r="AB8" s="156">
        <v>1</v>
      </c>
      <c r="AC8" s="156">
        <v>0</v>
      </c>
      <c r="AD8" s="146">
        <v>0</v>
      </c>
      <c r="AE8" s="147">
        <v>0</v>
      </c>
      <c r="AF8" s="144">
        <f t="shared" si="1"/>
        <v>3</v>
      </c>
      <c r="AG8" s="162" t="s">
        <v>75</v>
      </c>
      <c r="AH8" s="164">
        <f>W8+AF8</f>
        <v>7</v>
      </c>
      <c r="AI8" s="145">
        <v>0</v>
      </c>
      <c r="AJ8" s="146">
        <v>2</v>
      </c>
      <c r="AK8" s="146">
        <v>0</v>
      </c>
      <c r="AL8" s="156">
        <v>0</v>
      </c>
      <c r="AM8" s="156">
        <v>1</v>
      </c>
      <c r="AN8" s="156">
        <v>0</v>
      </c>
      <c r="AO8" s="146">
        <v>0</v>
      </c>
      <c r="AP8" s="147">
        <v>0</v>
      </c>
      <c r="AQ8" s="144">
        <f t="shared" si="3"/>
        <v>3</v>
      </c>
      <c r="AR8" s="162" t="s">
        <v>75</v>
      </c>
      <c r="AS8" s="164">
        <f>AH8+AQ8</f>
        <v>10</v>
      </c>
    </row>
    <row r="9" spans="1:45" ht="64.5" customHeight="1">
      <c r="A9" s="203"/>
      <c r="B9" s="54" t="s">
        <v>94</v>
      </c>
      <c r="C9" s="58">
        <v>4500</v>
      </c>
      <c r="D9" s="53"/>
      <c r="E9" s="53">
        <v>50</v>
      </c>
      <c r="F9" s="54" t="s">
        <v>95</v>
      </c>
      <c r="G9" s="54">
        <v>80</v>
      </c>
      <c r="H9" s="54" t="s">
        <v>96</v>
      </c>
      <c r="I9" s="54">
        <v>50</v>
      </c>
      <c r="J9" s="54">
        <v>0</v>
      </c>
      <c r="K9" s="54">
        <v>50</v>
      </c>
      <c r="L9" s="54" t="s">
        <v>97</v>
      </c>
      <c r="M9" s="54">
        <v>50</v>
      </c>
      <c r="N9" s="54" t="s">
        <v>98</v>
      </c>
      <c r="O9" s="54">
        <v>50</v>
      </c>
      <c r="P9" s="54"/>
      <c r="Q9" s="54">
        <v>90</v>
      </c>
      <c r="R9" s="54" t="s">
        <v>99</v>
      </c>
      <c r="S9" s="54">
        <v>50</v>
      </c>
      <c r="T9" s="54" t="s">
        <v>100</v>
      </c>
      <c r="U9" s="55">
        <f t="shared" si="0"/>
        <v>470</v>
      </c>
      <c r="V9" s="86" t="s">
        <v>101</v>
      </c>
      <c r="W9" s="84">
        <f>15+40+50+36+100+25</f>
        <v>266</v>
      </c>
      <c r="X9" s="145">
        <v>33</v>
      </c>
      <c r="Y9" s="146">
        <v>0</v>
      </c>
      <c r="Z9" s="146">
        <v>0</v>
      </c>
      <c r="AA9" s="156">
        <v>0</v>
      </c>
      <c r="AB9" s="156">
        <v>0</v>
      </c>
      <c r="AC9" s="156">
        <v>33</v>
      </c>
      <c r="AD9" s="146">
        <v>0</v>
      </c>
      <c r="AE9" s="147">
        <v>0</v>
      </c>
      <c r="AF9" s="144">
        <f t="shared" si="1"/>
        <v>66</v>
      </c>
      <c r="AG9" s="162" t="s">
        <v>75</v>
      </c>
      <c r="AH9" s="164">
        <f>W9+AF9</f>
        <v>332</v>
      </c>
      <c r="AI9" s="145">
        <v>33</v>
      </c>
      <c r="AJ9" s="146">
        <v>0</v>
      </c>
      <c r="AK9" s="146">
        <v>0</v>
      </c>
      <c r="AL9" s="156">
        <v>0</v>
      </c>
      <c r="AM9" s="156">
        <v>25</v>
      </c>
      <c r="AN9" s="156">
        <v>33</v>
      </c>
      <c r="AO9" s="146">
        <v>0</v>
      </c>
      <c r="AP9" s="147">
        <v>0</v>
      </c>
      <c r="AQ9" s="144">
        <f t="shared" si="3"/>
        <v>91</v>
      </c>
      <c r="AR9" s="162" t="s">
        <v>75</v>
      </c>
      <c r="AS9" s="164">
        <f>AH9+AQ9</f>
        <v>423</v>
      </c>
    </row>
    <row r="10" spans="1:45" ht="75" customHeight="1">
      <c r="A10" s="203"/>
      <c r="B10" s="56" t="s">
        <v>102</v>
      </c>
      <c r="C10" s="53">
        <v>32</v>
      </c>
      <c r="D10" s="53"/>
      <c r="E10" s="53">
        <v>15</v>
      </c>
      <c r="F10" s="54"/>
      <c r="G10" s="54">
        <v>10</v>
      </c>
      <c r="H10" s="54"/>
      <c r="I10" s="54">
        <v>60</v>
      </c>
      <c r="J10" s="54">
        <v>0</v>
      </c>
      <c r="K10" s="54">
        <v>10</v>
      </c>
      <c r="L10" s="54"/>
      <c r="M10" s="54">
        <v>10</v>
      </c>
      <c r="N10" s="54"/>
      <c r="O10" s="54">
        <v>5</v>
      </c>
      <c r="P10" s="54"/>
      <c r="Q10" s="54">
        <v>10</v>
      </c>
      <c r="R10" s="54" t="s">
        <v>103</v>
      </c>
      <c r="S10" s="54">
        <v>10</v>
      </c>
      <c r="T10" s="54" t="s">
        <v>104</v>
      </c>
      <c r="U10" s="55">
        <f t="shared" si="0"/>
        <v>130</v>
      </c>
      <c r="V10" s="86" t="s">
        <v>105</v>
      </c>
      <c r="W10" s="84"/>
      <c r="X10" s="145">
        <v>11</v>
      </c>
      <c r="Y10" s="146">
        <v>0</v>
      </c>
      <c r="Z10" s="146">
        <v>0</v>
      </c>
      <c r="AA10" s="156">
        <v>0</v>
      </c>
      <c r="AB10" s="156">
        <v>2</v>
      </c>
      <c r="AC10" s="156">
        <v>1</v>
      </c>
      <c r="AD10" s="146">
        <v>3</v>
      </c>
      <c r="AE10" s="147">
        <v>5</v>
      </c>
      <c r="AF10" s="144">
        <f t="shared" si="1"/>
        <v>22</v>
      </c>
      <c r="AG10" s="162" t="s">
        <v>106</v>
      </c>
      <c r="AH10" s="164">
        <f>W10+AF10</f>
        <v>22</v>
      </c>
      <c r="AI10" s="145">
        <v>11</v>
      </c>
      <c r="AJ10" s="146">
        <v>0</v>
      </c>
      <c r="AK10" s="146">
        <v>0</v>
      </c>
      <c r="AL10" s="156">
        <v>0</v>
      </c>
      <c r="AM10" s="156">
        <v>2</v>
      </c>
      <c r="AN10" s="156">
        <v>1</v>
      </c>
      <c r="AO10" s="146">
        <v>3</v>
      </c>
      <c r="AP10" s="147">
        <v>5</v>
      </c>
      <c r="AQ10" s="144">
        <f t="shared" si="3"/>
        <v>22</v>
      </c>
      <c r="AR10" s="162" t="s">
        <v>106</v>
      </c>
      <c r="AS10" s="164">
        <f>AH10+AQ10</f>
        <v>44</v>
      </c>
    </row>
    <row r="11" spans="1:45" ht="77.25" customHeight="1">
      <c r="A11" s="203"/>
      <c r="B11" s="131" t="s">
        <v>107</v>
      </c>
      <c r="C11" s="53">
        <v>3000</v>
      </c>
      <c r="D11" s="53"/>
      <c r="E11" s="53">
        <v>200</v>
      </c>
      <c r="F11" s="54">
        <v>50</v>
      </c>
      <c r="G11" s="54">
        <v>200</v>
      </c>
      <c r="H11" s="54">
        <v>0</v>
      </c>
      <c r="I11" s="54">
        <v>200</v>
      </c>
      <c r="J11" s="54">
        <v>0</v>
      </c>
      <c r="K11" s="54">
        <v>200</v>
      </c>
      <c r="L11" s="54">
        <v>0</v>
      </c>
      <c r="M11" s="54">
        <v>200</v>
      </c>
      <c r="N11" s="54">
        <v>0</v>
      </c>
      <c r="O11" s="54">
        <v>100</v>
      </c>
      <c r="P11" s="54">
        <v>0</v>
      </c>
      <c r="Q11" s="54">
        <v>200</v>
      </c>
      <c r="R11" s="54" t="s">
        <v>108</v>
      </c>
      <c r="S11" s="54">
        <v>200</v>
      </c>
      <c r="T11" s="54" t="s">
        <v>109</v>
      </c>
      <c r="U11" s="55">
        <f t="shared" si="0"/>
        <v>1550</v>
      </c>
      <c r="V11" s="85"/>
      <c r="W11" s="83">
        <f>50+162+138</f>
        <v>350</v>
      </c>
      <c r="X11" s="150">
        <v>100</v>
      </c>
      <c r="Y11" s="151">
        <v>100</v>
      </c>
      <c r="Z11" s="151">
        <v>0</v>
      </c>
      <c r="AA11" s="157">
        <v>0</v>
      </c>
      <c r="AB11" s="167">
        <v>100</v>
      </c>
      <c r="AC11" s="157">
        <v>50</v>
      </c>
      <c r="AD11" s="151">
        <v>65</v>
      </c>
      <c r="AE11" s="152">
        <v>122</v>
      </c>
      <c r="AF11" s="144">
        <f t="shared" si="1"/>
        <v>537</v>
      </c>
      <c r="AG11" s="162" t="s">
        <v>75</v>
      </c>
      <c r="AH11" s="164">
        <f>W11+AF11</f>
        <v>887</v>
      </c>
      <c r="AI11" s="150">
        <v>100</v>
      </c>
      <c r="AJ11" s="151">
        <v>100</v>
      </c>
      <c r="AK11" s="151">
        <v>0</v>
      </c>
      <c r="AL11" s="157">
        <v>0</v>
      </c>
      <c r="AM11" s="167">
        <v>100</v>
      </c>
      <c r="AN11" s="157">
        <v>50</v>
      </c>
      <c r="AO11" s="151">
        <v>65</v>
      </c>
      <c r="AP11" s="152">
        <v>122</v>
      </c>
      <c r="AQ11" s="144">
        <f t="shared" si="3"/>
        <v>537</v>
      </c>
      <c r="AR11" s="162" t="s">
        <v>75</v>
      </c>
      <c r="AS11" s="164">
        <f>AH11+AQ11</f>
        <v>1424</v>
      </c>
    </row>
    <row r="12" spans="1:45" ht="38.25" customHeight="1">
      <c r="A12" s="203"/>
      <c r="B12" s="95" t="s">
        <v>110</v>
      </c>
      <c r="C12" s="53">
        <v>2</v>
      </c>
      <c r="D12" s="53"/>
      <c r="E12" s="53"/>
      <c r="F12" s="54"/>
      <c r="G12" s="54"/>
      <c r="H12" s="54"/>
      <c r="I12" s="54"/>
      <c r="J12" s="54"/>
      <c r="K12" s="54"/>
      <c r="L12" s="54"/>
      <c r="M12" s="54"/>
      <c r="N12" s="54"/>
      <c r="O12" s="54"/>
      <c r="P12" s="54"/>
      <c r="Q12" s="54"/>
      <c r="R12" s="54"/>
      <c r="S12" s="54"/>
      <c r="T12" s="54"/>
      <c r="U12" s="57">
        <f t="shared" si="0"/>
        <v>0</v>
      </c>
      <c r="V12" s="85"/>
      <c r="W12" s="132">
        <v>0</v>
      </c>
      <c r="X12" s="153">
        <v>0</v>
      </c>
      <c r="Y12" s="153">
        <v>0</v>
      </c>
      <c r="Z12" s="153">
        <v>0</v>
      </c>
      <c r="AA12" s="158">
        <v>0</v>
      </c>
      <c r="AB12" s="158">
        <v>0</v>
      </c>
      <c r="AC12" s="158">
        <v>0</v>
      </c>
      <c r="AD12" s="153">
        <v>0</v>
      </c>
      <c r="AE12" s="153">
        <v>0</v>
      </c>
      <c r="AF12" s="144">
        <f t="shared" si="1"/>
        <v>0</v>
      </c>
      <c r="AG12" s="162" t="s">
        <v>111</v>
      </c>
      <c r="AH12" s="164">
        <f>W12+AF12</f>
        <v>0</v>
      </c>
      <c r="AI12" s="153">
        <v>0</v>
      </c>
      <c r="AJ12" s="153">
        <v>0</v>
      </c>
      <c r="AK12" s="153">
        <v>0</v>
      </c>
      <c r="AL12" s="158">
        <v>0</v>
      </c>
      <c r="AM12" s="158">
        <v>0</v>
      </c>
      <c r="AN12" s="158">
        <v>0</v>
      </c>
      <c r="AO12" s="153">
        <v>0</v>
      </c>
      <c r="AP12" s="153">
        <v>0</v>
      </c>
      <c r="AQ12" s="144">
        <f t="shared" si="3"/>
        <v>0</v>
      </c>
      <c r="AR12" s="162" t="s">
        <v>111</v>
      </c>
      <c r="AS12" s="164">
        <f>AH12+AQ12</f>
        <v>0</v>
      </c>
    </row>
    <row r="13" spans="1:45" ht="39.75" customHeight="1">
      <c r="A13" s="203" t="s">
        <v>112</v>
      </c>
      <c r="B13" s="54" t="s">
        <v>113</v>
      </c>
      <c r="C13" s="53">
        <v>12</v>
      </c>
      <c r="D13" s="58">
        <v>1</v>
      </c>
      <c r="E13" s="53"/>
      <c r="F13" s="54"/>
      <c r="G13" s="54"/>
      <c r="H13" s="54"/>
      <c r="I13" s="54"/>
      <c r="J13" s="54"/>
      <c r="K13" s="54"/>
      <c r="L13" s="54"/>
      <c r="M13" s="54"/>
      <c r="N13" s="54"/>
      <c r="O13" s="54"/>
      <c r="P13" s="54"/>
      <c r="Q13" s="54"/>
      <c r="R13" s="54"/>
      <c r="S13" s="54"/>
      <c r="T13" s="54"/>
      <c r="U13" s="57">
        <f t="shared" si="0"/>
        <v>0</v>
      </c>
      <c r="V13" s="85"/>
      <c r="W13" s="134">
        <v>7</v>
      </c>
      <c r="X13" s="145">
        <v>0</v>
      </c>
      <c r="Y13" s="145">
        <v>0</v>
      </c>
      <c r="Z13" s="145">
        <v>0</v>
      </c>
      <c r="AA13" s="159">
        <v>0</v>
      </c>
      <c r="AB13" s="159">
        <v>0</v>
      </c>
      <c r="AC13" s="159">
        <v>1</v>
      </c>
      <c r="AD13" s="145">
        <v>0</v>
      </c>
      <c r="AE13" s="145">
        <v>0</v>
      </c>
      <c r="AF13" s="144">
        <f t="shared" si="1"/>
        <v>1</v>
      </c>
      <c r="AG13" s="162" t="s">
        <v>114</v>
      </c>
      <c r="AH13" s="165">
        <v>7</v>
      </c>
      <c r="AI13" s="145">
        <v>0</v>
      </c>
      <c r="AJ13" s="145">
        <v>0</v>
      </c>
      <c r="AK13" s="145">
        <v>0</v>
      </c>
      <c r="AL13" s="159">
        <v>0</v>
      </c>
      <c r="AM13" s="159">
        <v>0</v>
      </c>
      <c r="AN13" s="159">
        <v>1</v>
      </c>
      <c r="AO13" s="145">
        <v>0</v>
      </c>
      <c r="AP13" s="145">
        <v>0</v>
      </c>
      <c r="AQ13" s="144">
        <f t="shared" si="3"/>
        <v>1</v>
      </c>
      <c r="AR13" s="162" t="s">
        <v>114</v>
      </c>
      <c r="AS13" s="164">
        <f>AH13+AQ13</f>
        <v>8</v>
      </c>
    </row>
    <row r="14" spans="1:45" ht="65.25" customHeight="1">
      <c r="A14" s="203"/>
      <c r="B14" s="54" t="s">
        <v>115</v>
      </c>
      <c r="C14" s="53">
        <v>12</v>
      </c>
      <c r="D14" s="53"/>
      <c r="E14" s="53">
        <v>1</v>
      </c>
      <c r="F14" s="54">
        <v>0</v>
      </c>
      <c r="G14" s="54">
        <v>1</v>
      </c>
      <c r="H14" s="54">
        <v>0</v>
      </c>
      <c r="I14" s="54">
        <v>1</v>
      </c>
      <c r="J14" s="54">
        <v>0</v>
      </c>
      <c r="K14" s="54">
        <v>1</v>
      </c>
      <c r="L14" s="54" t="s">
        <v>116</v>
      </c>
      <c r="M14" s="54">
        <v>1</v>
      </c>
      <c r="N14" s="54" t="s">
        <v>117</v>
      </c>
      <c r="O14" s="54"/>
      <c r="P14" s="54"/>
      <c r="Q14" s="54">
        <v>1</v>
      </c>
      <c r="R14" s="54">
        <v>0</v>
      </c>
      <c r="S14" s="54">
        <v>1</v>
      </c>
      <c r="T14" s="54" t="s">
        <v>118</v>
      </c>
      <c r="U14" s="55">
        <f t="shared" si="0"/>
        <v>7</v>
      </c>
      <c r="V14" s="85"/>
      <c r="W14" s="132">
        <f>1+1+2</f>
        <v>4</v>
      </c>
      <c r="X14" s="145">
        <v>0</v>
      </c>
      <c r="Y14" s="145">
        <v>0</v>
      </c>
      <c r="Z14" s="145">
        <v>0</v>
      </c>
      <c r="AA14" s="159">
        <v>0</v>
      </c>
      <c r="AB14" s="159">
        <v>0</v>
      </c>
      <c r="AC14" s="159">
        <v>1</v>
      </c>
      <c r="AD14" s="146">
        <v>0</v>
      </c>
      <c r="AE14" s="147">
        <v>1</v>
      </c>
      <c r="AF14" s="144">
        <f t="shared" si="1"/>
        <v>2</v>
      </c>
      <c r="AG14" s="162" t="s">
        <v>119</v>
      </c>
      <c r="AH14" s="164">
        <f>W14+AF14</f>
        <v>6</v>
      </c>
      <c r="AI14" s="145">
        <v>0</v>
      </c>
      <c r="AJ14" s="145">
        <v>0</v>
      </c>
      <c r="AK14" s="145">
        <v>0</v>
      </c>
      <c r="AL14" s="159">
        <v>0</v>
      </c>
      <c r="AM14" s="159">
        <v>0</v>
      </c>
      <c r="AN14" s="159">
        <v>1</v>
      </c>
      <c r="AO14" s="146">
        <v>0</v>
      </c>
      <c r="AP14" s="147">
        <v>1</v>
      </c>
      <c r="AQ14" s="144">
        <f t="shared" si="3"/>
        <v>2</v>
      </c>
      <c r="AR14" s="162" t="s">
        <v>119</v>
      </c>
      <c r="AS14" s="164">
        <f>AH14+AQ14</f>
        <v>8</v>
      </c>
    </row>
    <row r="15" spans="1:45" ht="71.25" customHeight="1">
      <c r="A15" s="203"/>
      <c r="B15" s="54" t="s">
        <v>120</v>
      </c>
      <c r="C15" s="53">
        <v>20</v>
      </c>
      <c r="D15" s="58"/>
      <c r="E15" s="53"/>
      <c r="F15" s="54"/>
      <c r="G15" s="54"/>
      <c r="H15" s="54"/>
      <c r="I15" s="54"/>
      <c r="J15" s="54"/>
      <c r="K15" s="54"/>
      <c r="L15" s="54"/>
      <c r="M15" s="54"/>
      <c r="N15" s="54"/>
      <c r="O15" s="54"/>
      <c r="P15" s="54"/>
      <c r="Q15" s="54"/>
      <c r="R15" s="54"/>
      <c r="S15" s="54"/>
      <c r="T15" s="54"/>
      <c r="U15" s="57">
        <f t="shared" si="0"/>
        <v>0</v>
      </c>
      <c r="V15" s="85"/>
      <c r="W15" s="134">
        <v>7</v>
      </c>
      <c r="X15" s="145">
        <v>0</v>
      </c>
      <c r="Y15" s="145">
        <v>0</v>
      </c>
      <c r="Z15" s="145">
        <v>0</v>
      </c>
      <c r="AA15" s="159">
        <v>0</v>
      </c>
      <c r="AB15" s="159">
        <v>0</v>
      </c>
      <c r="AC15" s="159">
        <v>0</v>
      </c>
      <c r="AD15" s="145">
        <v>0</v>
      </c>
      <c r="AE15" s="145">
        <v>0</v>
      </c>
      <c r="AF15" s="144">
        <f t="shared" si="1"/>
        <v>0</v>
      </c>
      <c r="AG15" s="162" t="s">
        <v>121</v>
      </c>
      <c r="AH15" s="164">
        <v>10</v>
      </c>
      <c r="AI15" s="145">
        <v>0</v>
      </c>
      <c r="AJ15" s="145">
        <v>0</v>
      </c>
      <c r="AK15" s="145">
        <v>0</v>
      </c>
      <c r="AL15" s="159">
        <v>0</v>
      </c>
      <c r="AM15" s="159">
        <v>0</v>
      </c>
      <c r="AN15" s="159">
        <v>0</v>
      </c>
      <c r="AO15" s="145">
        <v>0</v>
      </c>
      <c r="AP15" s="145">
        <v>0</v>
      </c>
      <c r="AQ15" s="144">
        <f t="shared" si="3"/>
        <v>0</v>
      </c>
      <c r="AR15" s="162" t="s">
        <v>121</v>
      </c>
      <c r="AS15" s="164">
        <f>AH15+AQ15</f>
        <v>10</v>
      </c>
    </row>
    <row r="16" spans="1:45" ht="80.25" customHeight="1">
      <c r="A16" s="203"/>
      <c r="B16" s="54" t="s">
        <v>122</v>
      </c>
      <c r="C16" s="53">
        <v>10</v>
      </c>
      <c r="D16" s="58">
        <v>3</v>
      </c>
      <c r="E16" s="53"/>
      <c r="F16" s="54"/>
      <c r="G16" s="54"/>
      <c r="H16" s="54"/>
      <c r="I16" s="54"/>
      <c r="J16" s="54"/>
      <c r="K16" s="54"/>
      <c r="L16" s="54"/>
      <c r="M16" s="54"/>
      <c r="N16" s="54"/>
      <c r="O16" s="54"/>
      <c r="P16" s="54"/>
      <c r="Q16" s="54"/>
      <c r="R16" s="54"/>
      <c r="S16" s="54"/>
      <c r="T16" s="54"/>
      <c r="U16" s="57">
        <f t="shared" si="0"/>
        <v>0</v>
      </c>
      <c r="V16" s="85"/>
      <c r="W16" s="134">
        <v>2</v>
      </c>
      <c r="X16" s="145">
        <v>0</v>
      </c>
      <c r="Y16" s="145">
        <v>0</v>
      </c>
      <c r="Z16" s="145">
        <v>0</v>
      </c>
      <c r="AA16" s="159">
        <v>0</v>
      </c>
      <c r="AB16" s="159">
        <v>0</v>
      </c>
      <c r="AC16" s="159">
        <v>0</v>
      </c>
      <c r="AD16" s="145">
        <v>0</v>
      </c>
      <c r="AE16" s="145">
        <v>0</v>
      </c>
      <c r="AF16" s="144">
        <f t="shared" si="1"/>
        <v>0</v>
      </c>
      <c r="AG16" s="162" t="s">
        <v>123</v>
      </c>
      <c r="AH16" s="164">
        <v>10</v>
      </c>
      <c r="AI16" s="145">
        <v>0</v>
      </c>
      <c r="AJ16" s="145">
        <v>0</v>
      </c>
      <c r="AK16" s="145">
        <v>0</v>
      </c>
      <c r="AL16" s="159">
        <v>0</v>
      </c>
      <c r="AM16" s="159">
        <v>0</v>
      </c>
      <c r="AN16" s="159">
        <v>0</v>
      </c>
      <c r="AO16" s="145">
        <v>0</v>
      </c>
      <c r="AP16" s="145">
        <v>0</v>
      </c>
      <c r="AQ16" s="144">
        <f t="shared" si="3"/>
        <v>0</v>
      </c>
      <c r="AR16" s="162" t="s">
        <v>123</v>
      </c>
      <c r="AS16" s="164">
        <f>AH16+AQ16</f>
        <v>10</v>
      </c>
    </row>
    <row r="17" spans="1:46" ht="39.75" customHeight="1">
      <c r="A17" s="203"/>
      <c r="B17" s="56" t="s">
        <v>124</v>
      </c>
      <c r="C17" s="53">
        <v>8000</v>
      </c>
      <c r="D17" s="58">
        <v>4000</v>
      </c>
      <c r="E17" s="53"/>
      <c r="F17" s="54"/>
      <c r="G17" s="54"/>
      <c r="H17" s="54"/>
      <c r="I17" s="54"/>
      <c r="J17" s="54"/>
      <c r="K17" s="54"/>
      <c r="L17" s="54"/>
      <c r="M17" s="54"/>
      <c r="N17" s="54" t="s">
        <v>125</v>
      </c>
      <c r="O17" s="54"/>
      <c r="P17" s="54"/>
      <c r="Q17" s="54"/>
      <c r="R17" s="54"/>
      <c r="S17" s="54"/>
      <c r="T17" s="54"/>
      <c r="U17" s="57">
        <f t="shared" si="0"/>
        <v>0</v>
      </c>
      <c r="V17" s="85"/>
      <c r="W17" s="132">
        <f>240</f>
        <v>240</v>
      </c>
      <c r="X17" s="145">
        <v>0</v>
      </c>
      <c r="Y17" s="145">
        <v>0</v>
      </c>
      <c r="Z17" s="145">
        <v>0</v>
      </c>
      <c r="AA17" s="159">
        <v>0</v>
      </c>
      <c r="AB17" s="159">
        <v>0</v>
      </c>
      <c r="AC17" s="159">
        <v>0</v>
      </c>
      <c r="AD17" s="145">
        <v>0</v>
      </c>
      <c r="AE17" s="145">
        <v>0</v>
      </c>
      <c r="AF17" s="144">
        <f t="shared" si="1"/>
        <v>0</v>
      </c>
      <c r="AG17" s="162" t="s">
        <v>75</v>
      </c>
      <c r="AH17" s="164">
        <f>W17+AF17</f>
        <v>240</v>
      </c>
      <c r="AI17" s="145">
        <v>0</v>
      </c>
      <c r="AJ17" s="145">
        <v>0</v>
      </c>
      <c r="AK17" s="145">
        <v>0</v>
      </c>
      <c r="AL17" s="159">
        <v>0</v>
      </c>
      <c r="AM17" s="159">
        <v>240</v>
      </c>
      <c r="AN17" s="159">
        <v>0</v>
      </c>
      <c r="AO17" s="145">
        <v>0</v>
      </c>
      <c r="AP17" s="145">
        <v>0</v>
      </c>
      <c r="AQ17" s="144">
        <f t="shared" si="3"/>
        <v>240</v>
      </c>
      <c r="AR17" s="162" t="s">
        <v>75</v>
      </c>
      <c r="AS17" s="198">
        <f>AH17+AQ17</f>
        <v>480</v>
      </c>
      <c r="AT17" s="50">
        <v>4000</v>
      </c>
    </row>
    <row r="18" spans="1:46" ht="33.75" customHeight="1">
      <c r="A18" s="203"/>
      <c r="B18" s="56" t="s">
        <v>126</v>
      </c>
      <c r="C18" s="53">
        <v>100</v>
      </c>
      <c r="D18" s="58">
        <v>40</v>
      </c>
      <c r="E18" s="53"/>
      <c r="F18" s="54"/>
      <c r="G18" s="54"/>
      <c r="H18" s="54"/>
      <c r="I18" s="54"/>
      <c r="J18" s="54"/>
      <c r="K18" s="54"/>
      <c r="L18" s="54"/>
      <c r="M18" s="54"/>
      <c r="N18" s="54"/>
      <c r="O18" s="54"/>
      <c r="P18" s="54"/>
      <c r="Q18" s="54"/>
      <c r="R18" s="54"/>
      <c r="S18" s="54"/>
      <c r="T18" s="54"/>
      <c r="U18" s="57">
        <f t="shared" si="0"/>
        <v>0</v>
      </c>
      <c r="V18" s="85"/>
      <c r="W18" s="134">
        <v>40</v>
      </c>
      <c r="X18" s="145">
        <v>0</v>
      </c>
      <c r="Y18" s="145">
        <v>0</v>
      </c>
      <c r="Z18" s="145">
        <v>0</v>
      </c>
      <c r="AA18" s="159">
        <v>0</v>
      </c>
      <c r="AB18" s="159">
        <v>0</v>
      </c>
      <c r="AC18" s="159">
        <v>0</v>
      </c>
      <c r="AD18" s="145">
        <v>0</v>
      </c>
      <c r="AE18" s="145">
        <v>0</v>
      </c>
      <c r="AF18" s="144">
        <f t="shared" si="1"/>
        <v>0</v>
      </c>
      <c r="AG18" s="162" t="s">
        <v>75</v>
      </c>
      <c r="AH18" s="164">
        <f>W18+AF18</f>
        <v>40</v>
      </c>
      <c r="AI18" s="145">
        <v>0</v>
      </c>
      <c r="AJ18" s="145">
        <v>0</v>
      </c>
      <c r="AK18" s="145">
        <v>0</v>
      </c>
      <c r="AL18" s="159">
        <v>0</v>
      </c>
      <c r="AM18" s="159">
        <v>0</v>
      </c>
      <c r="AN18" s="159">
        <v>0</v>
      </c>
      <c r="AO18" s="145">
        <v>0</v>
      </c>
      <c r="AP18" s="145">
        <v>0</v>
      </c>
      <c r="AQ18" s="144">
        <f t="shared" si="3"/>
        <v>0</v>
      </c>
      <c r="AR18" s="162" t="s">
        <v>75</v>
      </c>
      <c r="AS18" s="164">
        <f>AH18+AQ18</f>
        <v>40</v>
      </c>
      <c r="AT18" s="50">
        <v>40</v>
      </c>
    </row>
    <row r="19" spans="1:46" ht="50.45" customHeight="1">
      <c r="A19" s="203" t="s">
        <v>127</v>
      </c>
      <c r="B19" s="54" t="s">
        <v>128</v>
      </c>
      <c r="C19" s="53">
        <v>12</v>
      </c>
      <c r="D19" s="53"/>
      <c r="E19" s="53">
        <v>2</v>
      </c>
      <c r="F19" s="54" t="s">
        <v>129</v>
      </c>
      <c r="G19" s="54">
        <v>2</v>
      </c>
      <c r="H19" s="54">
        <v>0</v>
      </c>
      <c r="I19" s="54">
        <v>2</v>
      </c>
      <c r="J19" s="54" t="s">
        <v>130</v>
      </c>
      <c r="K19" s="54">
        <v>2</v>
      </c>
      <c r="L19" s="54" t="s">
        <v>131</v>
      </c>
      <c r="M19" s="54">
        <v>2</v>
      </c>
      <c r="N19" s="54" t="s">
        <v>132</v>
      </c>
      <c r="O19" s="54"/>
      <c r="P19" s="54" t="s">
        <v>133</v>
      </c>
      <c r="Q19" s="54">
        <v>2</v>
      </c>
      <c r="R19" s="54">
        <v>0</v>
      </c>
      <c r="S19" s="54">
        <v>2</v>
      </c>
      <c r="T19" s="54" t="s">
        <v>134</v>
      </c>
      <c r="U19" s="55">
        <f t="shared" si="0"/>
        <v>14</v>
      </c>
      <c r="V19" s="85"/>
      <c r="W19" s="132">
        <f>2+2+1+2+1+2</f>
        <v>10</v>
      </c>
      <c r="X19" s="145">
        <v>2</v>
      </c>
      <c r="Y19" s="146">
        <v>2</v>
      </c>
      <c r="Z19" s="146">
        <v>0</v>
      </c>
      <c r="AA19" s="156">
        <v>0</v>
      </c>
      <c r="AB19" s="156">
        <v>1</v>
      </c>
      <c r="AC19" s="156">
        <v>0</v>
      </c>
      <c r="AD19" s="146">
        <v>2</v>
      </c>
      <c r="AE19" s="147">
        <v>1</v>
      </c>
      <c r="AF19" s="144">
        <f t="shared" si="1"/>
        <v>8</v>
      </c>
      <c r="AG19" s="162" t="s">
        <v>135</v>
      </c>
      <c r="AH19" s="164">
        <f>W19+AF19</f>
        <v>18</v>
      </c>
      <c r="AI19" s="145">
        <v>2</v>
      </c>
      <c r="AJ19" s="146">
        <v>2</v>
      </c>
      <c r="AK19" s="146">
        <v>0</v>
      </c>
      <c r="AL19" s="156">
        <v>0</v>
      </c>
      <c r="AM19" s="156">
        <v>1</v>
      </c>
      <c r="AN19" s="156">
        <v>0</v>
      </c>
      <c r="AO19" s="146">
        <v>2</v>
      </c>
      <c r="AP19" s="147">
        <v>1</v>
      </c>
      <c r="AQ19" s="144">
        <f t="shared" si="3"/>
        <v>8</v>
      </c>
      <c r="AR19" s="162" t="s">
        <v>135</v>
      </c>
      <c r="AS19" s="164">
        <f>AH19+AQ19</f>
        <v>26</v>
      </c>
    </row>
    <row r="20" spans="1:46" ht="71.25" customHeight="1">
      <c r="A20" s="203"/>
      <c r="B20" s="54" t="s">
        <v>136</v>
      </c>
      <c r="C20" s="53">
        <v>300</v>
      </c>
      <c r="D20" s="53"/>
      <c r="E20" s="53">
        <v>50</v>
      </c>
      <c r="F20" s="54">
        <v>1</v>
      </c>
      <c r="G20" s="54">
        <v>50</v>
      </c>
      <c r="H20" s="54">
        <v>0</v>
      </c>
      <c r="I20" s="54">
        <v>50</v>
      </c>
      <c r="J20" s="54" t="s">
        <v>137</v>
      </c>
      <c r="K20" s="54">
        <v>50</v>
      </c>
      <c r="L20" s="54">
        <v>0</v>
      </c>
      <c r="M20" s="54">
        <v>50</v>
      </c>
      <c r="N20" s="54" t="s">
        <v>138</v>
      </c>
      <c r="O20" s="54">
        <v>20</v>
      </c>
      <c r="P20" s="54">
        <v>0</v>
      </c>
      <c r="Q20" s="54">
        <v>50</v>
      </c>
      <c r="R20" s="54">
        <v>0</v>
      </c>
      <c r="S20" s="54">
        <v>50</v>
      </c>
      <c r="T20" s="54" t="s">
        <v>139</v>
      </c>
      <c r="U20" s="55">
        <f t="shared" si="0"/>
        <v>371</v>
      </c>
      <c r="V20" s="85"/>
      <c r="W20" s="132">
        <f>113+60+55</f>
        <v>228</v>
      </c>
      <c r="X20" s="145">
        <v>0</v>
      </c>
      <c r="Y20" s="148">
        <v>20</v>
      </c>
      <c r="Z20" s="146">
        <v>0</v>
      </c>
      <c r="AA20" s="156">
        <v>0</v>
      </c>
      <c r="AB20" s="156">
        <v>1</v>
      </c>
      <c r="AC20" s="156">
        <v>0</v>
      </c>
      <c r="AD20" s="146">
        <v>50</v>
      </c>
      <c r="AE20" s="147">
        <v>0</v>
      </c>
      <c r="AF20" s="144">
        <f t="shared" si="1"/>
        <v>71</v>
      </c>
      <c r="AG20" s="162" t="s">
        <v>140</v>
      </c>
      <c r="AH20" s="164">
        <f>W20+AF20</f>
        <v>299</v>
      </c>
      <c r="AI20" s="145">
        <v>0</v>
      </c>
      <c r="AJ20" s="148">
        <v>20</v>
      </c>
      <c r="AK20" s="146">
        <v>0</v>
      </c>
      <c r="AL20" s="156">
        <v>0</v>
      </c>
      <c r="AM20" s="156">
        <v>1</v>
      </c>
      <c r="AN20" s="156">
        <v>0</v>
      </c>
      <c r="AO20" s="146">
        <v>50</v>
      </c>
      <c r="AP20" s="147">
        <v>0</v>
      </c>
      <c r="AQ20" s="144">
        <f t="shared" si="3"/>
        <v>71</v>
      </c>
      <c r="AR20" s="162" t="s">
        <v>140</v>
      </c>
      <c r="AS20" s="164">
        <f>AH20+AQ20</f>
        <v>370</v>
      </c>
    </row>
    <row r="21" spans="1:46" ht="57.75" customHeight="1">
      <c r="A21" s="203"/>
      <c r="B21" s="54" t="s">
        <v>141</v>
      </c>
      <c r="C21" s="53">
        <v>12</v>
      </c>
      <c r="D21" s="53"/>
      <c r="E21" s="53">
        <v>1</v>
      </c>
      <c r="F21" s="54">
        <v>0</v>
      </c>
      <c r="G21" s="54">
        <v>1</v>
      </c>
      <c r="H21" s="54">
        <v>0</v>
      </c>
      <c r="I21" s="54">
        <v>1</v>
      </c>
      <c r="J21" s="54" t="s">
        <v>142</v>
      </c>
      <c r="K21" s="54">
        <v>1</v>
      </c>
      <c r="L21" s="54">
        <v>0</v>
      </c>
      <c r="M21" s="54">
        <v>1</v>
      </c>
      <c r="N21" s="95" t="s">
        <v>143</v>
      </c>
      <c r="O21" s="54">
        <v>1</v>
      </c>
      <c r="P21" s="54">
        <v>0</v>
      </c>
      <c r="Q21" s="54">
        <v>1</v>
      </c>
      <c r="R21" s="54">
        <v>0</v>
      </c>
      <c r="S21" s="54">
        <v>1</v>
      </c>
      <c r="T21" s="54" t="s">
        <v>144</v>
      </c>
      <c r="U21" s="55">
        <f t="shared" si="0"/>
        <v>8</v>
      </c>
      <c r="V21" s="85"/>
      <c r="W21" s="135">
        <f>43+540</f>
        <v>583</v>
      </c>
      <c r="X21" s="145">
        <v>0</v>
      </c>
      <c r="Y21" s="146">
        <v>0</v>
      </c>
      <c r="Z21" s="146">
        <v>0</v>
      </c>
      <c r="AA21" s="156">
        <v>0</v>
      </c>
      <c r="AB21" s="156">
        <v>1</v>
      </c>
      <c r="AC21" s="156">
        <v>0</v>
      </c>
      <c r="AD21" s="146">
        <v>0</v>
      </c>
      <c r="AE21" s="147">
        <v>1</v>
      </c>
      <c r="AF21" s="144">
        <f t="shared" si="1"/>
        <v>2</v>
      </c>
      <c r="AG21" s="162" t="s">
        <v>75</v>
      </c>
      <c r="AH21" s="164">
        <f>W21+AF21</f>
        <v>585</v>
      </c>
      <c r="AI21" s="145">
        <v>0</v>
      </c>
      <c r="AJ21" s="146">
        <v>0</v>
      </c>
      <c r="AK21" s="146">
        <v>0</v>
      </c>
      <c r="AL21" s="156">
        <v>0</v>
      </c>
      <c r="AM21" s="156">
        <v>1</v>
      </c>
      <c r="AN21" s="156">
        <v>0</v>
      </c>
      <c r="AO21" s="146">
        <v>0</v>
      </c>
      <c r="AP21" s="147">
        <v>1</v>
      </c>
      <c r="AQ21" s="144">
        <f t="shared" si="3"/>
        <v>2</v>
      </c>
      <c r="AR21" s="162" t="s">
        <v>75</v>
      </c>
      <c r="AS21" s="164">
        <f>AH21+AQ21</f>
        <v>587</v>
      </c>
    </row>
    <row r="22" spans="1:46" ht="93" customHeight="1">
      <c r="A22" s="203"/>
      <c r="B22" s="54" t="s">
        <v>145</v>
      </c>
      <c r="C22" s="56" t="s">
        <v>146</v>
      </c>
      <c r="D22" s="53"/>
      <c r="E22" s="53">
        <v>2</v>
      </c>
      <c r="F22" s="54">
        <v>0</v>
      </c>
      <c r="G22" s="54">
        <v>2</v>
      </c>
      <c r="H22" s="54">
        <v>0</v>
      </c>
      <c r="I22" s="54">
        <v>1</v>
      </c>
      <c r="J22" s="54" t="s">
        <v>147</v>
      </c>
      <c r="K22" s="54">
        <v>2</v>
      </c>
      <c r="L22" s="54">
        <v>0</v>
      </c>
      <c r="M22" s="54">
        <v>2</v>
      </c>
      <c r="N22" s="54">
        <v>0</v>
      </c>
      <c r="O22" s="54">
        <v>1</v>
      </c>
      <c r="P22" s="54">
        <v>0</v>
      </c>
      <c r="Q22" s="54">
        <v>2</v>
      </c>
      <c r="R22" s="54">
        <v>0</v>
      </c>
      <c r="S22" s="54">
        <v>2</v>
      </c>
      <c r="T22" s="54" t="s">
        <v>148</v>
      </c>
      <c r="U22" s="55">
        <f t="shared" si="0"/>
        <v>14</v>
      </c>
      <c r="V22" s="85"/>
      <c r="W22" s="132">
        <f>350+400+260</f>
        <v>1010</v>
      </c>
      <c r="X22" s="145">
        <v>0</v>
      </c>
      <c r="Y22" s="146">
        <v>0</v>
      </c>
      <c r="Z22" s="146">
        <v>0</v>
      </c>
      <c r="AA22" s="156">
        <v>0</v>
      </c>
      <c r="AB22" s="156">
        <v>1</v>
      </c>
      <c r="AC22" s="156">
        <v>0</v>
      </c>
      <c r="AD22" s="146">
        <v>0</v>
      </c>
      <c r="AE22" s="147">
        <v>2</v>
      </c>
      <c r="AF22" s="144">
        <f t="shared" si="1"/>
        <v>3</v>
      </c>
      <c r="AG22" s="162" t="s">
        <v>75</v>
      </c>
      <c r="AH22" s="164">
        <f>W22+AF22</f>
        <v>1013</v>
      </c>
      <c r="AI22" s="145">
        <v>0</v>
      </c>
      <c r="AJ22" s="146">
        <v>0</v>
      </c>
      <c r="AK22" s="146">
        <v>0</v>
      </c>
      <c r="AL22" s="156">
        <v>0</v>
      </c>
      <c r="AM22" s="156">
        <v>1</v>
      </c>
      <c r="AN22" s="156">
        <v>0</v>
      </c>
      <c r="AO22" s="146">
        <v>0</v>
      </c>
      <c r="AP22" s="147">
        <v>2</v>
      </c>
      <c r="AQ22" s="144">
        <f t="shared" si="3"/>
        <v>3</v>
      </c>
      <c r="AR22" s="162" t="s">
        <v>75</v>
      </c>
      <c r="AS22" s="164">
        <f>AH22+AQ22</f>
        <v>1016</v>
      </c>
    </row>
    <row r="23" spans="1:46" ht="13.5">
      <c r="U23" s="50">
        <f t="shared" ref="U23" si="4">SUM(E23:Q23)</f>
        <v>0</v>
      </c>
    </row>
  </sheetData>
  <mergeCells count="17">
    <mergeCell ref="AI1:AK1"/>
    <mergeCell ref="AL1:AN1"/>
    <mergeCell ref="AO1:AP1"/>
    <mergeCell ref="A13:A18"/>
    <mergeCell ref="X1:Z1"/>
    <mergeCell ref="AD1:AE1"/>
    <mergeCell ref="AA1:AC1"/>
    <mergeCell ref="A19:A22"/>
    <mergeCell ref="A3:A12"/>
    <mergeCell ref="U1:U2"/>
    <mergeCell ref="D1:D2"/>
    <mergeCell ref="Q1:T1"/>
    <mergeCell ref="K1:P1"/>
    <mergeCell ref="E1:J1"/>
    <mergeCell ref="A1:A2"/>
    <mergeCell ref="B1:B2"/>
    <mergeCell ref="C1:C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1C40-DD91-449A-8C74-D3C1F92998CD}">
  <dimension ref="A1:K43"/>
  <sheetViews>
    <sheetView topLeftCell="C12" workbookViewId="0">
      <selection activeCell="J3" sqref="J3"/>
    </sheetView>
  </sheetViews>
  <sheetFormatPr defaultRowHeight="15"/>
  <cols>
    <col min="1" max="1" width="6" customWidth="1"/>
    <col min="3" max="3" width="10.85546875" customWidth="1"/>
    <col min="4" max="4" width="53.42578125" customWidth="1"/>
    <col min="5" max="5" width="14.42578125" customWidth="1"/>
    <col min="6" max="6" width="10.42578125" customWidth="1"/>
    <col min="7" max="7" width="12.7109375" customWidth="1"/>
    <col min="8" max="8" width="19.85546875" customWidth="1"/>
    <col min="10" max="10" width="10.7109375" customWidth="1"/>
    <col min="11" max="11" width="11.28515625" customWidth="1"/>
  </cols>
  <sheetData>
    <row r="1" spans="1:11" ht="56.25" customHeight="1">
      <c r="A1" s="94" t="s">
        <v>149</v>
      </c>
      <c r="B1" s="93" t="s">
        <v>150</v>
      </c>
      <c r="C1" s="93" t="s">
        <v>151</v>
      </c>
      <c r="D1" s="93" t="s">
        <v>152</v>
      </c>
      <c r="E1" s="93" t="s">
        <v>153</v>
      </c>
      <c r="F1" s="93" t="s">
        <v>154</v>
      </c>
      <c r="G1" s="93" t="s">
        <v>155</v>
      </c>
      <c r="H1" s="93" t="s">
        <v>156</v>
      </c>
      <c r="I1" s="93" t="s">
        <v>157</v>
      </c>
      <c r="J1" s="93" t="s">
        <v>158</v>
      </c>
      <c r="K1" s="93" t="s">
        <v>159</v>
      </c>
    </row>
    <row r="2" spans="1:11" ht="18.75" customHeight="1">
      <c r="A2" s="96">
        <v>1</v>
      </c>
      <c r="B2" s="96" t="s">
        <v>17</v>
      </c>
      <c r="C2" s="96" t="s">
        <v>160</v>
      </c>
      <c r="D2" s="97" t="s">
        <v>161</v>
      </c>
      <c r="E2" s="96" t="s">
        <v>162</v>
      </c>
      <c r="F2" s="96" t="s">
        <v>163</v>
      </c>
      <c r="G2" s="96">
        <v>225</v>
      </c>
      <c r="H2" s="99" t="s">
        <v>164</v>
      </c>
      <c r="I2" s="98">
        <v>1</v>
      </c>
      <c r="J2" s="96" t="s">
        <v>165</v>
      </c>
      <c r="K2" s="96" t="s">
        <v>166</v>
      </c>
    </row>
    <row r="3" spans="1:11" ht="15.75">
      <c r="A3" s="96">
        <f>1+A2</f>
        <v>2</v>
      </c>
      <c r="B3" s="96" t="s">
        <v>17</v>
      </c>
      <c r="C3" s="96" t="s">
        <v>160</v>
      </c>
      <c r="D3" s="97" t="s">
        <v>167</v>
      </c>
      <c r="E3" s="96" t="s">
        <v>162</v>
      </c>
      <c r="F3" s="96" t="s">
        <v>163</v>
      </c>
      <c r="G3" s="96">
        <v>225</v>
      </c>
      <c r="H3" s="99" t="s">
        <v>168</v>
      </c>
      <c r="I3" s="98">
        <v>1</v>
      </c>
      <c r="J3" s="96" t="s">
        <v>165</v>
      </c>
      <c r="K3" s="96" t="s">
        <v>166</v>
      </c>
    </row>
    <row r="4" spans="1:11" ht="15.75">
      <c r="A4" s="96">
        <f t="shared" ref="A4:A20" si="0">1+A3</f>
        <v>3</v>
      </c>
      <c r="B4" s="96" t="s">
        <v>17</v>
      </c>
      <c r="C4" s="96" t="s">
        <v>160</v>
      </c>
      <c r="D4" s="97" t="s">
        <v>169</v>
      </c>
      <c r="E4" s="96" t="s">
        <v>162</v>
      </c>
      <c r="F4" s="96" t="s">
        <v>163</v>
      </c>
      <c r="G4" s="96">
        <v>225</v>
      </c>
      <c r="H4" s="99" t="s">
        <v>170</v>
      </c>
      <c r="I4" s="98">
        <v>1</v>
      </c>
      <c r="J4" s="96" t="s">
        <v>165</v>
      </c>
      <c r="K4" s="96" t="s">
        <v>166</v>
      </c>
    </row>
    <row r="5" spans="1:11" ht="15.75">
      <c r="A5" s="96">
        <f t="shared" si="0"/>
        <v>4</v>
      </c>
      <c r="B5" s="96" t="s">
        <v>17</v>
      </c>
      <c r="C5" s="96" t="s">
        <v>160</v>
      </c>
      <c r="D5" s="97" t="s">
        <v>171</v>
      </c>
      <c r="E5" s="96" t="s">
        <v>162</v>
      </c>
      <c r="F5" s="96" t="s">
        <v>163</v>
      </c>
      <c r="G5" s="96">
        <v>225</v>
      </c>
      <c r="H5" s="99" t="s">
        <v>172</v>
      </c>
      <c r="I5" s="98">
        <v>1</v>
      </c>
      <c r="J5" s="96" t="s">
        <v>165</v>
      </c>
      <c r="K5" s="96" t="s">
        <v>166</v>
      </c>
    </row>
    <row r="6" spans="1:11" ht="15.75">
      <c r="A6" s="96">
        <f t="shared" si="0"/>
        <v>5</v>
      </c>
      <c r="B6" s="96" t="s">
        <v>17</v>
      </c>
      <c r="C6" s="96" t="s">
        <v>160</v>
      </c>
      <c r="D6" s="97" t="s">
        <v>173</v>
      </c>
      <c r="E6" s="96" t="s">
        <v>162</v>
      </c>
      <c r="F6" s="96" t="s">
        <v>163</v>
      </c>
      <c r="G6" s="96">
        <v>225</v>
      </c>
      <c r="H6" s="99" t="s">
        <v>174</v>
      </c>
      <c r="I6" s="98">
        <v>1</v>
      </c>
      <c r="J6" s="96" t="s">
        <v>165</v>
      </c>
      <c r="K6" s="96" t="s">
        <v>166</v>
      </c>
    </row>
    <row r="7" spans="1:11" ht="15.75">
      <c r="A7" s="96">
        <f t="shared" si="0"/>
        <v>6</v>
      </c>
      <c r="B7" s="96" t="s">
        <v>17</v>
      </c>
      <c r="C7" s="96" t="s">
        <v>160</v>
      </c>
      <c r="D7" s="97" t="s">
        <v>175</v>
      </c>
      <c r="E7" s="96" t="s">
        <v>162</v>
      </c>
      <c r="F7" s="96" t="s">
        <v>163</v>
      </c>
      <c r="G7" s="96">
        <v>225</v>
      </c>
      <c r="H7" s="99" t="s">
        <v>176</v>
      </c>
      <c r="I7" s="98">
        <v>1</v>
      </c>
      <c r="J7" s="96" t="s">
        <v>165</v>
      </c>
      <c r="K7" s="96" t="s">
        <v>166</v>
      </c>
    </row>
    <row r="8" spans="1:11" ht="15.75">
      <c r="A8" s="96">
        <f t="shared" si="0"/>
        <v>7</v>
      </c>
      <c r="B8" s="96" t="s">
        <v>17</v>
      </c>
      <c r="C8" s="96" t="s">
        <v>160</v>
      </c>
      <c r="D8" s="97" t="s">
        <v>177</v>
      </c>
      <c r="E8" s="96" t="s">
        <v>162</v>
      </c>
      <c r="F8" s="96" t="s">
        <v>163</v>
      </c>
      <c r="G8" s="96">
        <v>225</v>
      </c>
      <c r="H8" s="99" t="s">
        <v>178</v>
      </c>
      <c r="I8" s="98">
        <v>1</v>
      </c>
      <c r="J8" s="96" t="s">
        <v>165</v>
      </c>
      <c r="K8" s="96" t="s">
        <v>166</v>
      </c>
    </row>
    <row r="9" spans="1:11" ht="15.75">
      <c r="A9" s="96">
        <f t="shared" si="0"/>
        <v>8</v>
      </c>
      <c r="B9" s="96" t="s">
        <v>17</v>
      </c>
      <c r="C9" s="96" t="s">
        <v>160</v>
      </c>
      <c r="D9" s="97" t="s">
        <v>179</v>
      </c>
      <c r="E9" s="96" t="s">
        <v>162</v>
      </c>
      <c r="F9" s="96" t="s">
        <v>163</v>
      </c>
      <c r="G9" s="96">
        <v>225</v>
      </c>
      <c r="H9" s="99" t="s">
        <v>180</v>
      </c>
      <c r="I9" s="98">
        <v>1</v>
      </c>
      <c r="J9" s="96" t="s">
        <v>165</v>
      </c>
      <c r="K9" s="96" t="s">
        <v>166</v>
      </c>
    </row>
    <row r="10" spans="1:11" ht="15.75">
      <c r="A10" s="96">
        <f t="shared" si="0"/>
        <v>9</v>
      </c>
      <c r="B10" s="96" t="s">
        <v>17</v>
      </c>
      <c r="C10" s="96" t="s">
        <v>160</v>
      </c>
      <c r="D10" s="97" t="s">
        <v>181</v>
      </c>
      <c r="E10" s="96" t="s">
        <v>162</v>
      </c>
      <c r="F10" s="96" t="s">
        <v>163</v>
      </c>
      <c r="G10" s="96">
        <v>225</v>
      </c>
      <c r="H10" s="99" t="s">
        <v>182</v>
      </c>
      <c r="I10" s="98">
        <v>1</v>
      </c>
      <c r="J10" s="96" t="s">
        <v>165</v>
      </c>
      <c r="K10" s="96" t="s">
        <v>166</v>
      </c>
    </row>
    <row r="11" spans="1:11" ht="15.75">
      <c r="A11" s="96">
        <f t="shared" si="0"/>
        <v>10</v>
      </c>
      <c r="B11" s="96" t="s">
        <v>17</v>
      </c>
      <c r="C11" s="96" t="s">
        <v>160</v>
      </c>
      <c r="D11" s="97" t="s">
        <v>183</v>
      </c>
      <c r="E11" s="96" t="s">
        <v>162</v>
      </c>
      <c r="F11" s="96" t="s">
        <v>163</v>
      </c>
      <c r="G11" s="96">
        <v>225</v>
      </c>
      <c r="H11" s="99" t="s">
        <v>184</v>
      </c>
      <c r="I11" s="98">
        <v>1</v>
      </c>
      <c r="J11" s="96" t="s">
        <v>165</v>
      </c>
      <c r="K11" s="96" t="s">
        <v>166</v>
      </c>
    </row>
    <row r="12" spans="1:11" ht="15.75">
      <c r="A12" s="96">
        <f t="shared" si="0"/>
        <v>11</v>
      </c>
      <c r="B12" s="96" t="s">
        <v>17</v>
      </c>
      <c r="C12" s="96" t="s">
        <v>160</v>
      </c>
      <c r="D12" s="97" t="s">
        <v>185</v>
      </c>
      <c r="E12" s="96" t="s">
        <v>162</v>
      </c>
      <c r="F12" s="96" t="s">
        <v>163</v>
      </c>
      <c r="G12" s="96">
        <v>225</v>
      </c>
      <c r="H12" s="99" t="s">
        <v>186</v>
      </c>
      <c r="I12" s="98">
        <v>1</v>
      </c>
      <c r="J12" s="96" t="s">
        <v>165</v>
      </c>
      <c r="K12" s="96" t="s">
        <v>166</v>
      </c>
    </row>
    <row r="13" spans="1:11" ht="15.75">
      <c r="A13" s="96">
        <f t="shared" si="0"/>
        <v>12</v>
      </c>
      <c r="B13" s="96" t="s">
        <v>17</v>
      </c>
      <c r="C13" s="96" t="s">
        <v>160</v>
      </c>
      <c r="D13" s="97" t="s">
        <v>187</v>
      </c>
      <c r="E13" s="96" t="s">
        <v>162</v>
      </c>
      <c r="F13" s="96" t="s">
        <v>163</v>
      </c>
      <c r="G13" s="96">
        <v>225</v>
      </c>
      <c r="H13" s="99" t="s">
        <v>188</v>
      </c>
      <c r="I13" s="98">
        <v>1</v>
      </c>
      <c r="J13" s="96" t="s">
        <v>165</v>
      </c>
      <c r="K13" s="96" t="s">
        <v>166</v>
      </c>
    </row>
    <row r="14" spans="1:11" ht="15.75">
      <c r="A14" s="96">
        <f t="shared" si="0"/>
        <v>13</v>
      </c>
      <c r="B14" s="96" t="s">
        <v>17</v>
      </c>
      <c r="C14" s="96" t="s">
        <v>160</v>
      </c>
      <c r="D14" s="97" t="s">
        <v>189</v>
      </c>
      <c r="E14" s="96" t="s">
        <v>162</v>
      </c>
      <c r="F14" s="96" t="s">
        <v>163</v>
      </c>
      <c r="G14" s="96">
        <v>225</v>
      </c>
      <c r="H14" s="99" t="s">
        <v>190</v>
      </c>
      <c r="I14" s="98">
        <v>1</v>
      </c>
      <c r="J14" s="96" t="s">
        <v>165</v>
      </c>
      <c r="K14" s="96" t="s">
        <v>166</v>
      </c>
    </row>
    <row r="15" spans="1:11" ht="15.75">
      <c r="A15" s="96">
        <f t="shared" si="0"/>
        <v>14</v>
      </c>
      <c r="B15" s="96" t="s">
        <v>17</v>
      </c>
      <c r="C15" s="96" t="s">
        <v>160</v>
      </c>
      <c r="D15" s="97" t="s">
        <v>191</v>
      </c>
      <c r="E15" s="96" t="s">
        <v>162</v>
      </c>
      <c r="F15" s="96" t="s">
        <v>163</v>
      </c>
      <c r="G15" s="96">
        <v>225</v>
      </c>
      <c r="H15" s="99" t="s">
        <v>192</v>
      </c>
      <c r="I15" s="98">
        <v>1</v>
      </c>
      <c r="J15" s="96" t="s">
        <v>165</v>
      </c>
      <c r="K15" s="96" t="s">
        <v>166</v>
      </c>
    </row>
    <row r="16" spans="1:11" ht="15.75">
      <c r="A16" s="96">
        <f t="shared" si="0"/>
        <v>15</v>
      </c>
      <c r="B16" s="96" t="s">
        <v>17</v>
      </c>
      <c r="C16" s="96" t="s">
        <v>160</v>
      </c>
      <c r="D16" s="97" t="s">
        <v>193</v>
      </c>
      <c r="E16" s="96" t="s">
        <v>162</v>
      </c>
      <c r="F16" s="96" t="s">
        <v>163</v>
      </c>
      <c r="G16" s="96">
        <v>225</v>
      </c>
      <c r="H16" s="99" t="s">
        <v>194</v>
      </c>
      <c r="I16" s="98">
        <v>1</v>
      </c>
      <c r="J16" s="96" t="s">
        <v>165</v>
      </c>
      <c r="K16" s="96" t="s">
        <v>166</v>
      </c>
    </row>
    <row r="17" spans="1:11" ht="15.75">
      <c r="A17" s="96">
        <f t="shared" si="0"/>
        <v>16</v>
      </c>
      <c r="B17" s="96" t="s">
        <v>17</v>
      </c>
      <c r="C17" s="96" t="s">
        <v>160</v>
      </c>
      <c r="D17" s="97" t="s">
        <v>195</v>
      </c>
      <c r="E17" s="96" t="s">
        <v>162</v>
      </c>
      <c r="F17" s="96" t="s">
        <v>163</v>
      </c>
      <c r="G17" s="96">
        <v>225</v>
      </c>
      <c r="H17" s="99" t="s">
        <v>196</v>
      </c>
      <c r="I17" s="98">
        <v>1</v>
      </c>
      <c r="J17" s="96" t="s">
        <v>165</v>
      </c>
      <c r="K17" s="96" t="s">
        <v>166</v>
      </c>
    </row>
    <row r="18" spans="1:11" ht="15.75">
      <c r="A18" s="96">
        <f t="shared" si="0"/>
        <v>17</v>
      </c>
      <c r="B18" s="96" t="s">
        <v>17</v>
      </c>
      <c r="C18" s="96" t="s">
        <v>160</v>
      </c>
      <c r="D18" s="97" t="s">
        <v>197</v>
      </c>
      <c r="E18" s="96" t="s">
        <v>162</v>
      </c>
      <c r="F18" s="96" t="s">
        <v>163</v>
      </c>
      <c r="G18" s="96">
        <v>225</v>
      </c>
      <c r="H18" s="99" t="s">
        <v>198</v>
      </c>
      <c r="I18" s="98">
        <v>1</v>
      </c>
      <c r="J18" s="96" t="s">
        <v>165</v>
      </c>
      <c r="K18" s="96" t="s">
        <v>166</v>
      </c>
    </row>
    <row r="19" spans="1:11" ht="15.75">
      <c r="A19" s="96">
        <f t="shared" si="0"/>
        <v>18</v>
      </c>
      <c r="B19" s="96" t="s">
        <v>17</v>
      </c>
      <c r="C19" s="96" t="s">
        <v>160</v>
      </c>
      <c r="D19" s="97" t="s">
        <v>199</v>
      </c>
      <c r="E19" s="96" t="s">
        <v>162</v>
      </c>
      <c r="F19" s="96" t="s">
        <v>163</v>
      </c>
      <c r="G19" s="96">
        <v>225</v>
      </c>
      <c r="H19" s="99" t="s">
        <v>200</v>
      </c>
      <c r="I19" s="98">
        <v>1</v>
      </c>
      <c r="J19" s="96" t="s">
        <v>165</v>
      </c>
      <c r="K19" s="96" t="s">
        <v>166</v>
      </c>
    </row>
    <row r="20" spans="1:11" ht="15.75">
      <c r="A20" s="96">
        <f t="shared" si="0"/>
        <v>19</v>
      </c>
      <c r="B20" s="96" t="s">
        <v>17</v>
      </c>
      <c r="C20" s="96" t="s">
        <v>160</v>
      </c>
      <c r="D20" s="97" t="s">
        <v>201</v>
      </c>
      <c r="E20" s="96" t="s">
        <v>162</v>
      </c>
      <c r="F20" s="96" t="s">
        <v>163</v>
      </c>
      <c r="G20" s="96">
        <v>225</v>
      </c>
      <c r="H20" s="99" t="s">
        <v>202</v>
      </c>
      <c r="I20" s="98">
        <v>1</v>
      </c>
      <c r="J20" s="96" t="s">
        <v>165</v>
      </c>
      <c r="K20" s="96" t="s">
        <v>166</v>
      </c>
    </row>
    <row r="21" spans="1:11" ht="15.75">
      <c r="A21" s="96">
        <v>20</v>
      </c>
      <c r="B21" s="96" t="s">
        <v>17</v>
      </c>
      <c r="C21" s="96" t="s">
        <v>160</v>
      </c>
      <c r="D21" s="97" t="s">
        <v>197</v>
      </c>
      <c r="E21" s="96" t="s">
        <v>162</v>
      </c>
      <c r="F21" s="96" t="s">
        <v>163</v>
      </c>
      <c r="G21" s="96">
        <v>225</v>
      </c>
      <c r="H21" s="99" t="s">
        <v>203</v>
      </c>
      <c r="I21" s="98">
        <v>1</v>
      </c>
      <c r="J21" s="96" t="s">
        <v>165</v>
      </c>
      <c r="K21" s="96" t="s">
        <v>166</v>
      </c>
    </row>
    <row r="22" spans="1:11" ht="15.75">
      <c r="A22" s="96">
        <v>21</v>
      </c>
      <c r="B22" s="96" t="s">
        <v>17</v>
      </c>
      <c r="C22" s="96" t="s">
        <v>204</v>
      </c>
      <c r="D22" s="97" t="s">
        <v>205</v>
      </c>
      <c r="E22" s="96" t="s">
        <v>162</v>
      </c>
      <c r="F22" s="96" t="s">
        <v>163</v>
      </c>
      <c r="G22" s="96">
        <v>1300</v>
      </c>
      <c r="H22" s="99" t="s">
        <v>206</v>
      </c>
      <c r="I22" s="98">
        <v>1</v>
      </c>
      <c r="J22" s="96" t="s">
        <v>165</v>
      </c>
      <c r="K22" s="96" t="s">
        <v>207</v>
      </c>
    </row>
    <row r="23" spans="1:11" ht="15.75">
      <c r="A23" s="96">
        <v>22</v>
      </c>
      <c r="B23" s="96" t="s">
        <v>17</v>
      </c>
      <c r="C23" s="96" t="s">
        <v>204</v>
      </c>
      <c r="D23" s="97" t="s">
        <v>208</v>
      </c>
      <c r="E23" s="96" t="s">
        <v>162</v>
      </c>
      <c r="F23" s="96" t="s">
        <v>163</v>
      </c>
      <c r="G23" s="96">
        <v>85</v>
      </c>
      <c r="H23" s="99" t="s">
        <v>209</v>
      </c>
      <c r="I23" s="98">
        <v>1</v>
      </c>
      <c r="J23" s="96" t="s">
        <v>165</v>
      </c>
      <c r="K23" s="96" t="s">
        <v>207</v>
      </c>
    </row>
    <row r="24" spans="1:11" ht="15.75">
      <c r="A24" s="96">
        <v>23</v>
      </c>
      <c r="B24" s="96" t="s">
        <v>17</v>
      </c>
      <c r="C24" s="96" t="s">
        <v>204</v>
      </c>
      <c r="D24" s="97" t="s">
        <v>210</v>
      </c>
      <c r="E24" s="96" t="s">
        <v>162</v>
      </c>
      <c r="F24" s="96" t="s">
        <v>163</v>
      </c>
      <c r="G24" s="96">
        <v>1300</v>
      </c>
      <c r="H24" s="99" t="s">
        <v>211</v>
      </c>
      <c r="I24" s="98">
        <v>1</v>
      </c>
      <c r="J24" s="96" t="s">
        <v>165</v>
      </c>
      <c r="K24" s="96" t="s">
        <v>207</v>
      </c>
    </row>
    <row r="25" spans="1:11" ht="15.75">
      <c r="A25" s="96">
        <v>24</v>
      </c>
      <c r="B25" s="96" t="s">
        <v>17</v>
      </c>
      <c r="C25" s="96" t="s">
        <v>204</v>
      </c>
      <c r="D25" s="97" t="s">
        <v>212</v>
      </c>
      <c r="E25" s="96" t="s">
        <v>162</v>
      </c>
      <c r="F25" s="96" t="s">
        <v>163</v>
      </c>
      <c r="G25" s="96">
        <v>1300</v>
      </c>
      <c r="H25" s="99" t="s">
        <v>213</v>
      </c>
      <c r="I25" s="98">
        <v>1</v>
      </c>
      <c r="J25" s="96" t="s">
        <v>165</v>
      </c>
      <c r="K25" s="96" t="s">
        <v>207</v>
      </c>
    </row>
    <row r="26" spans="1:11" ht="15.75">
      <c r="A26" s="96">
        <v>25</v>
      </c>
      <c r="B26" s="96" t="s">
        <v>17</v>
      </c>
      <c r="C26" s="96" t="s">
        <v>204</v>
      </c>
      <c r="D26" s="97" t="s">
        <v>214</v>
      </c>
      <c r="E26" s="96" t="s">
        <v>162</v>
      </c>
      <c r="F26" s="96" t="s">
        <v>163</v>
      </c>
      <c r="G26" s="96">
        <v>1300</v>
      </c>
      <c r="H26" s="99" t="s">
        <v>215</v>
      </c>
      <c r="I26" s="98">
        <v>1</v>
      </c>
      <c r="J26" s="96" t="s">
        <v>165</v>
      </c>
      <c r="K26" s="96" t="s">
        <v>207</v>
      </c>
    </row>
    <row r="27" spans="1:11" ht="15.75">
      <c r="A27" s="96">
        <v>26</v>
      </c>
      <c r="B27" s="96" t="s">
        <v>17</v>
      </c>
      <c r="C27" s="96" t="s">
        <v>204</v>
      </c>
      <c r="D27" s="97" t="s">
        <v>216</v>
      </c>
      <c r="E27" s="96" t="s">
        <v>162</v>
      </c>
      <c r="F27" s="96" t="s">
        <v>163</v>
      </c>
      <c r="G27" s="96">
        <v>1300</v>
      </c>
      <c r="H27" s="99" t="s">
        <v>217</v>
      </c>
      <c r="I27" s="98">
        <v>1</v>
      </c>
      <c r="J27" s="96" t="s">
        <v>165</v>
      </c>
      <c r="K27" s="96" t="s">
        <v>207</v>
      </c>
    </row>
    <row r="28" spans="1:11" ht="15.75">
      <c r="A28" s="96">
        <v>27</v>
      </c>
      <c r="B28" s="96" t="s">
        <v>17</v>
      </c>
      <c r="C28" s="96" t="s">
        <v>204</v>
      </c>
      <c r="D28" s="97" t="s">
        <v>218</v>
      </c>
      <c r="E28" s="96" t="s">
        <v>162</v>
      </c>
      <c r="F28" s="96" t="s">
        <v>163</v>
      </c>
      <c r="G28" s="96">
        <v>125</v>
      </c>
      <c r="H28" s="99" t="s">
        <v>219</v>
      </c>
      <c r="I28" s="98">
        <v>1</v>
      </c>
      <c r="J28" s="96" t="s">
        <v>165</v>
      </c>
      <c r="K28" s="96" t="s">
        <v>207</v>
      </c>
    </row>
    <row r="29" spans="1:11" ht="15.75">
      <c r="A29" s="96">
        <v>28</v>
      </c>
      <c r="B29" s="96" t="s">
        <v>17</v>
      </c>
      <c r="C29" s="96" t="s">
        <v>204</v>
      </c>
      <c r="D29" s="97" t="s">
        <v>220</v>
      </c>
      <c r="E29" s="96" t="s">
        <v>162</v>
      </c>
      <c r="F29" s="96" t="s">
        <v>163</v>
      </c>
      <c r="G29" s="96">
        <v>1300</v>
      </c>
      <c r="H29" s="99" t="s">
        <v>221</v>
      </c>
      <c r="I29" s="98">
        <v>1</v>
      </c>
      <c r="J29" s="96" t="s">
        <v>165</v>
      </c>
      <c r="K29" s="96" t="s">
        <v>207</v>
      </c>
    </row>
    <row r="30" spans="1:11" ht="15.75">
      <c r="A30" s="96">
        <v>29</v>
      </c>
      <c r="B30" s="96" t="s">
        <v>17</v>
      </c>
      <c r="C30" s="96" t="s">
        <v>204</v>
      </c>
      <c r="D30" s="97" t="s">
        <v>222</v>
      </c>
      <c r="E30" s="96" t="s">
        <v>162</v>
      </c>
      <c r="F30" s="96" t="s">
        <v>163</v>
      </c>
      <c r="G30" s="96">
        <v>1300</v>
      </c>
      <c r="H30" s="99" t="s">
        <v>223</v>
      </c>
      <c r="I30" s="98">
        <v>1</v>
      </c>
      <c r="J30" s="96" t="s">
        <v>165</v>
      </c>
      <c r="K30" s="96" t="s">
        <v>207</v>
      </c>
    </row>
    <row r="31" spans="1:11" ht="15.75">
      <c r="A31" s="96">
        <v>30</v>
      </c>
      <c r="B31" s="96" t="s">
        <v>17</v>
      </c>
      <c r="C31" s="96" t="s">
        <v>204</v>
      </c>
      <c r="D31" s="97" t="s">
        <v>224</v>
      </c>
      <c r="E31" s="96" t="s">
        <v>162</v>
      </c>
      <c r="F31" s="96" t="s">
        <v>163</v>
      </c>
      <c r="G31" s="96">
        <v>1300</v>
      </c>
      <c r="H31" s="99" t="s">
        <v>225</v>
      </c>
      <c r="I31" s="98">
        <v>1</v>
      </c>
      <c r="J31" s="96" t="s">
        <v>165</v>
      </c>
      <c r="K31" s="96" t="s">
        <v>207</v>
      </c>
    </row>
    <row r="32" spans="1:11" ht="15.75">
      <c r="A32" s="96">
        <v>31</v>
      </c>
      <c r="B32" s="96" t="s">
        <v>17</v>
      </c>
      <c r="C32" s="96" t="s">
        <v>226</v>
      </c>
      <c r="D32" s="97" t="s">
        <v>227</v>
      </c>
      <c r="E32" s="96" t="s">
        <v>162</v>
      </c>
      <c r="F32" s="96" t="s">
        <v>163</v>
      </c>
      <c r="G32" s="96">
        <v>235</v>
      </c>
      <c r="H32" s="99" t="s">
        <v>228</v>
      </c>
      <c r="I32" s="98">
        <v>1</v>
      </c>
      <c r="J32" s="96" t="s">
        <v>165</v>
      </c>
      <c r="K32" s="96" t="s">
        <v>229</v>
      </c>
    </row>
    <row r="33" spans="1:11" ht="15.75">
      <c r="A33" s="96">
        <v>32</v>
      </c>
      <c r="B33" s="96" t="s">
        <v>17</v>
      </c>
      <c r="C33" s="96" t="s">
        <v>226</v>
      </c>
      <c r="D33" s="97" t="s">
        <v>230</v>
      </c>
      <c r="E33" s="96" t="s">
        <v>162</v>
      </c>
      <c r="F33" s="96" t="s">
        <v>163</v>
      </c>
      <c r="G33" s="96">
        <v>830</v>
      </c>
      <c r="H33" s="99" t="s">
        <v>231</v>
      </c>
      <c r="I33" s="98">
        <v>1</v>
      </c>
      <c r="J33" s="96" t="s">
        <v>165</v>
      </c>
      <c r="K33" s="96" t="s">
        <v>229</v>
      </c>
    </row>
    <row r="34" spans="1:11" ht="15.75">
      <c r="A34" s="96">
        <v>33</v>
      </c>
      <c r="B34" s="96" t="s">
        <v>17</v>
      </c>
      <c r="C34" s="96" t="s">
        <v>226</v>
      </c>
      <c r="D34" s="97" t="s">
        <v>232</v>
      </c>
      <c r="E34" s="96" t="s">
        <v>162</v>
      </c>
      <c r="F34" s="96" t="s">
        <v>163</v>
      </c>
      <c r="G34" s="96">
        <v>269</v>
      </c>
      <c r="H34" s="99" t="s">
        <v>233</v>
      </c>
      <c r="I34" s="98">
        <v>1</v>
      </c>
      <c r="J34" s="96" t="s">
        <v>165</v>
      </c>
      <c r="K34" s="96" t="s">
        <v>229</v>
      </c>
    </row>
    <row r="35" spans="1:11" ht="15.75">
      <c r="A35" s="96">
        <v>34</v>
      </c>
      <c r="B35" s="96" t="s">
        <v>17</v>
      </c>
      <c r="C35" s="96" t="s">
        <v>226</v>
      </c>
      <c r="D35" s="97" t="s">
        <v>234</v>
      </c>
      <c r="E35" s="96" t="s">
        <v>162</v>
      </c>
      <c r="F35" s="96" t="s">
        <v>163</v>
      </c>
      <c r="G35" s="96">
        <v>314</v>
      </c>
      <c r="H35" s="99" t="s">
        <v>235</v>
      </c>
      <c r="I35" s="98">
        <v>1</v>
      </c>
      <c r="J35" s="96" t="s">
        <v>165</v>
      </c>
      <c r="K35" s="96" t="s">
        <v>229</v>
      </c>
    </row>
    <row r="36" spans="1:11" ht="15.75">
      <c r="A36" s="96">
        <v>35</v>
      </c>
      <c r="B36" s="96" t="s">
        <v>17</v>
      </c>
      <c r="C36" s="96" t="s">
        <v>226</v>
      </c>
      <c r="D36" s="97" t="s">
        <v>236</v>
      </c>
      <c r="E36" s="96" t="s">
        <v>162</v>
      </c>
      <c r="F36" s="96" t="s">
        <v>163</v>
      </c>
      <c r="G36" s="96">
        <v>160</v>
      </c>
      <c r="H36" s="99" t="s">
        <v>237</v>
      </c>
      <c r="I36" s="98">
        <v>1</v>
      </c>
      <c r="J36" s="96" t="s">
        <v>165</v>
      </c>
      <c r="K36" s="96" t="s">
        <v>229</v>
      </c>
    </row>
    <row r="37" spans="1:11" ht="15.75">
      <c r="A37" s="96">
        <v>36</v>
      </c>
      <c r="B37" s="96" t="s">
        <v>17</v>
      </c>
      <c r="C37" s="96" t="s">
        <v>226</v>
      </c>
      <c r="D37" s="97" t="s">
        <v>238</v>
      </c>
      <c r="E37" s="96" t="s">
        <v>162</v>
      </c>
      <c r="F37" s="96" t="s">
        <v>163</v>
      </c>
      <c r="G37" s="96">
        <v>95</v>
      </c>
      <c r="H37" s="99" t="s">
        <v>239</v>
      </c>
      <c r="I37" s="98">
        <v>1</v>
      </c>
      <c r="J37" s="96" t="s">
        <v>165</v>
      </c>
      <c r="K37" s="96" t="s">
        <v>229</v>
      </c>
    </row>
    <row r="38" spans="1:11" ht="15.75">
      <c r="A38" s="96">
        <v>37</v>
      </c>
      <c r="B38" s="96" t="s">
        <v>17</v>
      </c>
      <c r="C38" s="96" t="s">
        <v>226</v>
      </c>
      <c r="D38" s="97" t="s">
        <v>240</v>
      </c>
      <c r="E38" s="96" t="s">
        <v>162</v>
      </c>
      <c r="F38" s="96" t="s">
        <v>163</v>
      </c>
      <c r="G38" s="96">
        <v>300</v>
      </c>
      <c r="H38" s="99" t="s">
        <v>241</v>
      </c>
      <c r="I38" s="98">
        <v>1</v>
      </c>
      <c r="J38" s="96" t="s">
        <v>165</v>
      </c>
      <c r="K38" s="96" t="s">
        <v>229</v>
      </c>
    </row>
    <row r="39" spans="1:11" ht="15.75">
      <c r="A39" s="96">
        <v>38</v>
      </c>
      <c r="B39" s="96" t="s">
        <v>17</v>
      </c>
      <c r="C39" s="96" t="s">
        <v>226</v>
      </c>
      <c r="D39" s="97" t="s">
        <v>242</v>
      </c>
      <c r="E39" s="96" t="s">
        <v>162</v>
      </c>
      <c r="F39" s="96" t="s">
        <v>163</v>
      </c>
      <c r="G39" s="96">
        <v>1000</v>
      </c>
      <c r="H39" s="99" t="s">
        <v>243</v>
      </c>
      <c r="I39" s="98">
        <v>1</v>
      </c>
      <c r="J39" s="96" t="s">
        <v>165</v>
      </c>
      <c r="K39" s="96" t="s">
        <v>229</v>
      </c>
    </row>
    <row r="40" spans="1:11" ht="15.75">
      <c r="A40" s="96">
        <v>39</v>
      </c>
      <c r="B40" s="96" t="s">
        <v>17</v>
      </c>
      <c r="C40" s="96" t="s">
        <v>226</v>
      </c>
      <c r="D40" s="97" t="s">
        <v>244</v>
      </c>
      <c r="E40" s="96" t="s">
        <v>162</v>
      </c>
      <c r="F40" s="96" t="s">
        <v>163</v>
      </c>
      <c r="G40" s="96">
        <v>1250</v>
      </c>
      <c r="H40" s="99" t="s">
        <v>245</v>
      </c>
      <c r="I40" s="98">
        <v>1</v>
      </c>
      <c r="J40" s="96" t="s">
        <v>165</v>
      </c>
      <c r="K40" s="96" t="s">
        <v>229</v>
      </c>
    </row>
    <row r="41" spans="1:11" ht="15.75">
      <c r="A41" s="96">
        <v>40</v>
      </c>
      <c r="B41" s="96" t="s">
        <v>17</v>
      </c>
      <c r="C41" s="96" t="s">
        <v>226</v>
      </c>
      <c r="D41" s="97" t="s">
        <v>246</v>
      </c>
      <c r="E41" s="96" t="s">
        <v>162</v>
      </c>
      <c r="F41" s="96" t="s">
        <v>163</v>
      </c>
      <c r="G41" s="96">
        <v>122</v>
      </c>
      <c r="H41" s="99" t="s">
        <v>247</v>
      </c>
      <c r="I41" s="98">
        <v>1</v>
      </c>
      <c r="J41" s="96" t="s">
        <v>165</v>
      </c>
      <c r="K41" s="96" t="s">
        <v>229</v>
      </c>
    </row>
    <row r="43" spans="1:11">
      <c r="G43">
        <f>SUBTOTAL(9,G2:G41)</f>
        <v>19685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B0E1-D8C4-45BE-8B06-584B8E7EFB12}">
  <dimension ref="A1:V45"/>
  <sheetViews>
    <sheetView topLeftCell="H27" workbookViewId="0">
      <selection activeCell="Q42" sqref="Q42"/>
    </sheetView>
  </sheetViews>
  <sheetFormatPr defaultRowHeight="15"/>
  <cols>
    <col min="1" max="1" width="5.140625" customWidth="1"/>
    <col min="2" max="2" width="11.85546875" customWidth="1"/>
    <col min="3" max="3" width="10.7109375" customWidth="1"/>
    <col min="4" max="4" width="17.42578125" customWidth="1"/>
    <col min="5" max="5" width="15.7109375" customWidth="1"/>
    <col min="6" max="6" width="31.42578125" customWidth="1"/>
    <col min="7" max="9" width="18" customWidth="1"/>
    <col min="10" max="10" width="28.28515625" customWidth="1"/>
    <col min="11" max="17" width="18" customWidth="1"/>
    <col min="18" max="18" width="24.5703125" customWidth="1"/>
    <col min="19" max="19" width="11.85546875" customWidth="1"/>
    <col min="20" max="20" width="13.28515625" customWidth="1"/>
  </cols>
  <sheetData>
    <row r="1" spans="1:22" ht="50.25">
      <c r="A1" s="120" t="s">
        <v>248</v>
      </c>
      <c r="B1" s="121" t="s">
        <v>150</v>
      </c>
      <c r="C1" s="121" t="s">
        <v>151</v>
      </c>
      <c r="D1" s="121" t="s">
        <v>152</v>
      </c>
      <c r="E1" s="121" t="s">
        <v>249</v>
      </c>
      <c r="F1" s="121" t="s">
        <v>250</v>
      </c>
      <c r="G1" s="121" t="s">
        <v>155</v>
      </c>
      <c r="H1" s="121" t="s">
        <v>251</v>
      </c>
      <c r="I1" s="121" t="s">
        <v>252</v>
      </c>
      <c r="J1" s="121" t="s">
        <v>253</v>
      </c>
      <c r="K1" s="121" t="s">
        <v>254</v>
      </c>
      <c r="L1" s="121" t="s">
        <v>255</v>
      </c>
      <c r="M1" s="121" t="s">
        <v>256</v>
      </c>
      <c r="N1" s="121" t="s">
        <v>257</v>
      </c>
      <c r="O1" s="121" t="s">
        <v>258</v>
      </c>
      <c r="P1" s="121" t="s">
        <v>259</v>
      </c>
      <c r="Q1" s="121" t="s">
        <v>260</v>
      </c>
      <c r="R1" s="121" t="s">
        <v>156</v>
      </c>
      <c r="S1" s="121" t="s">
        <v>261</v>
      </c>
      <c r="T1" s="121" t="s">
        <v>157</v>
      </c>
      <c r="U1" s="121" t="s">
        <v>262</v>
      </c>
      <c r="V1" s="121" t="s">
        <v>263</v>
      </c>
    </row>
    <row r="2" spans="1:22" ht="34.5" customHeight="1">
      <c r="A2" s="216">
        <v>1</v>
      </c>
      <c r="B2" s="216" t="s">
        <v>17</v>
      </c>
      <c r="C2" s="216" t="s">
        <v>19</v>
      </c>
      <c r="D2" s="216" t="s">
        <v>264</v>
      </c>
      <c r="E2" s="218" t="s">
        <v>265</v>
      </c>
      <c r="F2" s="123" t="s">
        <v>266</v>
      </c>
      <c r="G2" s="219">
        <v>2000</v>
      </c>
      <c r="H2" s="219"/>
      <c r="I2" s="124"/>
      <c r="J2" s="124"/>
      <c r="K2" s="124"/>
      <c r="L2" s="124"/>
      <c r="M2" s="124"/>
      <c r="N2" s="124"/>
      <c r="O2" s="124"/>
      <c r="P2" s="124"/>
      <c r="Q2" s="124"/>
      <c r="R2" s="122" t="s">
        <v>75</v>
      </c>
      <c r="S2" s="124">
        <v>6000</v>
      </c>
      <c r="T2" s="217">
        <v>1</v>
      </c>
      <c r="U2" s="215" t="s">
        <v>165</v>
      </c>
      <c r="V2" s="96"/>
    </row>
    <row r="3" spans="1:22" ht="39" customHeight="1">
      <c r="A3" s="216"/>
      <c r="B3" s="216"/>
      <c r="C3" s="216"/>
      <c r="D3" s="216"/>
      <c r="E3" s="218"/>
      <c r="F3" s="122" t="s">
        <v>267</v>
      </c>
      <c r="G3" s="218"/>
      <c r="H3" s="218"/>
      <c r="I3" s="122"/>
      <c r="J3" s="122"/>
      <c r="K3" s="122"/>
      <c r="L3" s="122"/>
      <c r="M3" s="122"/>
      <c r="N3" s="122"/>
      <c r="O3" s="122"/>
      <c r="P3" s="122"/>
      <c r="Q3" s="122"/>
      <c r="R3" s="122" t="s">
        <v>75</v>
      </c>
      <c r="S3" s="122" t="s">
        <v>75</v>
      </c>
      <c r="T3" s="218"/>
      <c r="U3" s="215"/>
      <c r="V3" s="96"/>
    </row>
    <row r="4" spans="1:22" ht="42" customHeight="1">
      <c r="A4" s="216"/>
      <c r="B4" s="216"/>
      <c r="C4" s="216"/>
      <c r="D4" s="216"/>
      <c r="E4" s="218"/>
      <c r="F4" s="122" t="s">
        <v>268</v>
      </c>
      <c r="G4" s="218"/>
      <c r="H4" s="218"/>
      <c r="I4" s="122"/>
      <c r="J4" s="122"/>
      <c r="K4" s="122"/>
      <c r="L4" s="122"/>
      <c r="M4" s="122"/>
      <c r="N4" s="122"/>
      <c r="O4" s="122"/>
      <c r="P4" s="122"/>
      <c r="Q4" s="122"/>
      <c r="R4" s="125"/>
      <c r="S4" s="126" t="s">
        <v>75</v>
      </c>
      <c r="T4" s="218"/>
      <c r="U4" s="215"/>
      <c r="V4" s="96"/>
    </row>
    <row r="5" spans="1:22">
      <c r="A5" s="216"/>
      <c r="B5" s="216"/>
      <c r="C5" s="216"/>
      <c r="D5" s="216"/>
      <c r="E5" s="218"/>
      <c r="F5" s="127" t="s">
        <v>269</v>
      </c>
      <c r="G5" s="218"/>
      <c r="H5" s="218"/>
      <c r="I5" s="122"/>
      <c r="J5" s="122"/>
      <c r="K5" s="122"/>
      <c r="L5" s="122"/>
      <c r="M5" s="122"/>
      <c r="N5" s="122"/>
      <c r="O5" s="122"/>
      <c r="P5" s="122"/>
      <c r="Q5" s="122"/>
      <c r="R5" s="125"/>
      <c r="S5" s="126" t="s">
        <v>75</v>
      </c>
      <c r="T5" s="218"/>
      <c r="U5" s="215"/>
      <c r="V5" s="96"/>
    </row>
    <row r="6" spans="1:22" ht="39.75" customHeight="1">
      <c r="A6" s="216"/>
      <c r="B6" s="216"/>
      <c r="C6" s="216"/>
      <c r="D6" s="216"/>
      <c r="E6" s="218"/>
      <c r="F6" s="127" t="s">
        <v>270</v>
      </c>
      <c r="G6" s="218"/>
      <c r="H6" s="218"/>
      <c r="I6" s="122"/>
      <c r="J6" s="122"/>
      <c r="K6" s="122"/>
      <c r="L6" s="122"/>
      <c r="M6" s="122"/>
      <c r="N6" s="122"/>
      <c r="O6" s="122"/>
      <c r="P6" s="122"/>
      <c r="Q6" s="122"/>
      <c r="R6" s="128" t="s">
        <v>271</v>
      </c>
      <c r="S6" s="126" t="s">
        <v>75</v>
      </c>
      <c r="T6" s="218"/>
      <c r="U6" s="215"/>
      <c r="V6" s="96"/>
    </row>
    <row r="7" spans="1:22" ht="23.25" customHeight="1">
      <c r="A7" s="216"/>
      <c r="B7" s="216"/>
      <c r="C7" s="216"/>
      <c r="D7" s="216"/>
      <c r="E7" s="218"/>
      <c r="F7" s="122" t="s">
        <v>272</v>
      </c>
      <c r="G7" s="218"/>
      <c r="H7" s="128">
        <v>8.6999999999999993</v>
      </c>
      <c r="I7" s="128">
        <v>128</v>
      </c>
      <c r="J7" s="128" t="s">
        <v>273</v>
      </c>
      <c r="K7" s="128" t="s">
        <v>274</v>
      </c>
      <c r="L7" s="129">
        <v>8</v>
      </c>
      <c r="M7" s="129">
        <v>8</v>
      </c>
      <c r="N7" s="129" t="s">
        <v>275</v>
      </c>
      <c r="O7" s="128" t="s">
        <v>276</v>
      </c>
      <c r="P7" s="130">
        <v>48000</v>
      </c>
      <c r="Q7" s="130">
        <v>2400</v>
      </c>
      <c r="R7" s="126" t="s">
        <v>75</v>
      </c>
      <c r="S7" s="126" t="s">
        <v>75</v>
      </c>
      <c r="T7" s="218"/>
      <c r="U7" s="215"/>
      <c r="V7" s="96" t="s">
        <v>277</v>
      </c>
    </row>
    <row r="8" spans="1:22" ht="28.5" customHeight="1">
      <c r="A8" s="216">
        <v>2</v>
      </c>
      <c r="B8" s="216" t="s">
        <v>17</v>
      </c>
      <c r="C8" s="216" t="s">
        <v>19</v>
      </c>
      <c r="D8" s="216" t="s">
        <v>264</v>
      </c>
      <c r="E8" s="218" t="s">
        <v>278</v>
      </c>
      <c r="F8" s="123" t="s">
        <v>266</v>
      </c>
      <c r="G8" s="219">
        <v>2000</v>
      </c>
      <c r="H8" s="124"/>
      <c r="I8" s="124"/>
      <c r="J8" s="124"/>
      <c r="K8" s="124"/>
      <c r="L8" s="124"/>
      <c r="M8" s="124"/>
      <c r="N8" s="124"/>
      <c r="O8" s="124"/>
      <c r="P8" s="124"/>
      <c r="Q8" s="124"/>
      <c r="R8" s="122" t="s">
        <v>75</v>
      </c>
      <c r="S8" s="124">
        <v>6000</v>
      </c>
      <c r="T8" s="217">
        <v>1</v>
      </c>
      <c r="U8" s="215" t="s">
        <v>165</v>
      </c>
      <c r="V8" s="96"/>
    </row>
    <row r="9" spans="1:22" ht="34.5" customHeight="1">
      <c r="A9" s="216"/>
      <c r="B9" s="216"/>
      <c r="C9" s="216"/>
      <c r="D9" s="216"/>
      <c r="E9" s="218"/>
      <c r="F9" s="122" t="s">
        <v>267</v>
      </c>
      <c r="G9" s="218"/>
      <c r="H9" s="122"/>
      <c r="I9" s="122"/>
      <c r="J9" s="122"/>
      <c r="K9" s="122"/>
      <c r="L9" s="122"/>
      <c r="M9" s="122"/>
      <c r="N9" s="122"/>
      <c r="O9" s="122"/>
      <c r="P9" s="122"/>
      <c r="Q9" s="122"/>
      <c r="R9" s="122" t="s">
        <v>75</v>
      </c>
      <c r="S9" s="122" t="s">
        <v>75</v>
      </c>
      <c r="T9" s="218"/>
      <c r="U9" s="215"/>
      <c r="V9" s="96"/>
    </row>
    <row r="10" spans="1:22" ht="25.5">
      <c r="A10" s="216"/>
      <c r="B10" s="216"/>
      <c r="C10" s="216"/>
      <c r="D10" s="216"/>
      <c r="E10" s="218"/>
      <c r="F10" s="122" t="s">
        <v>268</v>
      </c>
      <c r="G10" s="218"/>
      <c r="H10" s="122"/>
      <c r="I10" s="122"/>
      <c r="J10" s="122"/>
      <c r="K10" s="122"/>
      <c r="L10" s="122"/>
      <c r="M10" s="122"/>
      <c r="N10" s="122"/>
      <c r="O10" s="122"/>
      <c r="P10" s="122"/>
      <c r="Q10" s="122"/>
      <c r="R10" s="125"/>
      <c r="S10" s="126" t="s">
        <v>75</v>
      </c>
      <c r="T10" s="218"/>
      <c r="U10" s="215"/>
      <c r="V10" s="96"/>
    </row>
    <row r="11" spans="1:22">
      <c r="A11" s="216"/>
      <c r="B11" s="216"/>
      <c r="C11" s="216"/>
      <c r="D11" s="216"/>
      <c r="E11" s="218"/>
      <c r="F11" s="127" t="s">
        <v>269</v>
      </c>
      <c r="G11" s="218"/>
      <c r="H11" s="122"/>
      <c r="I11" s="122"/>
      <c r="J11" s="122"/>
      <c r="K11" s="122"/>
      <c r="L11" s="122"/>
      <c r="M11" s="122"/>
      <c r="N11" s="122"/>
      <c r="O11" s="122"/>
      <c r="P11" s="122"/>
      <c r="Q11" s="122"/>
      <c r="R11" s="125"/>
      <c r="S11" s="126" t="s">
        <v>75</v>
      </c>
      <c r="T11" s="218"/>
      <c r="U11" s="215"/>
      <c r="V11" s="96"/>
    </row>
    <row r="12" spans="1:22" ht="25.5">
      <c r="A12" s="216"/>
      <c r="B12" s="216"/>
      <c r="C12" s="216"/>
      <c r="D12" s="216"/>
      <c r="E12" s="218"/>
      <c r="F12" s="127" t="s">
        <v>270</v>
      </c>
      <c r="G12" s="218"/>
      <c r="H12" s="122"/>
      <c r="I12" s="122"/>
      <c r="J12" s="122"/>
      <c r="K12" s="122"/>
      <c r="L12" s="122"/>
      <c r="M12" s="122"/>
      <c r="N12" s="122"/>
      <c r="O12" s="122"/>
      <c r="P12" s="122"/>
      <c r="Q12" s="122"/>
      <c r="R12" s="128" t="s">
        <v>279</v>
      </c>
      <c r="S12" s="126" t="s">
        <v>75</v>
      </c>
      <c r="T12" s="218"/>
      <c r="U12" s="215"/>
      <c r="V12" s="96"/>
    </row>
    <row r="13" spans="1:22">
      <c r="A13" s="216"/>
      <c r="B13" s="216"/>
      <c r="C13" s="216"/>
      <c r="D13" s="216"/>
      <c r="E13" s="218"/>
      <c r="F13" s="122" t="s">
        <v>272</v>
      </c>
      <c r="G13" s="218"/>
      <c r="H13" s="128">
        <v>8.4</v>
      </c>
      <c r="I13" s="128">
        <v>118</v>
      </c>
      <c r="J13" s="128" t="s">
        <v>273</v>
      </c>
      <c r="K13" s="128" t="s">
        <v>274</v>
      </c>
      <c r="L13" s="129">
        <v>8</v>
      </c>
      <c r="M13" s="129">
        <v>8</v>
      </c>
      <c r="N13" s="129" t="s">
        <v>280</v>
      </c>
      <c r="O13" s="128" t="s">
        <v>281</v>
      </c>
      <c r="P13" s="130">
        <v>36000</v>
      </c>
      <c r="Q13" s="130">
        <v>1800</v>
      </c>
      <c r="R13" s="126" t="s">
        <v>75</v>
      </c>
      <c r="S13" s="126" t="s">
        <v>75</v>
      </c>
      <c r="T13" s="218"/>
      <c r="U13" s="215"/>
      <c r="V13" s="96" t="s">
        <v>277</v>
      </c>
    </row>
    <row r="14" spans="1:22" ht="15" customHeight="1">
      <c r="A14" s="216">
        <v>3</v>
      </c>
      <c r="B14" s="216" t="s">
        <v>17</v>
      </c>
      <c r="C14" s="216" t="s">
        <v>19</v>
      </c>
      <c r="D14" s="216" t="s">
        <v>264</v>
      </c>
      <c r="E14" s="218" t="s">
        <v>282</v>
      </c>
      <c r="F14" s="123" t="s">
        <v>266</v>
      </c>
      <c r="G14" s="219">
        <v>2000</v>
      </c>
      <c r="H14" s="124"/>
      <c r="I14" s="124"/>
      <c r="J14" s="124"/>
      <c r="K14" s="124"/>
      <c r="L14" s="124"/>
      <c r="M14" s="124"/>
      <c r="N14" s="124"/>
      <c r="O14" s="124"/>
      <c r="P14" s="124"/>
      <c r="Q14" s="124"/>
      <c r="R14" s="122" t="s">
        <v>75</v>
      </c>
      <c r="S14" s="124">
        <v>6000</v>
      </c>
      <c r="T14" s="217">
        <v>1</v>
      </c>
      <c r="U14" s="215" t="s">
        <v>165</v>
      </c>
      <c r="V14" s="96"/>
    </row>
    <row r="15" spans="1:22" ht="25.5">
      <c r="A15" s="216"/>
      <c r="B15" s="216"/>
      <c r="C15" s="216"/>
      <c r="D15" s="216"/>
      <c r="E15" s="218"/>
      <c r="F15" s="122" t="s">
        <v>267</v>
      </c>
      <c r="G15" s="218"/>
      <c r="H15" s="122"/>
      <c r="I15" s="122"/>
      <c r="J15" s="122"/>
      <c r="K15" s="122"/>
      <c r="L15" s="122"/>
      <c r="M15" s="122"/>
      <c r="N15" s="122"/>
      <c r="O15" s="122"/>
      <c r="P15" s="122"/>
      <c r="Q15" s="122"/>
      <c r="R15" s="122" t="s">
        <v>75</v>
      </c>
      <c r="S15" s="122" t="s">
        <v>75</v>
      </c>
      <c r="T15" s="218"/>
      <c r="U15" s="215"/>
      <c r="V15" s="96"/>
    </row>
    <row r="16" spans="1:22" ht="25.5">
      <c r="A16" s="216"/>
      <c r="B16" s="216"/>
      <c r="C16" s="216"/>
      <c r="D16" s="216"/>
      <c r="E16" s="218"/>
      <c r="F16" s="122" t="s">
        <v>268</v>
      </c>
      <c r="G16" s="218"/>
      <c r="H16" s="122"/>
      <c r="I16" s="122"/>
      <c r="J16" s="122"/>
      <c r="K16" s="122"/>
      <c r="L16" s="122"/>
      <c r="M16" s="122"/>
      <c r="N16" s="122"/>
      <c r="O16" s="122"/>
      <c r="P16" s="122"/>
      <c r="Q16" s="122"/>
      <c r="R16" s="125"/>
      <c r="S16" s="126" t="s">
        <v>75</v>
      </c>
      <c r="T16" s="218"/>
      <c r="U16" s="215"/>
      <c r="V16" s="96"/>
    </row>
    <row r="17" spans="1:22">
      <c r="A17" s="216"/>
      <c r="B17" s="216"/>
      <c r="C17" s="216"/>
      <c r="D17" s="216"/>
      <c r="E17" s="218"/>
      <c r="F17" s="127" t="s">
        <v>269</v>
      </c>
      <c r="G17" s="218"/>
      <c r="H17" s="122"/>
      <c r="I17" s="122"/>
      <c r="J17" s="122"/>
      <c r="K17" s="122"/>
      <c r="L17" s="122"/>
      <c r="M17" s="122"/>
      <c r="N17" s="122"/>
      <c r="O17" s="122"/>
      <c r="P17" s="122"/>
      <c r="Q17" s="122"/>
      <c r="R17" s="125"/>
      <c r="S17" s="126" t="s">
        <v>75</v>
      </c>
      <c r="T17" s="218"/>
      <c r="U17" s="215"/>
      <c r="V17" s="96"/>
    </row>
    <row r="18" spans="1:22" ht="25.5">
      <c r="A18" s="216"/>
      <c r="B18" s="216"/>
      <c r="C18" s="216"/>
      <c r="D18" s="216"/>
      <c r="E18" s="218"/>
      <c r="F18" s="127" t="s">
        <v>270</v>
      </c>
      <c r="G18" s="218"/>
      <c r="H18" s="122"/>
      <c r="I18" s="122"/>
      <c r="J18" s="122"/>
      <c r="K18" s="122"/>
      <c r="L18" s="122"/>
      <c r="M18" s="122"/>
      <c r="N18" s="122"/>
      <c r="O18" s="122"/>
      <c r="P18" s="122"/>
      <c r="Q18" s="122"/>
      <c r="R18" s="128" t="s">
        <v>283</v>
      </c>
      <c r="S18" s="126" t="s">
        <v>75</v>
      </c>
      <c r="T18" s="218"/>
      <c r="U18" s="215"/>
      <c r="V18" s="96"/>
    </row>
    <row r="19" spans="1:22">
      <c r="A19" s="216"/>
      <c r="B19" s="216"/>
      <c r="C19" s="216"/>
      <c r="D19" s="216"/>
      <c r="E19" s="218"/>
      <c r="F19" s="122" t="s">
        <v>272</v>
      </c>
      <c r="G19" s="218"/>
      <c r="H19" s="128">
        <v>9.1999999999999993</v>
      </c>
      <c r="I19" s="128">
        <v>177</v>
      </c>
      <c r="J19" s="128" t="s">
        <v>273</v>
      </c>
      <c r="K19" s="128" t="s">
        <v>274</v>
      </c>
      <c r="L19" s="129">
        <v>8</v>
      </c>
      <c r="M19" s="129">
        <v>8</v>
      </c>
      <c r="N19" s="129" t="s">
        <v>284</v>
      </c>
      <c r="O19" s="128" t="s">
        <v>285</v>
      </c>
      <c r="P19" s="130">
        <v>40000</v>
      </c>
      <c r="Q19" s="130">
        <v>2000</v>
      </c>
      <c r="R19" s="126" t="s">
        <v>75</v>
      </c>
      <c r="S19" s="126" t="s">
        <v>75</v>
      </c>
      <c r="T19" s="218"/>
      <c r="U19" s="215"/>
      <c r="V19" s="96" t="s">
        <v>277</v>
      </c>
    </row>
    <row r="20" spans="1:22" ht="15" customHeight="1">
      <c r="A20" s="216">
        <v>4</v>
      </c>
      <c r="B20" s="216" t="s">
        <v>17</v>
      </c>
      <c r="C20" s="216" t="s">
        <v>19</v>
      </c>
      <c r="D20" s="216" t="s">
        <v>264</v>
      </c>
      <c r="E20" s="218" t="s">
        <v>286</v>
      </c>
      <c r="F20" s="123" t="s">
        <v>266</v>
      </c>
      <c r="G20" s="219">
        <v>2000</v>
      </c>
      <c r="H20" s="124"/>
      <c r="I20" s="124"/>
      <c r="J20" s="124"/>
      <c r="K20" s="124"/>
      <c r="L20" s="124"/>
      <c r="M20" s="124"/>
      <c r="N20" s="124"/>
      <c r="O20" s="124"/>
      <c r="P20" s="124"/>
      <c r="Q20" s="124"/>
      <c r="R20" s="122" t="s">
        <v>75</v>
      </c>
      <c r="S20" s="124">
        <v>6000</v>
      </c>
      <c r="T20" s="217">
        <v>1</v>
      </c>
      <c r="U20" s="215" t="s">
        <v>165</v>
      </c>
      <c r="V20" s="96"/>
    </row>
    <row r="21" spans="1:22" ht="25.5">
      <c r="A21" s="216"/>
      <c r="B21" s="216"/>
      <c r="C21" s="216"/>
      <c r="D21" s="216"/>
      <c r="E21" s="218"/>
      <c r="F21" s="122" t="s">
        <v>267</v>
      </c>
      <c r="G21" s="218"/>
      <c r="H21" s="122"/>
      <c r="I21" s="122"/>
      <c r="J21" s="122"/>
      <c r="K21" s="122"/>
      <c r="L21" s="122"/>
      <c r="M21" s="122"/>
      <c r="N21" s="122"/>
      <c r="O21" s="122"/>
      <c r="P21" s="122"/>
      <c r="Q21" s="122"/>
      <c r="R21" s="122" t="s">
        <v>75</v>
      </c>
      <c r="S21" s="122" t="s">
        <v>75</v>
      </c>
      <c r="T21" s="218"/>
      <c r="U21" s="215"/>
      <c r="V21" s="96"/>
    </row>
    <row r="22" spans="1:22" ht="25.5">
      <c r="A22" s="216"/>
      <c r="B22" s="216"/>
      <c r="C22" s="216"/>
      <c r="D22" s="216"/>
      <c r="E22" s="218"/>
      <c r="F22" s="122" t="s">
        <v>268</v>
      </c>
      <c r="G22" s="218"/>
      <c r="H22" s="122"/>
      <c r="I22" s="122"/>
      <c r="J22" s="122"/>
      <c r="K22" s="122"/>
      <c r="L22" s="122"/>
      <c r="M22" s="122"/>
      <c r="N22" s="122"/>
      <c r="O22" s="122"/>
      <c r="P22" s="122"/>
      <c r="Q22" s="122"/>
      <c r="R22" s="125"/>
      <c r="S22" s="126" t="s">
        <v>75</v>
      </c>
      <c r="T22" s="218"/>
      <c r="U22" s="215"/>
      <c r="V22" s="96"/>
    </row>
    <row r="23" spans="1:22">
      <c r="A23" s="216"/>
      <c r="B23" s="216"/>
      <c r="C23" s="216"/>
      <c r="D23" s="216"/>
      <c r="E23" s="218"/>
      <c r="F23" s="127" t="s">
        <v>269</v>
      </c>
      <c r="G23" s="218"/>
      <c r="H23" s="122"/>
      <c r="I23" s="122"/>
      <c r="J23" s="122"/>
      <c r="K23" s="122"/>
      <c r="L23" s="122"/>
      <c r="M23" s="122"/>
      <c r="N23" s="122"/>
      <c r="O23" s="122"/>
      <c r="P23" s="122"/>
      <c r="Q23" s="122"/>
      <c r="R23" s="125"/>
      <c r="S23" s="126" t="s">
        <v>75</v>
      </c>
      <c r="T23" s="218"/>
      <c r="U23" s="215"/>
      <c r="V23" s="96"/>
    </row>
    <row r="24" spans="1:22" ht="25.5">
      <c r="A24" s="216"/>
      <c r="B24" s="216"/>
      <c r="C24" s="216"/>
      <c r="D24" s="216"/>
      <c r="E24" s="218"/>
      <c r="F24" s="127" t="s">
        <v>270</v>
      </c>
      <c r="G24" s="218"/>
      <c r="H24" s="122"/>
      <c r="I24" s="122"/>
      <c r="J24" s="122"/>
      <c r="K24" s="122"/>
      <c r="L24" s="122"/>
      <c r="M24" s="122"/>
      <c r="N24" s="122"/>
      <c r="O24" s="122"/>
      <c r="P24" s="122"/>
      <c r="Q24" s="122"/>
      <c r="R24" s="128" t="s">
        <v>287</v>
      </c>
      <c r="S24" s="126" t="s">
        <v>75</v>
      </c>
      <c r="T24" s="218"/>
      <c r="U24" s="215"/>
      <c r="V24" s="96"/>
    </row>
    <row r="25" spans="1:22">
      <c r="A25" s="216"/>
      <c r="B25" s="216"/>
      <c r="C25" s="216"/>
      <c r="D25" s="216"/>
      <c r="E25" s="218"/>
      <c r="F25" s="122" t="s">
        <v>272</v>
      </c>
      <c r="G25" s="218"/>
      <c r="H25" s="128">
        <v>6.2</v>
      </c>
      <c r="I25" s="128">
        <v>108</v>
      </c>
      <c r="J25" s="128" t="s">
        <v>273</v>
      </c>
      <c r="K25" s="128" t="s">
        <v>274</v>
      </c>
      <c r="L25" s="129">
        <v>8</v>
      </c>
      <c r="M25" s="129">
        <v>8</v>
      </c>
      <c r="N25" s="129" t="s">
        <v>275</v>
      </c>
      <c r="O25" s="128" t="s">
        <v>276</v>
      </c>
      <c r="P25" s="130">
        <v>48000</v>
      </c>
      <c r="Q25" s="130">
        <v>2400</v>
      </c>
      <c r="R25" s="126" t="s">
        <v>75</v>
      </c>
      <c r="S25" s="126" t="s">
        <v>75</v>
      </c>
      <c r="T25" s="218"/>
      <c r="U25" s="215"/>
      <c r="V25" s="96" t="s">
        <v>277</v>
      </c>
    </row>
    <row r="26" spans="1:22" ht="15" customHeight="1">
      <c r="A26" s="216">
        <v>5</v>
      </c>
      <c r="B26" s="216" t="s">
        <v>17</v>
      </c>
      <c r="C26" s="216" t="s">
        <v>19</v>
      </c>
      <c r="D26" s="216" t="s">
        <v>288</v>
      </c>
      <c r="E26" s="218" t="s">
        <v>265</v>
      </c>
      <c r="F26" s="123" t="s">
        <v>266</v>
      </c>
      <c r="G26" s="219">
        <v>2000</v>
      </c>
      <c r="H26" s="124"/>
      <c r="I26" s="124"/>
      <c r="J26" s="124"/>
      <c r="K26" s="124"/>
      <c r="L26" s="124"/>
      <c r="M26" s="124"/>
      <c r="N26" s="124"/>
      <c r="O26" s="124"/>
      <c r="P26" s="124"/>
      <c r="Q26" s="124"/>
      <c r="R26" s="122" t="s">
        <v>75</v>
      </c>
      <c r="S26" s="124">
        <v>6000</v>
      </c>
      <c r="T26" s="217">
        <v>1</v>
      </c>
      <c r="U26" s="215" t="s">
        <v>165</v>
      </c>
      <c r="V26" s="96"/>
    </row>
    <row r="27" spans="1:22" ht="25.5">
      <c r="A27" s="216"/>
      <c r="B27" s="216"/>
      <c r="C27" s="216"/>
      <c r="D27" s="216"/>
      <c r="E27" s="218"/>
      <c r="F27" s="122" t="s">
        <v>267</v>
      </c>
      <c r="G27" s="218"/>
      <c r="H27" s="122"/>
      <c r="I27" s="122"/>
      <c r="J27" s="122"/>
      <c r="K27" s="122"/>
      <c r="L27" s="122"/>
      <c r="M27" s="122"/>
      <c r="N27" s="122"/>
      <c r="O27" s="122"/>
      <c r="P27" s="122"/>
      <c r="Q27" s="122"/>
      <c r="R27" s="122" t="s">
        <v>75</v>
      </c>
      <c r="S27" s="122" t="s">
        <v>75</v>
      </c>
      <c r="T27" s="218"/>
      <c r="U27" s="215"/>
      <c r="V27" s="96"/>
    </row>
    <row r="28" spans="1:22" ht="25.5">
      <c r="A28" s="216"/>
      <c r="B28" s="216"/>
      <c r="C28" s="216"/>
      <c r="D28" s="216"/>
      <c r="E28" s="218"/>
      <c r="F28" s="122" t="s">
        <v>268</v>
      </c>
      <c r="G28" s="218"/>
      <c r="H28" s="122"/>
      <c r="I28" s="122"/>
      <c r="J28" s="122"/>
      <c r="K28" s="122"/>
      <c r="L28" s="122"/>
      <c r="M28" s="122"/>
      <c r="N28" s="122"/>
      <c r="O28" s="122"/>
      <c r="P28" s="122"/>
      <c r="Q28" s="122"/>
      <c r="R28" s="125" t="s">
        <v>75</v>
      </c>
      <c r="S28" s="126" t="s">
        <v>75</v>
      </c>
      <c r="T28" s="218"/>
      <c r="U28" s="215"/>
      <c r="V28" s="96"/>
    </row>
    <row r="29" spans="1:22">
      <c r="A29" s="216"/>
      <c r="B29" s="216"/>
      <c r="C29" s="216"/>
      <c r="D29" s="216"/>
      <c r="E29" s="218"/>
      <c r="F29" s="127" t="s">
        <v>269</v>
      </c>
      <c r="G29" s="218"/>
      <c r="H29" s="122"/>
      <c r="I29" s="122"/>
      <c r="J29" s="122"/>
      <c r="K29" s="122"/>
      <c r="L29" s="122"/>
      <c r="M29" s="122"/>
      <c r="N29" s="122"/>
      <c r="O29" s="122"/>
      <c r="P29" s="122"/>
      <c r="Q29" s="122"/>
      <c r="R29" s="125"/>
      <c r="S29" s="126" t="s">
        <v>75</v>
      </c>
      <c r="T29" s="218"/>
      <c r="U29" s="215"/>
      <c r="V29" s="96"/>
    </row>
    <row r="30" spans="1:22" ht="25.5">
      <c r="A30" s="216"/>
      <c r="B30" s="216"/>
      <c r="C30" s="216"/>
      <c r="D30" s="216"/>
      <c r="E30" s="218"/>
      <c r="F30" s="127" t="s">
        <v>270</v>
      </c>
      <c r="G30" s="218"/>
      <c r="H30" s="122"/>
      <c r="I30" s="122"/>
      <c r="J30" s="122"/>
      <c r="K30" s="122"/>
      <c r="L30" s="122"/>
      <c r="M30" s="122"/>
      <c r="N30" s="122"/>
      <c r="O30" s="122"/>
      <c r="P30" s="122"/>
      <c r="Q30" s="122"/>
      <c r="R30" s="128" t="s">
        <v>289</v>
      </c>
      <c r="S30" s="126" t="s">
        <v>75</v>
      </c>
      <c r="T30" s="218"/>
      <c r="U30" s="215"/>
      <c r="V30" s="96"/>
    </row>
    <row r="31" spans="1:22">
      <c r="A31" s="216"/>
      <c r="B31" s="216"/>
      <c r="C31" s="216"/>
      <c r="D31" s="216"/>
      <c r="E31" s="218"/>
      <c r="F31" s="122" t="s">
        <v>272</v>
      </c>
      <c r="G31" s="218"/>
      <c r="H31" s="128">
        <v>5.4</v>
      </c>
      <c r="I31" s="128">
        <v>118</v>
      </c>
      <c r="J31" s="128" t="s">
        <v>273</v>
      </c>
      <c r="K31" s="128" t="s">
        <v>274</v>
      </c>
      <c r="L31" s="129">
        <v>8</v>
      </c>
      <c r="M31" s="129">
        <v>8</v>
      </c>
      <c r="N31" s="129" t="s">
        <v>275</v>
      </c>
      <c r="O31" s="128" t="s">
        <v>276</v>
      </c>
      <c r="P31" s="130">
        <v>48000</v>
      </c>
      <c r="Q31" s="130">
        <v>2400</v>
      </c>
      <c r="R31" s="126" t="s">
        <v>75</v>
      </c>
      <c r="S31" s="126" t="s">
        <v>75</v>
      </c>
      <c r="T31" s="218"/>
      <c r="U31" s="215"/>
      <c r="V31" s="96" t="s">
        <v>277</v>
      </c>
    </row>
    <row r="32" spans="1:22" ht="15" customHeight="1">
      <c r="A32" s="216">
        <v>6</v>
      </c>
      <c r="B32" s="216" t="s">
        <v>17</v>
      </c>
      <c r="C32" s="216" t="s">
        <v>19</v>
      </c>
      <c r="D32" s="216" t="s">
        <v>288</v>
      </c>
      <c r="E32" s="218" t="s">
        <v>278</v>
      </c>
      <c r="F32" s="123" t="s">
        <v>266</v>
      </c>
      <c r="G32" s="219">
        <v>2000</v>
      </c>
      <c r="H32" s="124"/>
      <c r="I32" s="124"/>
      <c r="J32" s="124"/>
      <c r="K32" s="124"/>
      <c r="L32" s="124"/>
      <c r="M32" s="124"/>
      <c r="N32" s="124"/>
      <c r="O32" s="124"/>
      <c r="P32" s="124"/>
      <c r="Q32" s="124"/>
      <c r="R32" s="122" t="s">
        <v>75</v>
      </c>
      <c r="S32" s="124">
        <v>6000</v>
      </c>
      <c r="T32" s="217">
        <v>1</v>
      </c>
      <c r="U32" s="215" t="s">
        <v>165</v>
      </c>
      <c r="V32" s="96"/>
    </row>
    <row r="33" spans="1:22" ht="25.5">
      <c r="A33" s="216"/>
      <c r="B33" s="216"/>
      <c r="C33" s="216"/>
      <c r="D33" s="216"/>
      <c r="E33" s="218"/>
      <c r="F33" s="122" t="s">
        <v>267</v>
      </c>
      <c r="G33" s="218"/>
      <c r="H33" s="122"/>
      <c r="I33" s="122"/>
      <c r="J33" s="122"/>
      <c r="K33" s="122"/>
      <c r="L33" s="122"/>
      <c r="M33" s="122"/>
      <c r="N33" s="122"/>
      <c r="O33" s="122"/>
      <c r="P33" s="122"/>
      <c r="Q33" s="122"/>
      <c r="R33" s="122" t="s">
        <v>75</v>
      </c>
      <c r="S33" s="122" t="s">
        <v>75</v>
      </c>
      <c r="T33" s="218"/>
      <c r="U33" s="215"/>
      <c r="V33" s="96"/>
    </row>
    <row r="34" spans="1:22" ht="25.5">
      <c r="A34" s="216"/>
      <c r="B34" s="216"/>
      <c r="C34" s="216"/>
      <c r="D34" s="216"/>
      <c r="E34" s="218"/>
      <c r="F34" s="122" t="s">
        <v>268</v>
      </c>
      <c r="G34" s="218"/>
      <c r="H34" s="122"/>
      <c r="I34" s="122"/>
      <c r="J34" s="122"/>
      <c r="K34" s="122"/>
      <c r="L34" s="122"/>
      <c r="M34" s="122"/>
      <c r="N34" s="122"/>
      <c r="O34" s="122"/>
      <c r="P34" s="122"/>
      <c r="Q34" s="122"/>
      <c r="R34" s="125"/>
      <c r="S34" s="126" t="s">
        <v>75</v>
      </c>
      <c r="T34" s="218"/>
      <c r="U34" s="215"/>
      <c r="V34" s="96"/>
    </row>
    <row r="35" spans="1:22">
      <c r="A35" s="216"/>
      <c r="B35" s="216"/>
      <c r="C35" s="216"/>
      <c r="D35" s="216"/>
      <c r="E35" s="218"/>
      <c r="F35" s="127" t="s">
        <v>269</v>
      </c>
      <c r="G35" s="218"/>
      <c r="H35" s="122"/>
      <c r="I35" s="122"/>
      <c r="J35" s="122"/>
      <c r="K35" s="122"/>
      <c r="L35" s="122"/>
      <c r="M35" s="122"/>
      <c r="N35" s="122"/>
      <c r="O35" s="122"/>
      <c r="P35" s="122"/>
      <c r="Q35" s="122"/>
      <c r="R35" s="125"/>
      <c r="S35" s="126" t="s">
        <v>75</v>
      </c>
      <c r="T35" s="218"/>
      <c r="U35" s="215"/>
      <c r="V35" s="96"/>
    </row>
    <row r="36" spans="1:22" ht="25.5">
      <c r="A36" s="216"/>
      <c r="B36" s="216"/>
      <c r="C36" s="216"/>
      <c r="D36" s="216"/>
      <c r="E36" s="218"/>
      <c r="F36" s="127" t="s">
        <v>270</v>
      </c>
      <c r="G36" s="218"/>
      <c r="H36" s="122"/>
      <c r="I36" s="122"/>
      <c r="J36" s="122"/>
      <c r="K36" s="122"/>
      <c r="L36" s="122"/>
      <c r="M36" s="122"/>
      <c r="N36" s="122"/>
      <c r="O36" s="122"/>
      <c r="P36" s="122"/>
      <c r="Q36" s="122"/>
      <c r="R36" s="128" t="s">
        <v>290</v>
      </c>
      <c r="S36" s="126" t="s">
        <v>75</v>
      </c>
      <c r="T36" s="218"/>
      <c r="U36" s="215"/>
      <c r="V36" s="96"/>
    </row>
    <row r="37" spans="1:22">
      <c r="A37" s="216"/>
      <c r="B37" s="216"/>
      <c r="C37" s="216"/>
      <c r="D37" s="216"/>
      <c r="E37" s="218"/>
      <c r="F37" s="122" t="s">
        <v>272</v>
      </c>
      <c r="G37" s="218"/>
      <c r="H37" s="128">
        <v>6.1</v>
      </c>
      <c r="I37" s="128">
        <v>108</v>
      </c>
      <c r="J37" s="128" t="s">
        <v>273</v>
      </c>
      <c r="K37" s="128" t="s">
        <v>274</v>
      </c>
      <c r="L37" s="129">
        <v>8</v>
      </c>
      <c r="M37" s="129">
        <v>8</v>
      </c>
      <c r="N37" s="129" t="s">
        <v>275</v>
      </c>
      <c r="O37" s="128" t="s">
        <v>276</v>
      </c>
      <c r="P37" s="130">
        <v>48000</v>
      </c>
      <c r="Q37" s="130">
        <v>2400</v>
      </c>
      <c r="R37" s="126" t="s">
        <v>75</v>
      </c>
      <c r="S37" s="126" t="s">
        <v>75</v>
      </c>
      <c r="T37" s="218"/>
      <c r="U37" s="215"/>
      <c r="V37" s="96" t="s">
        <v>277</v>
      </c>
    </row>
    <row r="38" spans="1:22" ht="15" customHeight="1">
      <c r="A38" s="216">
        <v>7</v>
      </c>
      <c r="B38" s="216" t="s">
        <v>17</v>
      </c>
      <c r="C38" s="216" t="s">
        <v>19</v>
      </c>
      <c r="D38" s="220" t="s">
        <v>288</v>
      </c>
      <c r="E38" s="218" t="s">
        <v>282</v>
      </c>
      <c r="F38" s="123" t="s">
        <v>266</v>
      </c>
      <c r="G38" s="219">
        <v>2000</v>
      </c>
      <c r="H38" s="124"/>
      <c r="I38" s="124"/>
      <c r="J38" s="124"/>
      <c r="K38" s="124"/>
      <c r="L38" s="124"/>
      <c r="M38" s="124"/>
      <c r="N38" s="124"/>
      <c r="O38" s="124"/>
      <c r="P38" s="124"/>
      <c r="Q38" s="124"/>
      <c r="R38" s="122" t="s">
        <v>75</v>
      </c>
      <c r="S38" s="124">
        <v>6000</v>
      </c>
      <c r="T38" s="217">
        <v>1</v>
      </c>
      <c r="U38" s="215" t="s">
        <v>165</v>
      </c>
      <c r="V38" s="96"/>
    </row>
    <row r="39" spans="1:22" ht="25.5">
      <c r="A39" s="216"/>
      <c r="B39" s="216"/>
      <c r="C39" s="216"/>
      <c r="D39" s="220"/>
      <c r="E39" s="218"/>
      <c r="F39" s="122" t="s">
        <v>267</v>
      </c>
      <c r="G39" s="218"/>
      <c r="H39" s="122"/>
      <c r="I39" s="122"/>
      <c r="J39" s="122"/>
      <c r="K39" s="122"/>
      <c r="L39" s="122"/>
      <c r="M39" s="122"/>
      <c r="N39" s="122"/>
      <c r="O39" s="122"/>
      <c r="P39" s="122"/>
      <c r="Q39" s="122"/>
      <c r="R39" s="122" t="s">
        <v>75</v>
      </c>
      <c r="S39" s="122" t="s">
        <v>75</v>
      </c>
      <c r="T39" s="218"/>
      <c r="U39" s="215"/>
      <c r="V39" s="96"/>
    </row>
    <row r="40" spans="1:22" ht="25.5">
      <c r="A40" s="216"/>
      <c r="B40" s="216"/>
      <c r="C40" s="216"/>
      <c r="D40" s="220"/>
      <c r="E40" s="218"/>
      <c r="F40" s="122" t="s">
        <v>268</v>
      </c>
      <c r="G40" s="218"/>
      <c r="H40" s="122"/>
      <c r="I40" s="122"/>
      <c r="J40" s="122"/>
      <c r="K40" s="122"/>
      <c r="L40" s="122"/>
      <c r="M40" s="122"/>
      <c r="N40" s="122"/>
      <c r="O40" s="122"/>
      <c r="P40" s="122"/>
      <c r="Q40" s="122"/>
      <c r="R40" s="125"/>
      <c r="S40" s="126" t="s">
        <v>75</v>
      </c>
      <c r="T40" s="218"/>
      <c r="U40" s="215"/>
      <c r="V40" s="96"/>
    </row>
    <row r="41" spans="1:22">
      <c r="A41" s="216"/>
      <c r="B41" s="216"/>
      <c r="C41" s="216"/>
      <c r="D41" s="220"/>
      <c r="E41" s="218"/>
      <c r="F41" s="127" t="s">
        <v>269</v>
      </c>
      <c r="G41" s="218"/>
      <c r="H41" s="122"/>
      <c r="I41" s="122"/>
      <c r="J41" s="122"/>
      <c r="K41" s="122"/>
      <c r="L41" s="122"/>
      <c r="M41" s="122"/>
      <c r="N41" s="122"/>
      <c r="O41" s="122"/>
      <c r="P41" s="122"/>
      <c r="Q41" s="122"/>
      <c r="R41" s="125"/>
      <c r="S41" s="126" t="s">
        <v>75</v>
      </c>
      <c r="T41" s="218"/>
      <c r="U41" s="215"/>
      <c r="V41" s="96"/>
    </row>
    <row r="42" spans="1:22" ht="25.5">
      <c r="A42" s="216"/>
      <c r="B42" s="216"/>
      <c r="C42" s="216"/>
      <c r="D42" s="220"/>
      <c r="E42" s="218"/>
      <c r="F42" s="127" t="s">
        <v>270</v>
      </c>
      <c r="G42" s="218"/>
      <c r="H42" s="122"/>
      <c r="I42" s="122"/>
      <c r="J42" s="122"/>
      <c r="K42" s="122"/>
      <c r="L42" s="122"/>
      <c r="M42" s="122"/>
      <c r="N42" s="122"/>
      <c r="O42" s="122"/>
      <c r="P42" s="122"/>
      <c r="Q42" s="122"/>
      <c r="R42" s="128" t="s">
        <v>291</v>
      </c>
      <c r="S42" s="126" t="s">
        <v>75</v>
      </c>
      <c r="T42" s="218"/>
      <c r="U42" s="215"/>
      <c r="V42" s="96"/>
    </row>
    <row r="43" spans="1:22">
      <c r="A43" s="216"/>
      <c r="B43" s="216"/>
      <c r="C43" s="216"/>
      <c r="D43" s="220"/>
      <c r="E43" s="218"/>
      <c r="F43" s="122" t="s">
        <v>272</v>
      </c>
      <c r="G43" s="218"/>
      <c r="H43" s="128">
        <v>5.2</v>
      </c>
      <c r="I43" s="128">
        <v>89</v>
      </c>
      <c r="J43" s="128" t="s">
        <v>273</v>
      </c>
      <c r="K43" s="128" t="s">
        <v>274</v>
      </c>
      <c r="L43" s="129">
        <v>8</v>
      </c>
      <c r="M43" s="129">
        <v>8</v>
      </c>
      <c r="N43" s="129" t="s">
        <v>292</v>
      </c>
      <c r="O43" s="128" t="s">
        <v>293</v>
      </c>
      <c r="P43" s="130">
        <v>44000</v>
      </c>
      <c r="Q43" s="130">
        <v>2200</v>
      </c>
      <c r="R43" s="126" t="s">
        <v>75</v>
      </c>
      <c r="S43" s="126" t="s">
        <v>75</v>
      </c>
      <c r="T43" s="218"/>
      <c r="U43" s="215"/>
      <c r="V43" s="96" t="s">
        <v>277</v>
      </c>
    </row>
    <row r="45" spans="1:22">
      <c r="G45">
        <f>SUBTOTAL(9,G2:G43)</f>
        <v>14000</v>
      </c>
      <c r="S45">
        <f t="shared" ref="R45:S45" si="0">SUBTOTAL(9,S2:S43)</f>
        <v>42000</v>
      </c>
    </row>
  </sheetData>
  <mergeCells count="57">
    <mergeCell ref="H2:H6"/>
    <mergeCell ref="T2:T7"/>
    <mergeCell ref="B14:B19"/>
    <mergeCell ref="C14:C19"/>
    <mergeCell ref="D14:D19"/>
    <mergeCell ref="E2:E7"/>
    <mergeCell ref="G2:G7"/>
    <mergeCell ref="T8:T13"/>
    <mergeCell ref="E14:E19"/>
    <mergeCell ref="G14:G19"/>
    <mergeCell ref="T14:T19"/>
    <mergeCell ref="E8:E13"/>
    <mergeCell ref="G8:G13"/>
    <mergeCell ref="B2:B7"/>
    <mergeCell ref="G20:G25"/>
    <mergeCell ref="A20:A25"/>
    <mergeCell ref="B20:B25"/>
    <mergeCell ref="D20:D25"/>
    <mergeCell ref="C20:C25"/>
    <mergeCell ref="A14:A19"/>
    <mergeCell ref="T32:T37"/>
    <mergeCell ref="E38:E43"/>
    <mergeCell ref="G38:G43"/>
    <mergeCell ref="T38:T43"/>
    <mergeCell ref="E32:E37"/>
    <mergeCell ref="G32:G37"/>
    <mergeCell ref="A38:A43"/>
    <mergeCell ref="B38:B43"/>
    <mergeCell ref="C38:C43"/>
    <mergeCell ref="D38:D43"/>
    <mergeCell ref="T20:T25"/>
    <mergeCell ref="E26:E31"/>
    <mergeCell ref="G26:G31"/>
    <mergeCell ref="T26:T31"/>
    <mergeCell ref="E20:E25"/>
    <mergeCell ref="A2:A7"/>
    <mergeCell ref="D2:D7"/>
    <mergeCell ref="C2:C7"/>
    <mergeCell ref="A8:A13"/>
    <mergeCell ref="B8:B13"/>
    <mergeCell ref="C8:C13"/>
    <mergeCell ref="D8:D13"/>
    <mergeCell ref="A26:A31"/>
    <mergeCell ref="B26:B31"/>
    <mergeCell ref="C26:C31"/>
    <mergeCell ref="D26:D31"/>
    <mergeCell ref="A32:A37"/>
    <mergeCell ref="B32:B37"/>
    <mergeCell ref="C32:C37"/>
    <mergeCell ref="D32:D37"/>
    <mergeCell ref="U8:U13"/>
    <mergeCell ref="U2:U7"/>
    <mergeCell ref="U38:U43"/>
    <mergeCell ref="U32:U37"/>
    <mergeCell ref="U26:U31"/>
    <mergeCell ref="U20:U25"/>
    <mergeCell ref="U14:U19"/>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0277-8179-4BA4-B602-EC9624505040}">
  <dimension ref="A1:I14"/>
  <sheetViews>
    <sheetView workbookViewId="0">
      <selection activeCell="H7" sqref="H7"/>
    </sheetView>
  </sheetViews>
  <sheetFormatPr defaultRowHeight="13.5"/>
  <cols>
    <col min="1" max="1" width="4" style="103" customWidth="1"/>
    <col min="2" max="2" width="8.28515625" style="103" customWidth="1"/>
    <col min="3" max="3" width="37.7109375" style="103" customWidth="1"/>
    <col min="4" max="4" width="23.42578125" style="103" customWidth="1"/>
    <col min="5" max="6" width="24.28515625" style="103" customWidth="1"/>
    <col min="7" max="7" width="15.85546875" style="103" customWidth="1"/>
    <col min="8" max="8" width="19.140625" style="103" customWidth="1"/>
    <col min="9" max="9" width="25" style="103" customWidth="1"/>
    <col min="10" max="16384" width="9.140625" style="103"/>
  </cols>
  <sheetData>
    <row r="1" spans="1:9" ht="25.5">
      <c r="A1" s="101" t="s">
        <v>149</v>
      </c>
      <c r="B1" s="101" t="s">
        <v>150</v>
      </c>
      <c r="C1" s="101" t="s">
        <v>294</v>
      </c>
      <c r="D1" s="101" t="s">
        <v>295</v>
      </c>
      <c r="E1" s="101" t="s">
        <v>296</v>
      </c>
      <c r="F1" s="101" t="s">
        <v>297</v>
      </c>
      <c r="G1" s="101" t="s">
        <v>298</v>
      </c>
      <c r="H1" s="102" t="s">
        <v>299</v>
      </c>
      <c r="I1" s="101" t="s">
        <v>300</v>
      </c>
    </row>
    <row r="2" spans="1:9">
      <c r="A2" s="107">
        <v>1</v>
      </c>
      <c r="B2" s="104" t="s">
        <v>21</v>
      </c>
      <c r="C2" s="105" t="s">
        <v>301</v>
      </c>
      <c r="D2" s="104" t="s">
        <v>302</v>
      </c>
      <c r="E2" s="221" t="s">
        <v>303</v>
      </c>
      <c r="F2" s="106" t="s">
        <v>304</v>
      </c>
      <c r="G2" s="107">
        <v>11</v>
      </c>
      <c r="H2" s="108">
        <v>1</v>
      </c>
      <c r="I2" s="106"/>
    </row>
    <row r="3" spans="1:9" ht="25.5">
      <c r="A3" s="107">
        <v>2</v>
      </c>
      <c r="B3" s="104" t="s">
        <v>21</v>
      </c>
      <c r="C3" s="105" t="s">
        <v>305</v>
      </c>
      <c r="D3" s="104" t="s">
        <v>302</v>
      </c>
      <c r="E3" s="222"/>
      <c r="F3" s="106" t="s">
        <v>306</v>
      </c>
      <c r="G3" s="107">
        <v>14</v>
      </c>
      <c r="H3" s="108">
        <v>1</v>
      </c>
      <c r="I3" s="106"/>
    </row>
    <row r="4" spans="1:9">
      <c r="A4" s="107">
        <v>3</v>
      </c>
      <c r="B4" s="104" t="s">
        <v>21</v>
      </c>
      <c r="C4" s="105" t="s">
        <v>307</v>
      </c>
      <c r="D4" s="104" t="s">
        <v>302</v>
      </c>
      <c r="E4" s="222"/>
      <c r="F4" s="106" t="s">
        <v>308</v>
      </c>
      <c r="G4" s="107">
        <v>11</v>
      </c>
      <c r="H4" s="108">
        <v>1</v>
      </c>
      <c r="I4" s="106"/>
    </row>
    <row r="5" spans="1:9">
      <c r="A5" s="112">
        <v>4</v>
      </c>
      <c r="B5" s="109" t="s">
        <v>24</v>
      </c>
      <c r="C5" s="110" t="s">
        <v>309</v>
      </c>
      <c r="D5" s="109" t="s">
        <v>302</v>
      </c>
      <c r="E5" s="223" t="s">
        <v>310</v>
      </c>
      <c r="F5" s="103" t="s">
        <v>311</v>
      </c>
      <c r="G5" s="112">
        <v>24</v>
      </c>
      <c r="H5" s="168">
        <v>1</v>
      </c>
      <c r="I5" s="169" t="s">
        <v>312</v>
      </c>
    </row>
    <row r="6" spans="1:9">
      <c r="A6" s="112">
        <v>5</v>
      </c>
      <c r="B6" s="109" t="s">
        <v>24</v>
      </c>
      <c r="C6" s="110" t="s">
        <v>313</v>
      </c>
      <c r="D6" s="109" t="s">
        <v>302</v>
      </c>
      <c r="E6" s="224"/>
      <c r="F6" s="113" t="s">
        <v>314</v>
      </c>
      <c r="G6" s="112">
        <v>20</v>
      </c>
      <c r="H6" s="168">
        <v>1</v>
      </c>
      <c r="I6" s="169" t="s">
        <v>312</v>
      </c>
    </row>
    <row r="7" spans="1:9" ht="25.5">
      <c r="A7" s="112">
        <v>6</v>
      </c>
      <c r="B7" s="109" t="s">
        <v>24</v>
      </c>
      <c r="C7" s="111" t="s">
        <v>315</v>
      </c>
      <c r="D7" s="109" t="s">
        <v>302</v>
      </c>
      <c r="E7" s="224"/>
      <c r="F7" s="113" t="s">
        <v>316</v>
      </c>
      <c r="G7" s="112">
        <v>30</v>
      </c>
      <c r="H7" s="168">
        <v>1</v>
      </c>
      <c r="I7" s="169" t="s">
        <v>312</v>
      </c>
    </row>
    <row r="8" spans="1:9">
      <c r="A8" s="112">
        <v>7</v>
      </c>
      <c r="B8" s="109" t="s">
        <v>24</v>
      </c>
      <c r="C8" s="111" t="s">
        <v>317</v>
      </c>
      <c r="D8" s="109" t="s">
        <v>302</v>
      </c>
      <c r="E8" s="224"/>
      <c r="F8" s="113" t="s">
        <v>318</v>
      </c>
      <c r="G8" s="112">
        <v>12</v>
      </c>
      <c r="H8" s="168">
        <v>1</v>
      </c>
      <c r="I8" s="169" t="s">
        <v>319</v>
      </c>
    </row>
    <row r="9" spans="1:9">
      <c r="A9" s="112">
        <v>8</v>
      </c>
      <c r="B9" s="109" t="s">
        <v>24</v>
      </c>
      <c r="C9" s="111" t="s">
        <v>320</v>
      </c>
      <c r="D9" s="109" t="s">
        <v>302</v>
      </c>
      <c r="E9" s="224"/>
      <c r="F9" s="113" t="s">
        <v>321</v>
      </c>
      <c r="G9" s="112">
        <v>11</v>
      </c>
      <c r="H9" s="168">
        <v>1</v>
      </c>
      <c r="I9" s="169" t="s">
        <v>319</v>
      </c>
    </row>
    <row r="10" spans="1:9" ht="25.5">
      <c r="A10" s="112">
        <v>9</v>
      </c>
      <c r="B10" s="109" t="s">
        <v>24</v>
      </c>
      <c r="C10" s="111" t="s">
        <v>322</v>
      </c>
      <c r="D10" s="109" t="s">
        <v>302</v>
      </c>
      <c r="E10" s="224"/>
      <c r="F10" s="113" t="s">
        <v>323</v>
      </c>
      <c r="G10" s="112">
        <v>7</v>
      </c>
      <c r="H10" s="168">
        <v>1</v>
      </c>
      <c r="I10" s="169" t="s">
        <v>324</v>
      </c>
    </row>
    <row r="11" spans="1:9" ht="25.5">
      <c r="A11" s="112">
        <v>10</v>
      </c>
      <c r="B11" s="109" t="s">
        <v>24</v>
      </c>
      <c r="C11" s="111" t="s">
        <v>325</v>
      </c>
      <c r="D11" s="109" t="s">
        <v>302</v>
      </c>
      <c r="E11" s="224"/>
      <c r="F11" s="113" t="s">
        <v>326</v>
      </c>
      <c r="G11" s="112">
        <v>11</v>
      </c>
      <c r="H11" s="168">
        <v>1</v>
      </c>
      <c r="I11" s="169" t="s">
        <v>327</v>
      </c>
    </row>
    <row r="13" spans="1:9">
      <c r="G13" s="103">
        <f>SUBTOTAL(9,G2:G11)</f>
        <v>151</v>
      </c>
    </row>
    <row r="14" spans="1:9">
      <c r="G14" s="103">
        <f>G13*6</f>
        <v>906</v>
      </c>
    </row>
  </sheetData>
  <mergeCells count="2">
    <mergeCell ref="E2:E4"/>
    <mergeCell ref="E5:E1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B022-8EE4-4DDA-BA84-BE2EDE942CBA}">
  <dimension ref="A1:G11"/>
  <sheetViews>
    <sheetView topLeftCell="A3" workbookViewId="0">
      <selection activeCell="E19" sqref="E19"/>
    </sheetView>
  </sheetViews>
  <sheetFormatPr defaultRowHeight="14.45"/>
  <cols>
    <col min="2" max="2" width="16" customWidth="1"/>
    <col min="3" max="3" width="11.140625" customWidth="1"/>
    <col min="4" max="4" width="13" customWidth="1"/>
    <col min="5" max="5" width="20.5703125" customWidth="1"/>
  </cols>
  <sheetData>
    <row r="1" spans="1:7" ht="15" thickBot="1"/>
    <row r="2" spans="1:7">
      <c r="A2" s="226" t="s">
        <v>28</v>
      </c>
      <c r="B2" s="228" t="s">
        <v>328</v>
      </c>
      <c r="C2" s="229"/>
      <c r="D2" s="230"/>
      <c r="E2" s="26" t="s">
        <v>329</v>
      </c>
      <c r="F2" s="27"/>
      <c r="G2" s="12"/>
    </row>
    <row r="3" spans="1:7" ht="15" thickBot="1">
      <c r="A3" s="227"/>
      <c r="B3" s="231"/>
      <c r="C3" s="232"/>
      <c r="D3" s="233"/>
      <c r="E3" s="28"/>
      <c r="F3" s="29"/>
      <c r="G3" s="13" t="s">
        <v>330</v>
      </c>
    </row>
    <row r="4" spans="1:7" ht="15.95" thickBot="1">
      <c r="A4" s="227"/>
      <c r="B4" s="14" t="s">
        <v>331</v>
      </c>
      <c r="C4" s="14" t="s">
        <v>32</v>
      </c>
      <c r="D4" s="14" t="s">
        <v>331</v>
      </c>
      <c r="E4" s="14" t="s">
        <v>32</v>
      </c>
      <c r="F4" s="15"/>
      <c r="G4" s="16"/>
    </row>
    <row r="5" spans="1:7">
      <c r="A5" s="234" t="s">
        <v>332</v>
      </c>
      <c r="B5" s="236">
        <v>1200000</v>
      </c>
      <c r="C5" s="238"/>
      <c r="D5" s="236">
        <v>657644</v>
      </c>
      <c r="E5" s="17">
        <v>657644</v>
      </c>
      <c r="F5" s="259"/>
      <c r="G5" s="225"/>
    </row>
    <row r="6" spans="1:7" ht="15" thickBot="1">
      <c r="A6" s="235"/>
      <c r="B6" s="237"/>
      <c r="C6" s="239"/>
      <c r="D6" s="237"/>
      <c r="E6" s="18" t="s">
        <v>333</v>
      </c>
      <c r="F6" s="260"/>
      <c r="G6" s="225"/>
    </row>
    <row r="7" spans="1:7" ht="20.100000000000001" customHeight="1" thickBot="1">
      <c r="A7" s="19" t="s">
        <v>334</v>
      </c>
      <c r="B7" s="20">
        <v>490413.18</v>
      </c>
      <c r="C7" s="21"/>
      <c r="D7" s="20">
        <v>127809</v>
      </c>
      <c r="E7" s="20">
        <v>127809</v>
      </c>
      <c r="F7" s="22"/>
      <c r="G7" s="16"/>
    </row>
    <row r="8" spans="1:7" ht="15.95" thickBot="1">
      <c r="A8" s="19" t="s">
        <v>335</v>
      </c>
      <c r="B8" s="21"/>
      <c r="C8" s="21"/>
      <c r="D8" s="21"/>
      <c r="E8" s="21"/>
      <c r="F8" s="22"/>
      <c r="G8" s="16"/>
    </row>
    <row r="9" spans="1:7" ht="15.95" thickBot="1">
      <c r="A9" s="19" t="s">
        <v>336</v>
      </c>
      <c r="B9" s="21"/>
      <c r="C9" s="21"/>
      <c r="D9" s="21"/>
      <c r="E9" s="21"/>
      <c r="F9" s="22"/>
      <c r="G9" s="16"/>
    </row>
    <row r="10" spans="1:7" ht="15.95" thickBot="1">
      <c r="A10" s="19" t="s">
        <v>337</v>
      </c>
      <c r="B10" s="22"/>
      <c r="C10" s="22"/>
      <c r="D10" s="22"/>
      <c r="E10" s="22"/>
      <c r="F10" s="22"/>
      <c r="G10" s="16"/>
    </row>
    <row r="11" spans="1:7" ht="15.95" thickBot="1">
      <c r="A11" s="23" t="s">
        <v>32</v>
      </c>
      <c r="B11" s="22"/>
      <c r="C11" s="22"/>
      <c r="D11" s="24">
        <v>785453</v>
      </c>
      <c r="E11" s="25" t="s">
        <v>338</v>
      </c>
      <c r="F11" s="22"/>
      <c r="G11" s="16"/>
    </row>
  </sheetData>
  <mergeCells count="8">
    <mergeCell ref="G5:G6"/>
    <mergeCell ref="A2:A4"/>
    <mergeCell ref="B2:D3"/>
    <mergeCell ref="A5:A6"/>
    <mergeCell ref="B5:B6"/>
    <mergeCell ref="C5:C6"/>
    <mergeCell ref="D5:D6"/>
    <mergeCell ref="F5:F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39C43-86D2-4340-BFB9-B1D18AF2E9D4}">
  <dimension ref="A1:H21"/>
  <sheetViews>
    <sheetView workbookViewId="0">
      <selection activeCell="L9" sqref="L9"/>
    </sheetView>
  </sheetViews>
  <sheetFormatPr defaultRowHeight="15"/>
  <cols>
    <col min="1" max="1" width="27.140625" customWidth="1"/>
    <col min="2" max="2" width="39.5703125" customWidth="1"/>
    <col min="3" max="3" width="14.28515625" customWidth="1"/>
    <col min="4" max="4" width="12.42578125" customWidth="1"/>
    <col min="5" max="5" width="48.5703125" customWidth="1"/>
    <col min="6" max="6" width="21.5703125" customWidth="1"/>
    <col min="7" max="7" width="11.7109375" bestFit="1" customWidth="1"/>
    <col min="8" max="8" width="17" customWidth="1"/>
  </cols>
  <sheetData>
    <row r="1" spans="1:8">
      <c r="A1" s="63" t="s">
        <v>28</v>
      </c>
      <c r="B1" s="64" t="s">
        <v>339</v>
      </c>
      <c r="C1" s="64" t="s">
        <v>340</v>
      </c>
      <c r="D1" s="64" t="s">
        <v>341</v>
      </c>
      <c r="E1" s="64" t="s">
        <v>29</v>
      </c>
      <c r="F1" s="64" t="s">
        <v>30</v>
      </c>
      <c r="G1" t="s">
        <v>342</v>
      </c>
      <c r="H1" t="s">
        <v>343</v>
      </c>
    </row>
    <row r="2" spans="1:8" ht="87" customHeight="1">
      <c r="A2" s="240" t="s">
        <v>62</v>
      </c>
      <c r="B2" s="240" t="s">
        <v>344</v>
      </c>
      <c r="C2" s="261" t="s">
        <v>13</v>
      </c>
      <c r="D2" s="261" t="s">
        <v>345</v>
      </c>
      <c r="E2" s="65" t="s">
        <v>63</v>
      </c>
      <c r="F2" s="66">
        <v>15000</v>
      </c>
      <c r="G2" s="133">
        <v>9880</v>
      </c>
    </row>
    <row r="3" spans="1:8" ht="51.75" customHeight="1">
      <c r="A3" s="240"/>
      <c r="B3" s="240"/>
      <c r="C3" s="261"/>
      <c r="D3" s="261"/>
      <c r="E3" s="67" t="s">
        <v>72</v>
      </c>
      <c r="F3" s="68">
        <v>8000</v>
      </c>
      <c r="G3" s="160">
        <v>1090</v>
      </c>
    </row>
    <row r="4" spans="1:8" ht="39" customHeight="1">
      <c r="A4" s="240"/>
      <c r="B4" s="241"/>
      <c r="C4" s="262"/>
      <c r="D4" s="262"/>
      <c r="E4" s="65" t="s">
        <v>76</v>
      </c>
      <c r="F4" s="66">
        <v>12</v>
      </c>
      <c r="G4">
        <v>19</v>
      </c>
    </row>
    <row r="5" spans="1:8" ht="71.25" customHeight="1">
      <c r="A5" s="240"/>
      <c r="B5" s="240" t="s">
        <v>346</v>
      </c>
      <c r="C5" s="261">
        <v>0</v>
      </c>
      <c r="D5" s="261">
        <v>20000</v>
      </c>
      <c r="E5" s="65" t="s">
        <v>80</v>
      </c>
      <c r="F5" s="66">
        <v>20000</v>
      </c>
      <c r="G5">
        <v>1830</v>
      </c>
    </row>
    <row r="6" spans="1:8" ht="57" customHeight="1">
      <c r="A6" s="240"/>
      <c r="B6" s="241"/>
      <c r="C6" s="262"/>
      <c r="D6" s="262"/>
      <c r="E6" s="65" t="s">
        <v>87</v>
      </c>
      <c r="F6" s="66">
        <v>2</v>
      </c>
      <c r="G6">
        <v>2</v>
      </c>
      <c r="H6" s="117" t="s">
        <v>347</v>
      </c>
    </row>
    <row r="7" spans="1:8" ht="57" customHeight="1">
      <c r="A7" s="240"/>
      <c r="B7" s="240" t="s">
        <v>348</v>
      </c>
      <c r="C7" s="261" t="s">
        <v>13</v>
      </c>
      <c r="D7" s="261" t="s">
        <v>345</v>
      </c>
      <c r="E7" s="65" t="s">
        <v>91</v>
      </c>
      <c r="F7" s="66">
        <v>6</v>
      </c>
      <c r="G7">
        <v>2</v>
      </c>
    </row>
    <row r="8" spans="1:8" ht="57" customHeight="1">
      <c r="A8" s="240"/>
      <c r="B8" s="241"/>
      <c r="C8" s="262"/>
      <c r="D8" s="262"/>
      <c r="E8" s="65" t="s">
        <v>94</v>
      </c>
      <c r="F8" s="66">
        <v>4500</v>
      </c>
      <c r="G8">
        <v>299</v>
      </c>
    </row>
    <row r="9" spans="1:8" ht="86.25" customHeight="1">
      <c r="A9" s="240"/>
      <c r="B9" s="70" t="s">
        <v>349</v>
      </c>
      <c r="C9" s="66">
        <v>14</v>
      </c>
      <c r="D9" s="66">
        <v>32</v>
      </c>
      <c r="E9" s="65" t="s">
        <v>102</v>
      </c>
      <c r="F9" s="66">
        <v>32</v>
      </c>
      <c r="G9">
        <v>19</v>
      </c>
      <c r="H9" s="117" t="s">
        <v>350</v>
      </c>
    </row>
    <row r="10" spans="1:8" ht="51" customHeight="1">
      <c r="A10" s="240"/>
      <c r="B10" s="70" t="s">
        <v>351</v>
      </c>
      <c r="C10" s="66">
        <v>0</v>
      </c>
      <c r="D10" s="66">
        <v>3000</v>
      </c>
      <c r="E10" s="65" t="s">
        <v>107</v>
      </c>
      <c r="F10" s="66">
        <v>3000</v>
      </c>
      <c r="G10">
        <v>637</v>
      </c>
    </row>
    <row r="11" spans="1:8" ht="57.75" customHeight="1">
      <c r="A11" s="241"/>
      <c r="B11" s="70" t="s">
        <v>352</v>
      </c>
      <c r="C11" s="66" t="s">
        <v>13</v>
      </c>
      <c r="D11" s="66" t="s">
        <v>353</v>
      </c>
      <c r="E11" s="65" t="s">
        <v>110</v>
      </c>
      <c r="F11" s="66">
        <v>2</v>
      </c>
    </row>
    <row r="12" spans="1:8" ht="42.75" customHeight="1">
      <c r="A12" s="240" t="s">
        <v>112</v>
      </c>
      <c r="B12" s="65" t="s">
        <v>354</v>
      </c>
      <c r="C12" s="66">
        <v>4</v>
      </c>
      <c r="D12" s="66">
        <v>12</v>
      </c>
      <c r="E12" s="65" t="s">
        <v>113</v>
      </c>
      <c r="F12" s="66">
        <v>12</v>
      </c>
    </row>
    <row r="13" spans="1:8" ht="76.5" customHeight="1">
      <c r="A13" s="240"/>
      <c r="B13" s="65" t="s">
        <v>355</v>
      </c>
      <c r="C13" s="66">
        <v>20000</v>
      </c>
      <c r="D13" s="65" t="s">
        <v>356</v>
      </c>
      <c r="E13" s="65" t="s">
        <v>115</v>
      </c>
      <c r="F13" s="66">
        <v>12</v>
      </c>
    </row>
    <row r="14" spans="1:8" ht="44.25" customHeight="1">
      <c r="A14" s="240"/>
      <c r="B14" s="65" t="s">
        <v>357</v>
      </c>
      <c r="C14" s="66">
        <v>15</v>
      </c>
      <c r="D14" s="66">
        <v>20</v>
      </c>
      <c r="E14" s="65" t="s">
        <v>120</v>
      </c>
      <c r="F14" s="66">
        <v>20</v>
      </c>
    </row>
    <row r="15" spans="1:8" ht="48.75" customHeight="1">
      <c r="A15" s="240"/>
      <c r="B15" s="65" t="s">
        <v>358</v>
      </c>
      <c r="C15" s="66">
        <v>0</v>
      </c>
      <c r="D15" s="66">
        <v>15</v>
      </c>
      <c r="E15" s="65" t="s">
        <v>122</v>
      </c>
      <c r="F15" s="66">
        <v>10</v>
      </c>
    </row>
    <row r="16" spans="1:8" ht="54.75" customHeight="1">
      <c r="A16" s="240"/>
      <c r="B16" s="65" t="s">
        <v>359</v>
      </c>
      <c r="C16" s="66" t="s">
        <v>13</v>
      </c>
      <c r="D16" s="69">
        <v>0.85</v>
      </c>
      <c r="E16" s="65" t="s">
        <v>124</v>
      </c>
      <c r="F16" s="66">
        <v>8000</v>
      </c>
    </row>
    <row r="17" spans="1:6" ht="55.5" customHeight="1">
      <c r="A17" s="241"/>
      <c r="B17" s="65" t="s">
        <v>360</v>
      </c>
      <c r="C17" s="66" t="s">
        <v>13</v>
      </c>
      <c r="D17" s="69">
        <v>0.9</v>
      </c>
      <c r="E17" s="65" t="s">
        <v>126</v>
      </c>
      <c r="F17" s="66">
        <v>100</v>
      </c>
    </row>
    <row r="18" spans="1:6" ht="57" customHeight="1">
      <c r="A18" s="240" t="s">
        <v>361</v>
      </c>
      <c r="B18" s="65" t="s">
        <v>362</v>
      </c>
      <c r="C18" s="66">
        <v>15</v>
      </c>
      <c r="D18" s="66">
        <v>12</v>
      </c>
      <c r="E18" s="65" t="s">
        <v>128</v>
      </c>
      <c r="F18" s="66">
        <v>12</v>
      </c>
    </row>
    <row r="19" spans="1:6" ht="62.25" customHeight="1">
      <c r="A19" s="240"/>
      <c r="B19" s="70" t="s">
        <v>363</v>
      </c>
      <c r="C19" s="66" t="s">
        <v>13</v>
      </c>
      <c r="D19" s="66" t="s">
        <v>364</v>
      </c>
      <c r="E19" s="65" t="s">
        <v>136</v>
      </c>
      <c r="F19" s="66">
        <v>300</v>
      </c>
    </row>
    <row r="20" spans="1:6" ht="46.5" customHeight="1">
      <c r="A20" s="240"/>
      <c r="B20" s="70" t="s">
        <v>365</v>
      </c>
      <c r="C20" s="66">
        <v>0</v>
      </c>
      <c r="D20" s="66">
        <v>12</v>
      </c>
      <c r="E20" s="65" t="s">
        <v>141</v>
      </c>
      <c r="F20" s="66">
        <v>12</v>
      </c>
    </row>
    <row r="21" spans="1:6" ht="62.25" customHeight="1">
      <c r="A21" s="241"/>
      <c r="B21" s="70" t="s">
        <v>366</v>
      </c>
      <c r="C21" s="66" t="s">
        <v>13</v>
      </c>
      <c r="D21" s="66" t="s">
        <v>367</v>
      </c>
      <c r="E21" s="65" t="s">
        <v>145</v>
      </c>
      <c r="F21" s="68" t="s">
        <v>75</v>
      </c>
    </row>
  </sheetData>
  <mergeCells count="12">
    <mergeCell ref="D2:D4"/>
    <mergeCell ref="B5:B6"/>
    <mergeCell ref="C5:C6"/>
    <mergeCell ref="D5:D6"/>
    <mergeCell ref="B7:B8"/>
    <mergeCell ref="C7:C8"/>
    <mergeCell ref="D7:D8"/>
    <mergeCell ref="A12:A17"/>
    <mergeCell ref="A18:A21"/>
    <mergeCell ref="A2:A11"/>
    <mergeCell ref="B2:B4"/>
    <mergeCell ref="C2:C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E058-0B7B-45BC-97F2-480ED50ACEF9}">
  <dimension ref="A1:L36"/>
  <sheetViews>
    <sheetView workbookViewId="0">
      <pane ySplit="2" topLeftCell="B35" activePane="bottomLeft" state="frozen"/>
      <selection pane="bottomLeft" activeCell="E36" sqref="E36"/>
    </sheetView>
  </sheetViews>
  <sheetFormatPr defaultColWidth="8.7109375" defaultRowHeight="14.45"/>
  <cols>
    <col min="1" max="1" width="19.5703125" style="1" customWidth="1"/>
    <col min="2" max="2" width="37.140625" style="1" customWidth="1"/>
    <col min="3" max="3" width="35.85546875" style="1" customWidth="1"/>
    <col min="4" max="4" width="35.140625" style="1" customWidth="1"/>
    <col min="5" max="5" width="38.28515625" style="1" customWidth="1"/>
    <col min="6" max="6" width="43.85546875" style="1" customWidth="1"/>
    <col min="7" max="7" width="36.140625" style="1" customWidth="1"/>
    <col min="8" max="8" width="41.42578125" style="1" customWidth="1"/>
    <col min="9" max="9" width="43.85546875" style="1" customWidth="1"/>
    <col min="10" max="10" width="30.5703125" style="1" customWidth="1"/>
    <col min="11" max="11" width="34.28515625" style="1" customWidth="1"/>
    <col min="12" max="16384" width="8.7109375" style="1"/>
  </cols>
  <sheetData>
    <row r="1" spans="1:12">
      <c r="A1" s="243" t="s">
        <v>368</v>
      </c>
      <c r="B1" s="245" t="s">
        <v>24</v>
      </c>
      <c r="C1" s="246"/>
      <c r="D1" s="247"/>
      <c r="E1" s="248" t="s">
        <v>17</v>
      </c>
      <c r="F1" s="249"/>
      <c r="G1" s="250"/>
      <c r="H1" s="242" t="s">
        <v>21</v>
      </c>
      <c r="I1" s="242"/>
      <c r="J1" s="31"/>
      <c r="K1" s="31"/>
    </row>
    <row r="2" spans="1:12">
      <c r="A2" s="244"/>
      <c r="B2" s="31" t="s">
        <v>369</v>
      </c>
      <c r="C2" s="31" t="s">
        <v>370</v>
      </c>
      <c r="D2" s="31" t="s">
        <v>371</v>
      </c>
      <c r="E2" s="31" t="s">
        <v>372</v>
      </c>
      <c r="F2" s="31" t="s">
        <v>373</v>
      </c>
      <c r="G2" s="31" t="s">
        <v>374</v>
      </c>
      <c r="H2" s="31" t="s">
        <v>375</v>
      </c>
      <c r="I2" s="31" t="s">
        <v>376</v>
      </c>
      <c r="J2" s="31" t="s">
        <v>377</v>
      </c>
      <c r="K2" s="31" t="s">
        <v>378</v>
      </c>
    </row>
    <row r="3" spans="1:12" ht="326.45" customHeight="1">
      <c r="A3" s="1" t="s">
        <v>379</v>
      </c>
      <c r="B3" s="30" t="s">
        <v>380</v>
      </c>
      <c r="C3" s="30" t="s">
        <v>381</v>
      </c>
      <c r="D3" s="41" t="s">
        <v>382</v>
      </c>
      <c r="E3" s="41" t="s">
        <v>382</v>
      </c>
      <c r="F3" s="30" t="s">
        <v>383</v>
      </c>
      <c r="G3" s="30" t="s">
        <v>384</v>
      </c>
      <c r="H3" s="30" t="s">
        <v>385</v>
      </c>
      <c r="I3" s="30" t="s">
        <v>386</v>
      </c>
    </row>
    <row r="4" spans="1:12" ht="409.6">
      <c r="A4" s="1" t="s">
        <v>387</v>
      </c>
      <c r="B4" s="41" t="s">
        <v>382</v>
      </c>
      <c r="C4" s="41" t="s">
        <v>382</v>
      </c>
      <c r="D4" s="41" t="s">
        <v>382</v>
      </c>
      <c r="E4" s="41" t="s">
        <v>382</v>
      </c>
      <c r="F4" s="77" t="s">
        <v>388</v>
      </c>
      <c r="G4" s="41" t="s">
        <v>382</v>
      </c>
      <c r="H4" s="30" t="s">
        <v>389</v>
      </c>
      <c r="I4" s="30" t="s">
        <v>390</v>
      </c>
      <c r="K4" s="30" t="s">
        <v>391</v>
      </c>
      <c r="L4" s="30"/>
    </row>
    <row r="5" spans="1:12" ht="295.5" customHeight="1">
      <c r="A5" s="1" t="s">
        <v>392</v>
      </c>
      <c r="B5" s="30" t="s">
        <v>393</v>
      </c>
      <c r="C5" s="30" t="s">
        <v>394</v>
      </c>
      <c r="D5" s="30" t="s">
        <v>395</v>
      </c>
      <c r="E5" s="30" t="s">
        <v>396</v>
      </c>
      <c r="F5" s="30" t="s">
        <v>397</v>
      </c>
      <c r="G5" s="71" t="s">
        <v>398</v>
      </c>
      <c r="H5" s="30" t="s">
        <v>399</v>
      </c>
      <c r="I5" s="1" t="s">
        <v>400</v>
      </c>
    </row>
    <row r="6" spans="1:12" ht="249" customHeight="1">
      <c r="A6" s="1" t="s">
        <v>401</v>
      </c>
      <c r="B6" s="30" t="s">
        <v>402</v>
      </c>
      <c r="C6" s="30" t="s">
        <v>403</v>
      </c>
      <c r="D6" s="30" t="s">
        <v>404</v>
      </c>
      <c r="E6" s="30" t="s">
        <v>405</v>
      </c>
      <c r="F6" s="30" t="s">
        <v>406</v>
      </c>
      <c r="G6" s="30" t="s">
        <v>407</v>
      </c>
      <c r="H6" s="71" t="s">
        <v>408</v>
      </c>
      <c r="I6" s="30" t="s">
        <v>409</v>
      </c>
    </row>
    <row r="7" spans="1:12" ht="306" customHeight="1">
      <c r="A7" s="42" t="s">
        <v>410</v>
      </c>
      <c r="B7" s="37" t="s">
        <v>411</v>
      </c>
      <c r="C7" s="38" t="s">
        <v>412</v>
      </c>
      <c r="D7" s="36" t="s">
        <v>413</v>
      </c>
      <c r="E7" s="42"/>
      <c r="F7" s="42"/>
      <c r="G7" s="42"/>
      <c r="H7" s="39" t="s">
        <v>414</v>
      </c>
      <c r="I7" s="40" t="s">
        <v>415</v>
      </c>
      <c r="J7" s="42"/>
      <c r="K7" s="42"/>
    </row>
    <row r="8" spans="1:12" ht="306" customHeight="1">
      <c r="A8" s="1" t="s">
        <v>416</v>
      </c>
      <c r="B8" s="33" t="s">
        <v>417</v>
      </c>
      <c r="C8" s="32" t="s">
        <v>418</v>
      </c>
      <c r="D8" s="30" t="s">
        <v>419</v>
      </c>
      <c r="E8" s="30" t="s">
        <v>420</v>
      </c>
      <c r="F8" s="30" t="s">
        <v>421</v>
      </c>
      <c r="G8" s="30" t="s">
        <v>422</v>
      </c>
      <c r="H8" s="30" t="s">
        <v>423</v>
      </c>
      <c r="I8" s="34" t="s">
        <v>424</v>
      </c>
    </row>
    <row r="9" spans="1:12" ht="204" customHeight="1">
      <c r="A9" s="42" t="s">
        <v>425</v>
      </c>
      <c r="B9" s="36" t="s">
        <v>426</v>
      </c>
      <c r="C9" s="36" t="s">
        <v>427</v>
      </c>
      <c r="D9" s="72" t="s">
        <v>428</v>
      </c>
      <c r="E9" s="42"/>
      <c r="F9" s="36"/>
      <c r="G9" s="42"/>
      <c r="H9" s="40" t="s">
        <v>429</v>
      </c>
      <c r="I9" s="37" t="s">
        <v>430</v>
      </c>
      <c r="J9" s="42"/>
      <c r="K9" s="42"/>
    </row>
    <row r="10" spans="1:12" ht="204" customHeight="1">
      <c r="A10" s="1" t="s">
        <v>431</v>
      </c>
      <c r="B10" s="30" t="s">
        <v>432</v>
      </c>
      <c r="C10" s="30" t="s">
        <v>433</v>
      </c>
      <c r="D10" s="73" t="s">
        <v>434</v>
      </c>
      <c r="E10" s="30" t="s">
        <v>435</v>
      </c>
      <c r="F10" s="73" t="s">
        <v>436</v>
      </c>
      <c r="G10" s="43" t="s">
        <v>437</v>
      </c>
      <c r="H10" s="34" t="s">
        <v>438</v>
      </c>
      <c r="I10" s="35" t="s">
        <v>439</v>
      </c>
    </row>
    <row r="11" spans="1:12" ht="101.45">
      <c r="A11" s="42"/>
      <c r="B11" s="42"/>
      <c r="C11" s="40" t="s">
        <v>440</v>
      </c>
      <c r="D11" s="74" t="s">
        <v>441</v>
      </c>
      <c r="E11" s="42"/>
      <c r="F11" s="75"/>
      <c r="G11" s="42"/>
      <c r="H11" s="42"/>
      <c r="I11" s="34" t="s">
        <v>442</v>
      </c>
    </row>
    <row r="12" spans="1:12" ht="405.95">
      <c r="A12" s="1" t="s">
        <v>443</v>
      </c>
      <c r="B12" s="43" t="s">
        <v>437</v>
      </c>
      <c r="C12" s="43" t="s">
        <v>437</v>
      </c>
      <c r="D12" s="43" t="s">
        <v>437</v>
      </c>
      <c r="E12" s="30" t="s">
        <v>444</v>
      </c>
      <c r="F12" s="43" t="s">
        <v>437</v>
      </c>
      <c r="G12" s="30" t="s">
        <v>445</v>
      </c>
      <c r="H12" s="30" t="s">
        <v>446</v>
      </c>
      <c r="I12" s="76" t="s">
        <v>447</v>
      </c>
      <c r="K12" s="44" t="s">
        <v>448</v>
      </c>
    </row>
    <row r="13" spans="1:12" ht="246" customHeight="1">
      <c r="A13" s="1" t="s">
        <v>449</v>
      </c>
      <c r="B13" s="30" t="s">
        <v>450</v>
      </c>
      <c r="C13" s="30" t="s">
        <v>451</v>
      </c>
      <c r="D13" s="30" t="s">
        <v>452</v>
      </c>
      <c r="E13" s="43" t="s">
        <v>437</v>
      </c>
      <c r="F13" s="30" t="s">
        <v>453</v>
      </c>
      <c r="G13" s="43" t="s">
        <v>437</v>
      </c>
      <c r="H13" s="45" t="s">
        <v>454</v>
      </c>
      <c r="I13" s="34" t="s">
        <v>455</v>
      </c>
      <c r="K13" s="44" t="s">
        <v>456</v>
      </c>
    </row>
    <row r="14" spans="1:12" ht="318.95">
      <c r="A14" s="1" t="s">
        <v>457</v>
      </c>
      <c r="B14" s="30" t="s">
        <v>458</v>
      </c>
      <c r="C14" s="30" t="s">
        <v>459</v>
      </c>
      <c r="D14" s="30" t="s">
        <v>460</v>
      </c>
      <c r="E14" s="30" t="s">
        <v>461</v>
      </c>
      <c r="F14" s="41" t="s">
        <v>437</v>
      </c>
      <c r="G14" s="41" t="s">
        <v>437</v>
      </c>
      <c r="H14" s="45" t="s">
        <v>462</v>
      </c>
      <c r="I14" s="45" t="s">
        <v>463</v>
      </c>
      <c r="K14" s="44" t="s">
        <v>464</v>
      </c>
    </row>
    <row r="15" spans="1:12" s="42" customFormat="1">
      <c r="B15" s="36"/>
      <c r="C15" s="36"/>
      <c r="D15" s="36"/>
      <c r="E15" s="36"/>
      <c r="F15" s="46"/>
      <c r="G15" s="46"/>
      <c r="H15" s="47"/>
      <c r="I15" s="47"/>
      <c r="K15" s="48"/>
    </row>
    <row r="16" spans="1:12" ht="409.5">
      <c r="A16" s="1" t="s">
        <v>465</v>
      </c>
      <c r="B16" s="41" t="s">
        <v>437</v>
      </c>
      <c r="C16" s="41" t="s">
        <v>437</v>
      </c>
      <c r="D16" s="41" t="s">
        <v>437</v>
      </c>
      <c r="E16" s="41" t="s">
        <v>437</v>
      </c>
      <c r="F16" s="41" t="s">
        <v>437</v>
      </c>
      <c r="G16" s="41" t="s">
        <v>437</v>
      </c>
      <c r="H16" s="30" t="s">
        <v>466</v>
      </c>
      <c r="I16" s="30" t="s">
        <v>467</v>
      </c>
      <c r="K16" s="30" t="s">
        <v>468</v>
      </c>
    </row>
    <row r="17" spans="1:11" ht="333.6">
      <c r="A17" s="1" t="s">
        <v>469</v>
      </c>
      <c r="H17" s="30" t="s">
        <v>470</v>
      </c>
      <c r="I17" s="1" t="s">
        <v>471</v>
      </c>
      <c r="K17" s="30" t="s">
        <v>472</v>
      </c>
    </row>
    <row r="18" spans="1:11" ht="409.6">
      <c r="A18" t="s">
        <v>473</v>
      </c>
      <c r="B18" s="41" t="s">
        <v>437</v>
      </c>
      <c r="C18" s="41" t="s">
        <v>437</v>
      </c>
      <c r="D18" s="41" t="s">
        <v>437</v>
      </c>
      <c r="E18" s="41" t="s">
        <v>437</v>
      </c>
      <c r="F18" s="30" t="s">
        <v>474</v>
      </c>
      <c r="G18" s="30" t="s">
        <v>475</v>
      </c>
      <c r="H18" s="30" t="s">
        <v>476</v>
      </c>
      <c r="I18" s="30" t="s">
        <v>477</v>
      </c>
      <c r="K18" s="30" t="s">
        <v>478</v>
      </c>
    </row>
    <row r="19" spans="1:11" ht="245.25">
      <c r="A19" t="s">
        <v>479</v>
      </c>
      <c r="D19" s="41" t="s">
        <v>437</v>
      </c>
      <c r="E19" s="30" t="s">
        <v>480</v>
      </c>
      <c r="H19" s="30" t="s">
        <v>481</v>
      </c>
      <c r="K19" s="30" t="s">
        <v>482</v>
      </c>
    </row>
    <row r="20" spans="1:11">
      <c r="A20" s="42"/>
      <c r="B20" s="42"/>
      <c r="C20" s="42"/>
      <c r="D20" s="42"/>
      <c r="E20" s="42"/>
      <c r="F20" s="42"/>
      <c r="G20" s="42"/>
      <c r="H20" s="42"/>
      <c r="I20" s="42"/>
      <c r="J20" s="42"/>
      <c r="K20" s="42"/>
    </row>
    <row r="21" spans="1:11" ht="318">
      <c r="A21" s="1" t="s">
        <v>483</v>
      </c>
      <c r="B21" s="30" t="s">
        <v>484</v>
      </c>
      <c r="D21" s="41" t="s">
        <v>437</v>
      </c>
      <c r="E21" s="30" t="s">
        <v>485</v>
      </c>
      <c r="G21" s="77" t="s">
        <v>486</v>
      </c>
      <c r="I21" s="30" t="s">
        <v>487</v>
      </c>
      <c r="K21" s="30" t="s">
        <v>488</v>
      </c>
    </row>
    <row r="22" spans="1:11" ht="274.5">
      <c r="A22" s="1" t="s">
        <v>489</v>
      </c>
      <c r="D22" s="41" t="s">
        <v>437</v>
      </c>
      <c r="E22" s="77" t="s">
        <v>490</v>
      </c>
      <c r="F22" s="30" t="s">
        <v>491</v>
      </c>
      <c r="H22" s="77" t="s">
        <v>492</v>
      </c>
      <c r="I22" s="30" t="s">
        <v>493</v>
      </c>
      <c r="K22" s="30" t="s">
        <v>494</v>
      </c>
    </row>
    <row r="23" spans="1:11" ht="409.6">
      <c r="A23" t="s">
        <v>495</v>
      </c>
      <c r="B23" s="30" t="s">
        <v>496</v>
      </c>
      <c r="C23" s="30" t="s">
        <v>497</v>
      </c>
      <c r="D23" s="41" t="s">
        <v>437</v>
      </c>
      <c r="E23" s="30" t="s">
        <v>498</v>
      </c>
      <c r="F23" s="45" t="s">
        <v>499</v>
      </c>
      <c r="G23" s="45" t="s">
        <v>500</v>
      </c>
      <c r="H23" s="77" t="s">
        <v>501</v>
      </c>
      <c r="I23" s="30" t="s">
        <v>502</v>
      </c>
      <c r="K23" s="30" t="s">
        <v>503</v>
      </c>
    </row>
    <row r="24" spans="1:11" ht="318">
      <c r="A24" t="s">
        <v>504</v>
      </c>
      <c r="D24" s="41" t="s">
        <v>437</v>
      </c>
      <c r="E24" s="30" t="s">
        <v>505</v>
      </c>
      <c r="F24" s="30" t="s">
        <v>506</v>
      </c>
      <c r="G24" s="30" t="s">
        <v>507</v>
      </c>
      <c r="H24" s="30" t="s">
        <v>508</v>
      </c>
      <c r="I24" s="30" t="s">
        <v>509</v>
      </c>
    </row>
    <row r="25" spans="1:11">
      <c r="A25" s="42"/>
      <c r="B25" s="42"/>
      <c r="C25" s="42"/>
      <c r="D25" s="42"/>
      <c r="E25" s="42"/>
      <c r="F25" s="42"/>
      <c r="G25" s="42"/>
      <c r="H25" s="42"/>
      <c r="I25" s="42"/>
      <c r="J25" s="42"/>
      <c r="K25" s="42"/>
    </row>
    <row r="26" spans="1:11" ht="375.75">
      <c r="A26" t="s">
        <v>510</v>
      </c>
      <c r="B26" s="30" t="s">
        <v>511</v>
      </c>
      <c r="C26" s="30" t="s">
        <v>512</v>
      </c>
      <c r="H26" s="30" t="s">
        <v>513</v>
      </c>
      <c r="I26" s="30" t="s">
        <v>514</v>
      </c>
      <c r="J26" s="77" t="s">
        <v>515</v>
      </c>
      <c r="K26" s="80" t="s">
        <v>516</v>
      </c>
    </row>
    <row r="27" spans="1:11" ht="288.75">
      <c r="A27" t="s">
        <v>517</v>
      </c>
      <c r="B27" s="81" t="s">
        <v>511</v>
      </c>
      <c r="C27" s="81" t="s">
        <v>518</v>
      </c>
      <c r="E27" s="30" t="s">
        <v>519</v>
      </c>
      <c r="F27" s="30" t="s">
        <v>520</v>
      </c>
      <c r="H27" s="1" t="s">
        <v>521</v>
      </c>
      <c r="I27" s="30" t="s">
        <v>522</v>
      </c>
      <c r="K27" s="77" t="s">
        <v>523</v>
      </c>
    </row>
    <row r="28" spans="1:11" ht="288.75">
      <c r="A28" t="s">
        <v>524</v>
      </c>
      <c r="B28" s="81" t="s">
        <v>525</v>
      </c>
      <c r="C28" s="81" t="s">
        <v>526</v>
      </c>
      <c r="E28" s="30" t="s">
        <v>527</v>
      </c>
      <c r="H28" s="30" t="s">
        <v>528</v>
      </c>
      <c r="I28" s="30" t="s">
        <v>529</v>
      </c>
      <c r="K28" s="30" t="s">
        <v>530</v>
      </c>
    </row>
    <row r="29" spans="1:11" ht="101.25">
      <c r="A29" t="s">
        <v>531</v>
      </c>
      <c r="E29" s="77" t="s">
        <v>532</v>
      </c>
      <c r="H29" s="30" t="s">
        <v>533</v>
      </c>
      <c r="I29" s="30" t="s">
        <v>534</v>
      </c>
      <c r="K29" s="30" t="s">
        <v>535</v>
      </c>
    </row>
    <row r="30" spans="1:11" ht="318">
      <c r="A30" t="s">
        <v>536</v>
      </c>
      <c r="B30" s="30" t="s">
        <v>537</v>
      </c>
      <c r="C30" s="30" t="s">
        <v>538</v>
      </c>
      <c r="E30" s="30" t="s">
        <v>539</v>
      </c>
      <c r="F30" s="30" t="s">
        <v>540</v>
      </c>
      <c r="H30" s="30" t="s">
        <v>533</v>
      </c>
      <c r="I30" s="30" t="s">
        <v>541</v>
      </c>
      <c r="K30" s="77" t="s">
        <v>542</v>
      </c>
    </row>
    <row r="33" spans="1:8" ht="409.6">
      <c r="A33" s="1" t="s">
        <v>543</v>
      </c>
      <c r="E33" s="30" t="s">
        <v>544</v>
      </c>
      <c r="F33" s="30" t="s">
        <v>545</v>
      </c>
      <c r="G33" s="30" t="s">
        <v>546</v>
      </c>
    </row>
    <row r="34" spans="1:8" ht="375.75">
      <c r="A34" s="1" t="s">
        <v>547</v>
      </c>
      <c r="E34" s="81" t="s">
        <v>548</v>
      </c>
      <c r="F34" s="30" t="s">
        <v>549</v>
      </c>
      <c r="G34" s="30" t="s">
        <v>550</v>
      </c>
      <c r="H34" s="30" t="s">
        <v>551</v>
      </c>
    </row>
    <row r="35" spans="1:8" ht="274.5">
      <c r="A35" s="1" t="s">
        <v>552</v>
      </c>
      <c r="E35" s="30" t="s">
        <v>553</v>
      </c>
      <c r="F35" s="30" t="s">
        <v>554</v>
      </c>
      <c r="G35" s="30" t="s">
        <v>555</v>
      </c>
      <c r="H35" s="30" t="s">
        <v>556</v>
      </c>
    </row>
    <row r="36" spans="1:8" ht="344.25">
      <c r="A36" s="1" t="s">
        <v>557</v>
      </c>
      <c r="G36" s="30" t="s">
        <v>558</v>
      </c>
    </row>
  </sheetData>
  <mergeCells count="4">
    <mergeCell ref="H1:I1"/>
    <mergeCell ref="A1:A2"/>
    <mergeCell ref="B1:D1"/>
    <mergeCell ref="E1:G1"/>
  </mergeCells>
  <pageMargins left="0.7" right="0.7" top="0.75" bottom="0.75" header="0.3" footer="0.3"/>
  <pageSetup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71D6B-1778-427F-8575-F10E5BF61845}">
  <dimension ref="A1:AP25"/>
  <sheetViews>
    <sheetView view="pageBreakPreview" zoomScale="78" zoomScaleNormal="85" zoomScaleSheetLayoutView="78" workbookViewId="0">
      <selection activeCell="I5" sqref="I5"/>
    </sheetView>
  </sheetViews>
  <sheetFormatPr defaultColWidth="8.7109375" defaultRowHeight="15" customHeight="1"/>
  <cols>
    <col min="1" max="1" width="11.85546875" style="49" customWidth="1"/>
    <col min="2" max="2" width="42.85546875" style="49" customWidth="1"/>
    <col min="3" max="3" width="10.28515625" style="49" customWidth="1"/>
    <col min="4" max="4" width="6.5703125" style="49" customWidth="1"/>
    <col min="5" max="39" width="7.140625" style="49" customWidth="1"/>
    <col min="40" max="40" width="12.140625" style="49" customWidth="1"/>
    <col min="41" max="41" width="15.5703125" style="49" customWidth="1"/>
    <col min="42" max="16384" width="8.7109375" style="49"/>
  </cols>
  <sheetData>
    <row r="1" spans="1:42" ht="15" customHeight="1">
      <c r="A1" s="258" t="s">
        <v>369</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row>
    <row r="2" spans="1:42" ht="15" customHeight="1">
      <c r="A2" s="53"/>
      <c r="B2" s="53"/>
      <c r="C2" s="53"/>
      <c r="D2" s="59"/>
      <c r="E2" s="252" t="s">
        <v>559</v>
      </c>
      <c r="F2" s="252"/>
      <c r="G2" s="252"/>
      <c r="H2" s="252"/>
      <c r="I2" s="252"/>
      <c r="J2" s="252" t="s">
        <v>559</v>
      </c>
      <c r="K2" s="252"/>
      <c r="L2" s="252"/>
      <c r="M2" s="252"/>
      <c r="N2" s="252"/>
      <c r="O2" s="252" t="s">
        <v>559</v>
      </c>
      <c r="P2" s="252"/>
      <c r="Q2" s="252"/>
      <c r="R2" s="252"/>
      <c r="S2" s="252"/>
      <c r="T2" s="252" t="s">
        <v>559</v>
      </c>
      <c r="U2" s="252"/>
      <c r="V2" s="252"/>
      <c r="W2" s="252"/>
      <c r="X2" s="252"/>
      <c r="Y2" s="252" t="s">
        <v>559</v>
      </c>
      <c r="Z2" s="252"/>
      <c r="AA2" s="252"/>
      <c r="AB2" s="252"/>
      <c r="AC2" s="252"/>
      <c r="AD2" s="252" t="s">
        <v>559</v>
      </c>
      <c r="AE2" s="252"/>
      <c r="AF2" s="252"/>
      <c r="AG2" s="252"/>
      <c r="AH2" s="252"/>
      <c r="AI2" s="255" t="s">
        <v>560</v>
      </c>
      <c r="AJ2" s="255"/>
      <c r="AK2" s="255"/>
      <c r="AL2" s="255"/>
      <c r="AM2" s="255"/>
      <c r="AN2" s="253" t="s">
        <v>61</v>
      </c>
      <c r="AO2" s="253" t="s">
        <v>561</v>
      </c>
    </row>
    <row r="3" spans="1:42" ht="14.45" customHeight="1">
      <c r="A3" s="257" t="s">
        <v>28</v>
      </c>
      <c r="B3" s="257" t="s">
        <v>29</v>
      </c>
      <c r="C3" s="256" t="s">
        <v>30</v>
      </c>
      <c r="D3" s="253" t="s">
        <v>562</v>
      </c>
      <c r="E3" s="254" t="s">
        <v>563</v>
      </c>
      <c r="F3" s="254"/>
      <c r="G3" s="255" t="s">
        <v>564</v>
      </c>
      <c r="H3" s="255"/>
      <c r="I3" s="255" t="s">
        <v>32</v>
      </c>
      <c r="J3" s="254" t="s">
        <v>563</v>
      </c>
      <c r="K3" s="254"/>
      <c r="L3" s="255" t="s">
        <v>564</v>
      </c>
      <c r="M3" s="255"/>
      <c r="N3" s="255" t="s">
        <v>32</v>
      </c>
      <c r="O3" s="254" t="s">
        <v>563</v>
      </c>
      <c r="P3" s="254"/>
      <c r="Q3" s="255" t="s">
        <v>564</v>
      </c>
      <c r="R3" s="255"/>
      <c r="S3" s="255" t="s">
        <v>32</v>
      </c>
      <c r="T3" s="254" t="s">
        <v>563</v>
      </c>
      <c r="U3" s="254"/>
      <c r="V3" s="255" t="s">
        <v>564</v>
      </c>
      <c r="W3" s="255"/>
      <c r="X3" s="255" t="s">
        <v>32</v>
      </c>
      <c r="Y3" s="254" t="s">
        <v>563</v>
      </c>
      <c r="Z3" s="254"/>
      <c r="AA3" s="255" t="s">
        <v>564</v>
      </c>
      <c r="AB3" s="255"/>
      <c r="AC3" s="255" t="s">
        <v>32</v>
      </c>
      <c r="AD3" s="254" t="s">
        <v>563</v>
      </c>
      <c r="AE3" s="254"/>
      <c r="AF3" s="255" t="s">
        <v>564</v>
      </c>
      <c r="AG3" s="255"/>
      <c r="AH3" s="255" t="s">
        <v>32</v>
      </c>
      <c r="AI3" s="254" t="s">
        <v>563</v>
      </c>
      <c r="AJ3" s="254"/>
      <c r="AK3" s="255" t="s">
        <v>564</v>
      </c>
      <c r="AL3" s="255"/>
      <c r="AM3" s="255" t="s">
        <v>32</v>
      </c>
      <c r="AN3" s="253"/>
      <c r="AO3" s="253"/>
    </row>
    <row r="4" spans="1:42" ht="17.45" customHeight="1">
      <c r="A4" s="257"/>
      <c r="B4" s="257"/>
      <c r="C4" s="256"/>
      <c r="D4" s="253"/>
      <c r="E4" s="60" t="s">
        <v>565</v>
      </c>
      <c r="F4" s="60" t="s">
        <v>566</v>
      </c>
      <c r="G4" s="60" t="s">
        <v>565</v>
      </c>
      <c r="H4" s="60" t="s">
        <v>566</v>
      </c>
      <c r="I4" s="255"/>
      <c r="J4" s="60" t="s">
        <v>565</v>
      </c>
      <c r="K4" s="60" t="s">
        <v>566</v>
      </c>
      <c r="L4" s="60" t="s">
        <v>565</v>
      </c>
      <c r="M4" s="60" t="s">
        <v>566</v>
      </c>
      <c r="N4" s="255"/>
      <c r="O4" s="60" t="s">
        <v>565</v>
      </c>
      <c r="P4" s="60" t="s">
        <v>566</v>
      </c>
      <c r="Q4" s="60" t="s">
        <v>565</v>
      </c>
      <c r="R4" s="60" t="s">
        <v>566</v>
      </c>
      <c r="S4" s="255"/>
      <c r="T4" s="60" t="s">
        <v>565</v>
      </c>
      <c r="U4" s="60" t="s">
        <v>566</v>
      </c>
      <c r="V4" s="60" t="s">
        <v>565</v>
      </c>
      <c r="W4" s="60" t="s">
        <v>566</v>
      </c>
      <c r="X4" s="255"/>
      <c r="Y4" s="60" t="s">
        <v>565</v>
      </c>
      <c r="Z4" s="60" t="s">
        <v>566</v>
      </c>
      <c r="AA4" s="60" t="s">
        <v>565</v>
      </c>
      <c r="AB4" s="60" t="s">
        <v>566</v>
      </c>
      <c r="AC4" s="255"/>
      <c r="AD4" s="60" t="s">
        <v>565</v>
      </c>
      <c r="AE4" s="60" t="s">
        <v>566</v>
      </c>
      <c r="AF4" s="60" t="s">
        <v>565</v>
      </c>
      <c r="AG4" s="60" t="s">
        <v>566</v>
      </c>
      <c r="AH4" s="255"/>
      <c r="AI4" s="60" t="s">
        <v>565</v>
      </c>
      <c r="AJ4" s="60" t="s">
        <v>566</v>
      </c>
      <c r="AK4" s="60" t="s">
        <v>565</v>
      </c>
      <c r="AL4" s="60" t="s">
        <v>566</v>
      </c>
      <c r="AM4" s="255"/>
      <c r="AN4" s="253"/>
      <c r="AO4" s="253"/>
    </row>
    <row r="5" spans="1:42" ht="71.45" customHeight="1">
      <c r="A5" s="251" t="s">
        <v>62</v>
      </c>
      <c r="B5" s="61" t="s">
        <v>63</v>
      </c>
      <c r="C5" s="62">
        <v>2000</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row>
    <row r="6" spans="1:42" ht="42" customHeight="1">
      <c r="A6" s="251"/>
      <c r="B6" s="51" t="s">
        <v>72</v>
      </c>
      <c r="C6" s="52">
        <v>500</v>
      </c>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row>
    <row r="7" spans="1:42" ht="40.5" customHeight="1">
      <c r="A7" s="251"/>
      <c r="B7" s="61" t="s">
        <v>76</v>
      </c>
      <c r="C7" s="62">
        <v>2</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row>
    <row r="8" spans="1:42" ht="55.5" customHeight="1">
      <c r="A8" s="251"/>
      <c r="B8" s="51" t="s">
        <v>80</v>
      </c>
      <c r="C8" s="52">
        <v>500</v>
      </c>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row>
    <row r="9" spans="1:42" ht="39.75" customHeight="1">
      <c r="A9" s="251"/>
      <c r="B9" s="61" t="s">
        <v>87</v>
      </c>
      <c r="C9" s="62">
        <v>1</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row>
    <row r="10" spans="1:42" ht="38.25" customHeight="1">
      <c r="A10" s="251"/>
      <c r="B10" s="51" t="s">
        <v>91</v>
      </c>
      <c r="C10" s="52">
        <v>1</v>
      </c>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row>
    <row r="11" spans="1:42" ht="48" customHeight="1">
      <c r="A11" s="251"/>
      <c r="B11" s="61" t="s">
        <v>94</v>
      </c>
      <c r="C11" s="62">
        <v>50</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33"/>
    </row>
    <row r="12" spans="1:42" ht="57.6" customHeight="1">
      <c r="A12" s="251"/>
      <c r="B12" s="51" t="s">
        <v>102</v>
      </c>
      <c r="C12" s="52">
        <v>15</v>
      </c>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33"/>
    </row>
    <row r="13" spans="1:42" ht="37.5" customHeight="1">
      <c r="A13" s="251"/>
      <c r="B13" s="61" t="s">
        <v>107</v>
      </c>
      <c r="C13" s="62">
        <v>200</v>
      </c>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row>
    <row r="14" spans="1:42" ht="38.25" customHeight="1">
      <c r="A14" s="251"/>
      <c r="B14" s="51" t="s">
        <v>110</v>
      </c>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row>
    <row r="15" spans="1:42" ht="39.75" customHeight="1">
      <c r="A15" s="251" t="s">
        <v>112</v>
      </c>
      <c r="B15" s="61" t="s">
        <v>113</v>
      </c>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row>
    <row r="16" spans="1:42" ht="57" customHeight="1">
      <c r="A16" s="251"/>
      <c r="B16" s="51" t="s">
        <v>115</v>
      </c>
      <c r="C16" s="52">
        <v>1</v>
      </c>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row>
    <row r="17" spans="1:41" ht="36" customHeight="1">
      <c r="A17" s="251"/>
      <c r="B17" s="61" t="s">
        <v>120</v>
      </c>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row>
    <row r="18" spans="1:41" ht="52.5" customHeight="1">
      <c r="A18" s="251"/>
      <c r="B18" s="51" t="s">
        <v>122</v>
      </c>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row>
    <row r="19" spans="1:41" ht="39.75" customHeight="1">
      <c r="A19" s="251"/>
      <c r="B19" s="61" t="s">
        <v>124</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row>
    <row r="20" spans="1:41" ht="33.75" customHeight="1">
      <c r="A20" s="251"/>
      <c r="B20" s="51" t="s">
        <v>126</v>
      </c>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row>
    <row r="21" spans="1:41" ht="50.45" customHeight="1">
      <c r="A21" s="251" t="s">
        <v>127</v>
      </c>
      <c r="B21" s="61" t="s">
        <v>128</v>
      </c>
      <c r="C21" s="62">
        <v>2</v>
      </c>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row>
    <row r="22" spans="1:41" ht="57.95" customHeight="1">
      <c r="A22" s="251"/>
      <c r="B22" s="51" t="s">
        <v>136</v>
      </c>
      <c r="C22" s="52">
        <v>50</v>
      </c>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row>
    <row r="23" spans="1:41" ht="36.6" customHeight="1">
      <c r="A23" s="251"/>
      <c r="B23" s="61" t="s">
        <v>141</v>
      </c>
      <c r="C23" s="62">
        <v>1</v>
      </c>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row>
    <row r="24" spans="1:41" ht="57.6" customHeight="1">
      <c r="A24" s="251"/>
      <c r="B24" s="51" t="s">
        <v>145</v>
      </c>
      <c r="C24" s="52">
        <v>2</v>
      </c>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row>
    <row r="25" spans="1:41" ht="12.95"/>
  </sheetData>
  <mergeCells count="38">
    <mergeCell ref="AO2:AO4"/>
    <mergeCell ref="AI3:AJ3"/>
    <mergeCell ref="AK3:AL3"/>
    <mergeCell ref="AM3:AM4"/>
    <mergeCell ref="A1:AO1"/>
    <mergeCell ref="AD2:AH2"/>
    <mergeCell ref="AD3:AE3"/>
    <mergeCell ref="AF3:AG3"/>
    <mergeCell ref="AH3:AH4"/>
    <mergeCell ref="AI2:AM2"/>
    <mergeCell ref="AN2:AN4"/>
    <mergeCell ref="T2:X2"/>
    <mergeCell ref="T3:U3"/>
    <mergeCell ref="V3:W3"/>
    <mergeCell ref="X3:X4"/>
    <mergeCell ref="Y2:AC2"/>
    <mergeCell ref="Y3:Z3"/>
    <mergeCell ref="AA3:AB3"/>
    <mergeCell ref="AC3:AC4"/>
    <mergeCell ref="I3:I4"/>
    <mergeCell ref="J2:N2"/>
    <mergeCell ref="J3:K3"/>
    <mergeCell ref="L3:M3"/>
    <mergeCell ref="N3:N4"/>
    <mergeCell ref="O2:S2"/>
    <mergeCell ref="O3:P3"/>
    <mergeCell ref="Q3:R3"/>
    <mergeCell ref="S3:S4"/>
    <mergeCell ref="A15:A20"/>
    <mergeCell ref="A21:A24"/>
    <mergeCell ref="E2:I2"/>
    <mergeCell ref="D3:D4"/>
    <mergeCell ref="E3:F3"/>
    <mergeCell ref="G3:H3"/>
    <mergeCell ref="A5:A14"/>
    <mergeCell ref="C3:C4"/>
    <mergeCell ref="A3:A4"/>
    <mergeCell ref="B3:B4"/>
  </mergeCells>
  <pageMargins left="0.7" right="0.7" top="0.75" bottom="0.75" header="0.3" footer="0.3"/>
  <pageSetup paperSize="9" scale="24"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6CEB-5ABB-445C-9800-3DC7E2F7CAEC}">
  <dimension ref="A1:D38"/>
  <sheetViews>
    <sheetView topLeftCell="A29" workbookViewId="0">
      <selection activeCell="F40" sqref="F40"/>
    </sheetView>
  </sheetViews>
  <sheetFormatPr defaultRowHeight="15"/>
  <cols>
    <col min="1" max="1" width="11.140625" customWidth="1"/>
    <col min="2" max="2" width="29.42578125" customWidth="1"/>
    <col min="3" max="3" width="17.85546875" customWidth="1"/>
    <col min="4" max="4" width="25.42578125" customWidth="1"/>
  </cols>
  <sheetData>
    <row r="1" spans="1:4" ht="31.5" customHeight="1">
      <c r="A1" s="118" t="s">
        <v>567</v>
      </c>
      <c r="B1" s="119" t="s">
        <v>568</v>
      </c>
      <c r="C1" s="118" t="s">
        <v>569</v>
      </c>
      <c r="D1" s="118" t="s">
        <v>570</v>
      </c>
    </row>
    <row r="2" spans="1:4" ht="31.5" customHeight="1">
      <c r="A2" s="114" t="s">
        <v>571</v>
      </c>
      <c r="B2" s="116" t="s">
        <v>572</v>
      </c>
      <c r="C2" s="114" t="s">
        <v>573</v>
      </c>
      <c r="D2" s="114" t="s">
        <v>574</v>
      </c>
    </row>
    <row r="3" spans="1:4" ht="31.5" customHeight="1">
      <c r="A3" s="114" t="s">
        <v>571</v>
      </c>
      <c r="B3" s="116" t="s">
        <v>572</v>
      </c>
      <c r="C3" s="114" t="s">
        <v>573</v>
      </c>
      <c r="D3" s="114" t="s">
        <v>575</v>
      </c>
    </row>
    <row r="4" spans="1:4" ht="31.5" customHeight="1">
      <c r="A4" s="114" t="s">
        <v>571</v>
      </c>
      <c r="B4" s="116" t="s">
        <v>572</v>
      </c>
      <c r="C4" s="114" t="s">
        <v>573</v>
      </c>
      <c r="D4" s="114" t="s">
        <v>576</v>
      </c>
    </row>
    <row r="5" spans="1:4" ht="31.5" customHeight="1">
      <c r="A5" s="114" t="s">
        <v>571</v>
      </c>
      <c r="B5" s="116" t="s">
        <v>572</v>
      </c>
      <c r="C5" s="114" t="s">
        <v>573</v>
      </c>
      <c r="D5" s="114" t="s">
        <v>577</v>
      </c>
    </row>
    <row r="6" spans="1:4" ht="31.5" customHeight="1">
      <c r="A6" s="114" t="s">
        <v>571</v>
      </c>
      <c r="B6" s="116" t="s">
        <v>572</v>
      </c>
      <c r="C6" s="114" t="s">
        <v>573</v>
      </c>
      <c r="D6" s="114" t="s">
        <v>578</v>
      </c>
    </row>
    <row r="7" spans="1:4" ht="31.5" customHeight="1">
      <c r="A7" s="114" t="s">
        <v>571</v>
      </c>
      <c r="B7" s="116" t="s">
        <v>572</v>
      </c>
      <c r="C7" s="114" t="s">
        <v>573</v>
      </c>
      <c r="D7" s="114" t="s">
        <v>579</v>
      </c>
    </row>
    <row r="8" spans="1:4" ht="31.5" customHeight="1">
      <c r="A8" s="114" t="s">
        <v>571</v>
      </c>
      <c r="B8" s="116" t="s">
        <v>572</v>
      </c>
      <c r="C8" s="114" t="s">
        <v>573</v>
      </c>
      <c r="D8" s="114" t="s">
        <v>580</v>
      </c>
    </row>
    <row r="9" spans="1:4" ht="31.5" customHeight="1">
      <c r="A9" s="114" t="s">
        <v>571</v>
      </c>
      <c r="B9" s="116" t="s">
        <v>572</v>
      </c>
      <c r="C9" s="114" t="s">
        <v>573</v>
      </c>
      <c r="D9" s="114" t="s">
        <v>581</v>
      </c>
    </row>
    <row r="10" spans="1:4" ht="31.5" customHeight="1">
      <c r="A10" s="114" t="s">
        <v>571</v>
      </c>
      <c r="B10" s="116" t="s">
        <v>572</v>
      </c>
      <c r="C10" s="114" t="s">
        <v>573</v>
      </c>
      <c r="D10" s="114" t="s">
        <v>582</v>
      </c>
    </row>
    <row r="11" spans="1:4" ht="31.5" customHeight="1">
      <c r="A11" s="114" t="s">
        <v>571</v>
      </c>
      <c r="B11" s="116" t="s">
        <v>583</v>
      </c>
      <c r="C11" s="114" t="s">
        <v>584</v>
      </c>
      <c r="D11" s="114" t="s">
        <v>585</v>
      </c>
    </row>
    <row r="12" spans="1:4" ht="31.5" customHeight="1">
      <c r="A12" s="114" t="s">
        <v>571</v>
      </c>
      <c r="B12" s="116" t="s">
        <v>583</v>
      </c>
      <c r="C12" s="114" t="s">
        <v>584</v>
      </c>
      <c r="D12" s="114" t="s">
        <v>586</v>
      </c>
    </row>
    <row r="13" spans="1:4" ht="31.5" customHeight="1">
      <c r="A13" s="114" t="s">
        <v>571</v>
      </c>
      <c r="B13" s="116" t="s">
        <v>583</v>
      </c>
      <c r="C13" s="114" t="s">
        <v>584</v>
      </c>
      <c r="D13" s="114" t="s">
        <v>587</v>
      </c>
    </row>
    <row r="14" spans="1:4" ht="31.5" customHeight="1">
      <c r="A14" s="114" t="s">
        <v>588</v>
      </c>
      <c r="B14" s="116" t="s">
        <v>589</v>
      </c>
      <c r="C14" s="114" t="s">
        <v>590</v>
      </c>
      <c r="D14" s="114" t="s">
        <v>591</v>
      </c>
    </row>
    <row r="15" spans="1:4" ht="31.5" customHeight="1">
      <c r="A15" s="114" t="s">
        <v>588</v>
      </c>
      <c r="B15" s="116" t="s">
        <v>589</v>
      </c>
      <c r="C15" s="114" t="s">
        <v>590</v>
      </c>
      <c r="D15" s="114" t="s">
        <v>592</v>
      </c>
    </row>
    <row r="16" spans="1:4" ht="31.5" customHeight="1">
      <c r="A16" s="114" t="s">
        <v>588</v>
      </c>
      <c r="B16" s="116" t="s">
        <v>589</v>
      </c>
      <c r="C16" s="114" t="s">
        <v>590</v>
      </c>
      <c r="D16" s="114" t="s">
        <v>593</v>
      </c>
    </row>
    <row r="17" spans="1:4" ht="31.5" customHeight="1">
      <c r="A17" s="114" t="s">
        <v>588</v>
      </c>
      <c r="B17" s="116" t="s">
        <v>589</v>
      </c>
      <c r="C17" s="114" t="s">
        <v>590</v>
      </c>
      <c r="D17" s="114" t="s">
        <v>594</v>
      </c>
    </row>
    <row r="18" spans="1:4" ht="31.5" customHeight="1">
      <c r="A18" s="114" t="s">
        <v>588</v>
      </c>
      <c r="B18" s="116" t="s">
        <v>589</v>
      </c>
      <c r="C18" s="114" t="s">
        <v>590</v>
      </c>
      <c r="D18" s="114" t="s">
        <v>595</v>
      </c>
    </row>
    <row r="19" spans="1:4" ht="31.5" customHeight="1">
      <c r="A19" s="114" t="s">
        <v>588</v>
      </c>
      <c r="B19" s="116" t="s">
        <v>589</v>
      </c>
      <c r="C19" s="114" t="s">
        <v>590</v>
      </c>
      <c r="D19" s="114" t="s">
        <v>596</v>
      </c>
    </row>
    <row r="20" spans="1:4" ht="31.5" customHeight="1">
      <c r="A20" s="114" t="s">
        <v>588</v>
      </c>
      <c r="B20" s="116" t="s">
        <v>597</v>
      </c>
      <c r="C20" s="114" t="s">
        <v>598</v>
      </c>
      <c r="D20" s="114" t="s">
        <v>599</v>
      </c>
    </row>
    <row r="21" spans="1:4" ht="31.5" customHeight="1">
      <c r="A21" s="114" t="s">
        <v>588</v>
      </c>
      <c r="B21" s="116" t="s">
        <v>597</v>
      </c>
      <c r="C21" s="114" t="s">
        <v>598</v>
      </c>
      <c r="D21" s="114" t="s">
        <v>600</v>
      </c>
    </row>
    <row r="22" spans="1:4" ht="31.5" customHeight="1">
      <c r="A22" s="114" t="s">
        <v>588</v>
      </c>
      <c r="B22" s="116" t="s">
        <v>597</v>
      </c>
      <c r="C22" s="114" t="s">
        <v>598</v>
      </c>
      <c r="D22" s="114" t="s">
        <v>601</v>
      </c>
    </row>
    <row r="23" spans="1:4" ht="31.5" customHeight="1">
      <c r="A23" s="114" t="s">
        <v>588</v>
      </c>
      <c r="B23" s="116" t="s">
        <v>597</v>
      </c>
      <c r="C23" s="114" t="s">
        <v>598</v>
      </c>
      <c r="D23" s="114" t="s">
        <v>602</v>
      </c>
    </row>
    <row r="24" spans="1:4" ht="31.5" customHeight="1">
      <c r="A24" s="114" t="s">
        <v>588</v>
      </c>
      <c r="B24" s="116" t="s">
        <v>603</v>
      </c>
      <c r="C24" s="114" t="s">
        <v>604</v>
      </c>
      <c r="D24" s="114" t="s">
        <v>605</v>
      </c>
    </row>
    <row r="25" spans="1:4" ht="31.5" customHeight="1">
      <c r="A25" s="114" t="s">
        <v>588</v>
      </c>
      <c r="B25" s="116" t="s">
        <v>603</v>
      </c>
      <c r="C25" s="114" t="s">
        <v>604</v>
      </c>
      <c r="D25" s="114" t="s">
        <v>606</v>
      </c>
    </row>
    <row r="26" spans="1:4" ht="31.5" customHeight="1">
      <c r="A26" s="114" t="s">
        <v>607</v>
      </c>
      <c r="B26" s="116" t="s">
        <v>608</v>
      </c>
      <c r="C26" s="114" t="s">
        <v>609</v>
      </c>
      <c r="D26" s="114" t="s">
        <v>18</v>
      </c>
    </row>
    <row r="27" spans="1:4" ht="31.5" customHeight="1">
      <c r="A27" s="114" t="s">
        <v>607</v>
      </c>
      <c r="B27" s="116" t="s">
        <v>608</v>
      </c>
      <c r="C27" s="114" t="s">
        <v>609</v>
      </c>
      <c r="D27" s="114" t="s">
        <v>610</v>
      </c>
    </row>
    <row r="28" spans="1:4" ht="31.5" customHeight="1">
      <c r="A28" s="114" t="s">
        <v>607</v>
      </c>
      <c r="B28" s="116" t="s">
        <v>611</v>
      </c>
      <c r="C28" s="114" t="s">
        <v>612</v>
      </c>
      <c r="D28" s="114" t="s">
        <v>613</v>
      </c>
    </row>
    <row r="29" spans="1:4" ht="31.5" customHeight="1">
      <c r="A29" s="114" t="s">
        <v>607</v>
      </c>
      <c r="B29" s="116" t="s">
        <v>611</v>
      </c>
      <c r="C29" s="114" t="s">
        <v>612</v>
      </c>
      <c r="D29" s="114" t="s">
        <v>614</v>
      </c>
    </row>
    <row r="30" spans="1:4" ht="31.5" customHeight="1">
      <c r="A30" s="114" t="s">
        <v>607</v>
      </c>
      <c r="B30" s="116" t="s">
        <v>611</v>
      </c>
      <c r="C30" s="114" t="s">
        <v>612</v>
      </c>
      <c r="D30" s="114" t="s">
        <v>615</v>
      </c>
    </row>
    <row r="31" spans="1:4" ht="31.5" customHeight="1">
      <c r="A31" s="114" t="s">
        <v>607</v>
      </c>
      <c r="B31" s="116" t="s">
        <v>611</v>
      </c>
      <c r="C31" s="114" t="s">
        <v>612</v>
      </c>
      <c r="D31" s="114" t="s">
        <v>19</v>
      </c>
    </row>
    <row r="32" spans="1:4" ht="31.5" customHeight="1">
      <c r="A32" s="114" t="s">
        <v>607</v>
      </c>
      <c r="B32" s="116" t="s">
        <v>611</v>
      </c>
      <c r="C32" s="114" t="s">
        <v>612</v>
      </c>
      <c r="D32" s="114" t="s">
        <v>616</v>
      </c>
    </row>
    <row r="33" spans="1:4" ht="31.5" customHeight="1">
      <c r="A33" s="114" t="s">
        <v>607</v>
      </c>
      <c r="B33" s="116" t="s">
        <v>617</v>
      </c>
      <c r="C33" s="115" t="s">
        <v>618</v>
      </c>
      <c r="D33" s="114" t="s">
        <v>619</v>
      </c>
    </row>
    <row r="34" spans="1:4" ht="31.5" customHeight="1">
      <c r="A34" s="114" t="s">
        <v>607</v>
      </c>
      <c r="B34" s="116" t="s">
        <v>617</v>
      </c>
      <c r="C34" s="115" t="s">
        <v>618</v>
      </c>
      <c r="D34" s="114" t="s">
        <v>620</v>
      </c>
    </row>
    <row r="35" spans="1:4" ht="31.5" customHeight="1">
      <c r="A35" s="114" t="s">
        <v>607</v>
      </c>
      <c r="B35" s="116" t="s">
        <v>617</v>
      </c>
      <c r="C35" s="115" t="s">
        <v>618</v>
      </c>
      <c r="D35" s="114" t="s">
        <v>621</v>
      </c>
    </row>
    <row r="36" spans="1:4" ht="31.5" customHeight="1">
      <c r="A36" s="114" t="s">
        <v>607</v>
      </c>
      <c r="B36" s="116" t="s">
        <v>617</v>
      </c>
      <c r="C36" s="115" t="s">
        <v>618</v>
      </c>
      <c r="D36" s="114" t="s">
        <v>622</v>
      </c>
    </row>
    <row r="37" spans="1:4" ht="31.5" customHeight="1">
      <c r="A37" s="114" t="s">
        <v>607</v>
      </c>
      <c r="B37" s="116" t="s">
        <v>617</v>
      </c>
      <c r="C37" s="115" t="s">
        <v>618</v>
      </c>
      <c r="D37" s="114" t="s">
        <v>623</v>
      </c>
    </row>
    <row r="38" spans="1:4">
      <c r="B38" s="1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BF19-94B8-4692-87C1-D57D99B1672E}">
  <dimension ref="A1:R22"/>
  <sheetViews>
    <sheetView tabSelected="1" workbookViewId="0">
      <pane ySplit="1" topLeftCell="A2" activePane="bottomLeft" state="frozen"/>
      <selection pane="bottomLeft" activeCell="J3" sqref="J3"/>
    </sheetView>
  </sheetViews>
  <sheetFormatPr defaultRowHeight="15"/>
  <cols>
    <col min="1" max="1" width="18.85546875" style="184" customWidth="1"/>
    <col min="2" max="2" width="31.28515625" style="184" customWidth="1"/>
    <col min="3" max="3" width="10" customWidth="1"/>
    <col min="4" max="4" width="12.140625" customWidth="1"/>
    <col min="5" max="5" width="12" style="194" customWidth="1"/>
    <col min="6" max="7" width="11.7109375" customWidth="1"/>
    <col min="8" max="8" width="11.7109375" style="194" customWidth="1"/>
    <col min="9" max="9" width="11.85546875" customWidth="1"/>
    <col min="10" max="10" width="11.28515625" customWidth="1"/>
    <col min="11" max="11" width="10.5703125" style="194" customWidth="1"/>
    <col min="12" max="12" width="11" customWidth="1"/>
    <col min="13" max="13" width="10.5703125" customWidth="1"/>
    <col min="14" max="14" width="11.7109375" style="194" customWidth="1"/>
    <col min="15" max="15" width="13.42578125" customWidth="1"/>
    <col min="16" max="16" width="12.7109375" customWidth="1"/>
    <col min="17" max="17" width="13.42578125" customWidth="1"/>
  </cols>
  <sheetData>
    <row r="1" spans="1:18" s="117" customFormat="1" ht="25.5">
      <c r="A1" s="178" t="s">
        <v>28</v>
      </c>
      <c r="B1" s="179" t="s">
        <v>29</v>
      </c>
      <c r="C1" s="170" t="s">
        <v>30</v>
      </c>
      <c r="D1" s="171" t="s">
        <v>624</v>
      </c>
      <c r="E1" s="191" t="s">
        <v>625</v>
      </c>
      <c r="F1" s="171" t="s">
        <v>626</v>
      </c>
      <c r="G1" s="171" t="s">
        <v>627</v>
      </c>
      <c r="H1" s="191" t="s">
        <v>628</v>
      </c>
      <c r="I1" s="171" t="s">
        <v>629</v>
      </c>
      <c r="J1" s="171" t="s">
        <v>630</v>
      </c>
      <c r="K1" s="191" t="s">
        <v>631</v>
      </c>
      <c r="L1" s="171" t="s">
        <v>632</v>
      </c>
      <c r="M1" s="171" t="s">
        <v>633</v>
      </c>
      <c r="N1" s="191" t="s">
        <v>634</v>
      </c>
      <c r="O1" s="171" t="s">
        <v>635</v>
      </c>
      <c r="P1" s="171" t="s">
        <v>636</v>
      </c>
      <c r="Q1" s="171" t="s">
        <v>637</v>
      </c>
      <c r="R1" s="185"/>
    </row>
    <row r="2" spans="1:18" ht="88.5">
      <c r="A2" s="199" t="s">
        <v>62</v>
      </c>
      <c r="B2" s="180" t="s">
        <v>63</v>
      </c>
      <c r="C2" s="173">
        <v>15000</v>
      </c>
      <c r="D2" s="190">
        <v>332955</v>
      </c>
      <c r="E2" s="192">
        <v>396375</v>
      </c>
      <c r="F2" s="186">
        <f>((E2/Q2)*C2)</f>
        <v>6845.1061772172297</v>
      </c>
      <c r="G2" s="174">
        <v>12755</v>
      </c>
      <c r="H2" s="192">
        <v>89186</v>
      </c>
      <c r="I2" s="186">
        <f>((H2/Q2)*C2)</f>
        <v>1540.1769524346792</v>
      </c>
      <c r="J2" s="174">
        <v>600</v>
      </c>
      <c r="K2" s="195">
        <v>231034</v>
      </c>
      <c r="L2" s="188">
        <f>((K2/Q2)*C2)</f>
        <v>3989.7881060793579</v>
      </c>
      <c r="M2" s="189">
        <v>855</v>
      </c>
      <c r="N2" s="196">
        <v>152000</v>
      </c>
      <c r="O2" s="186">
        <f>((N2/Q2)*C2)</f>
        <v>2624.9287642687327</v>
      </c>
      <c r="P2" s="174" t="s">
        <v>75</v>
      </c>
      <c r="Q2" s="174">
        <v>868595</v>
      </c>
      <c r="R2" s="197"/>
    </row>
    <row r="3" spans="1:18" ht="50.25">
      <c r="A3" s="200"/>
      <c r="B3" s="181" t="s">
        <v>72</v>
      </c>
      <c r="C3" s="173">
        <v>8000</v>
      </c>
      <c r="D3" s="190">
        <v>5708</v>
      </c>
      <c r="E3" s="192">
        <v>6795</v>
      </c>
      <c r="F3" s="186">
        <f t="shared" ref="F3:F21" si="0">((E3/Q3)*C3)</f>
        <v>1052.2851778005768</v>
      </c>
      <c r="G3" s="174">
        <v>1790</v>
      </c>
      <c r="H3" s="192">
        <v>14864</v>
      </c>
      <c r="I3" s="186">
        <f t="shared" ref="I3:I21" si="1">((H3/Q3)*C3)</f>
        <v>2301.8641475831896</v>
      </c>
      <c r="J3" s="174">
        <v>300</v>
      </c>
      <c r="K3" s="195">
        <v>0</v>
      </c>
      <c r="L3" s="186">
        <f t="shared" ref="L3:L21" si="2">((K3/Q3)*C3)</f>
        <v>0</v>
      </c>
      <c r="M3" s="174" t="s">
        <v>638</v>
      </c>
      <c r="N3" s="196">
        <v>30000</v>
      </c>
      <c r="O3" s="186">
        <f t="shared" ref="O3:O21" si="3">((N3/Q3)*C3)</f>
        <v>4645.8506746162329</v>
      </c>
      <c r="P3" s="174" t="s">
        <v>75</v>
      </c>
      <c r="Q3" s="174">
        <v>51659</v>
      </c>
      <c r="R3" s="172"/>
    </row>
    <row r="4" spans="1:18" ht="50.25">
      <c r="A4" s="200"/>
      <c r="B4" s="181" t="s">
        <v>76</v>
      </c>
      <c r="C4" s="173">
        <v>12</v>
      </c>
      <c r="D4" s="190">
        <v>19026</v>
      </c>
      <c r="E4" s="192">
        <v>22650</v>
      </c>
      <c r="F4" s="186">
        <f t="shared" si="0"/>
        <v>7.4740141890777103</v>
      </c>
      <c r="G4" s="174">
        <v>19</v>
      </c>
      <c r="H4" s="192">
        <v>3716</v>
      </c>
      <c r="I4" s="186">
        <f t="shared" si="1"/>
        <v>1.2262002969806962</v>
      </c>
      <c r="J4" s="174" t="s">
        <v>638</v>
      </c>
      <c r="K4" s="195">
        <v>0</v>
      </c>
      <c r="L4" s="186">
        <f t="shared" si="2"/>
        <v>0</v>
      </c>
      <c r="M4" s="174" t="s">
        <v>638</v>
      </c>
      <c r="N4" s="196">
        <v>10000</v>
      </c>
      <c r="O4" s="186">
        <f t="shared" si="3"/>
        <v>3.2997855139415933</v>
      </c>
      <c r="P4" s="174" t="s">
        <v>75</v>
      </c>
      <c r="Q4" s="174">
        <v>36366</v>
      </c>
      <c r="R4" s="172"/>
    </row>
    <row r="5" spans="1:18" ht="87">
      <c r="A5" s="200"/>
      <c r="B5" s="182" t="s">
        <v>80</v>
      </c>
      <c r="C5" s="173">
        <v>20000</v>
      </c>
      <c r="D5" s="190">
        <v>47565</v>
      </c>
      <c r="E5" s="192">
        <v>56625</v>
      </c>
      <c r="F5" s="186">
        <f t="shared" si="0"/>
        <v>7663.7816109844152</v>
      </c>
      <c r="G5" s="174">
        <v>4830</v>
      </c>
      <c r="H5" s="192">
        <v>11148</v>
      </c>
      <c r="I5" s="186">
        <f t="shared" si="1"/>
        <v>1508.8006604724815</v>
      </c>
      <c r="J5" s="174" t="s">
        <v>639</v>
      </c>
      <c r="K5" s="195">
        <v>60000</v>
      </c>
      <c r="L5" s="186">
        <f t="shared" si="2"/>
        <v>8120.5632964073275</v>
      </c>
      <c r="M5" s="174">
        <v>197</v>
      </c>
      <c r="N5" s="196">
        <v>20000</v>
      </c>
      <c r="O5" s="186">
        <f t="shared" si="3"/>
        <v>2706.8544321357758</v>
      </c>
      <c r="P5" s="174" t="s">
        <v>75</v>
      </c>
      <c r="Q5" s="174">
        <v>147773</v>
      </c>
      <c r="R5" s="172"/>
    </row>
    <row r="6" spans="1:18" ht="50.25">
      <c r="A6" s="200"/>
      <c r="B6" s="181" t="s">
        <v>87</v>
      </c>
      <c r="C6" s="173">
        <v>2</v>
      </c>
      <c r="D6" s="190">
        <v>10000</v>
      </c>
      <c r="E6" s="192">
        <v>11905</v>
      </c>
      <c r="F6" s="186">
        <f t="shared" si="0"/>
        <v>2</v>
      </c>
      <c r="G6" s="174">
        <v>135</v>
      </c>
      <c r="H6" s="192">
        <v>0</v>
      </c>
      <c r="I6" s="186">
        <f t="shared" si="1"/>
        <v>0</v>
      </c>
      <c r="J6" s="174" t="s">
        <v>75</v>
      </c>
      <c r="K6" s="195">
        <v>0</v>
      </c>
      <c r="L6" s="186">
        <f t="shared" si="2"/>
        <v>0</v>
      </c>
      <c r="M6" s="174" t="s">
        <v>638</v>
      </c>
      <c r="N6" s="196">
        <v>0</v>
      </c>
      <c r="O6" s="186">
        <f t="shared" si="3"/>
        <v>0</v>
      </c>
      <c r="P6" s="174" t="s">
        <v>75</v>
      </c>
      <c r="Q6" s="174">
        <v>11905</v>
      </c>
      <c r="R6" s="172"/>
    </row>
    <row r="7" spans="1:18" ht="50.25">
      <c r="A7" s="200"/>
      <c r="B7" s="181" t="s">
        <v>91</v>
      </c>
      <c r="C7" s="173">
        <v>6</v>
      </c>
      <c r="D7" s="190">
        <v>47565</v>
      </c>
      <c r="E7" s="192">
        <v>56625</v>
      </c>
      <c r="F7" s="186">
        <f t="shared" si="0"/>
        <v>3.7080491132332876</v>
      </c>
      <c r="G7" s="174">
        <v>10</v>
      </c>
      <c r="H7" s="192">
        <v>0</v>
      </c>
      <c r="I7" s="186">
        <f t="shared" si="1"/>
        <v>0</v>
      </c>
      <c r="J7" s="174" t="s">
        <v>75</v>
      </c>
      <c r="K7" s="195">
        <v>0</v>
      </c>
      <c r="L7" s="186">
        <f t="shared" si="2"/>
        <v>0</v>
      </c>
      <c r="M7" s="174" t="s">
        <v>638</v>
      </c>
      <c r="N7" s="196">
        <v>35000</v>
      </c>
      <c r="O7" s="186">
        <f t="shared" si="3"/>
        <v>2.291950886766712</v>
      </c>
      <c r="P7" s="174" t="s">
        <v>75</v>
      </c>
      <c r="Q7" s="174">
        <v>91625</v>
      </c>
      <c r="R7" s="172"/>
    </row>
    <row r="8" spans="1:18" ht="50.25">
      <c r="A8" s="200"/>
      <c r="B8" s="181" t="s">
        <v>94</v>
      </c>
      <c r="C8" s="173">
        <v>4500</v>
      </c>
      <c r="D8" s="190">
        <v>142695</v>
      </c>
      <c r="E8" s="192">
        <v>169875</v>
      </c>
      <c r="F8" s="186">
        <f t="shared" si="0"/>
        <v>1953.4494169837501</v>
      </c>
      <c r="G8" s="174">
        <v>423</v>
      </c>
      <c r="H8" s="192">
        <v>46452</v>
      </c>
      <c r="I8" s="187">
        <f t="shared" si="1"/>
        <v>534.16707766139314</v>
      </c>
      <c r="J8" s="175" t="s">
        <v>638</v>
      </c>
      <c r="K8" s="195">
        <v>75000</v>
      </c>
      <c r="L8" s="188">
        <f t="shared" si="2"/>
        <v>862.45007372351006</v>
      </c>
      <c r="M8" s="175">
        <v>145</v>
      </c>
      <c r="N8" s="196">
        <v>100000</v>
      </c>
      <c r="O8" s="188">
        <f t="shared" si="3"/>
        <v>1149.9334316313468</v>
      </c>
      <c r="P8" s="175" t="s">
        <v>75</v>
      </c>
      <c r="Q8" s="175">
        <v>391327</v>
      </c>
      <c r="R8" s="172"/>
    </row>
    <row r="9" spans="1:18" ht="75.75">
      <c r="A9" s="200"/>
      <c r="B9" s="181" t="s">
        <v>102</v>
      </c>
      <c r="C9" s="173">
        <v>32</v>
      </c>
      <c r="D9" s="190">
        <v>530890.69999999995</v>
      </c>
      <c r="E9" s="192">
        <v>632013</v>
      </c>
      <c r="F9" s="186">
        <f t="shared" si="0"/>
        <v>26.588019072935442</v>
      </c>
      <c r="G9" s="174">
        <v>44</v>
      </c>
      <c r="H9" s="192">
        <v>78647</v>
      </c>
      <c r="I9" s="186">
        <f t="shared" si="1"/>
        <v>3.3085837412033512</v>
      </c>
      <c r="J9" s="174">
        <v>32</v>
      </c>
      <c r="K9" s="195">
        <v>0</v>
      </c>
      <c r="L9" s="186">
        <f t="shared" si="2"/>
        <v>0</v>
      </c>
      <c r="M9" s="174">
        <v>13</v>
      </c>
      <c r="N9" s="196">
        <v>50000</v>
      </c>
      <c r="O9" s="186">
        <f t="shared" si="3"/>
        <v>2.1034392546463003</v>
      </c>
      <c r="P9" s="174" t="s">
        <v>75</v>
      </c>
      <c r="Q9" s="174">
        <v>760659</v>
      </c>
      <c r="R9" s="172"/>
    </row>
    <row r="10" spans="1:18" ht="57.75">
      <c r="A10" s="200"/>
      <c r="B10" s="182" t="s">
        <v>107</v>
      </c>
      <c r="C10" s="173">
        <v>3000</v>
      </c>
      <c r="D10" s="190">
        <v>285868</v>
      </c>
      <c r="E10" s="192">
        <v>340319</v>
      </c>
      <c r="F10" s="186">
        <f t="shared" si="0"/>
        <v>1137.5514760936999</v>
      </c>
      <c r="G10" s="174">
        <v>1424</v>
      </c>
      <c r="H10" s="192">
        <v>55741</v>
      </c>
      <c r="I10" s="186">
        <f t="shared" si="1"/>
        <v>186.32006096908759</v>
      </c>
      <c r="J10" s="174" t="s">
        <v>638</v>
      </c>
      <c r="K10" s="195">
        <v>100000</v>
      </c>
      <c r="L10" s="186">
        <f t="shared" si="2"/>
        <v>334.26034870039581</v>
      </c>
      <c r="M10" s="174">
        <v>1007</v>
      </c>
      <c r="N10" s="196">
        <v>401444</v>
      </c>
      <c r="O10" s="186">
        <f t="shared" si="3"/>
        <v>1341.8681142368168</v>
      </c>
      <c r="P10" s="174" t="s">
        <v>75</v>
      </c>
      <c r="Q10" s="174">
        <v>897504</v>
      </c>
      <c r="R10" s="172"/>
    </row>
    <row r="11" spans="1:18" ht="50.25">
      <c r="A11" s="201"/>
      <c r="B11" s="181" t="s">
        <v>110</v>
      </c>
      <c r="C11" s="173">
        <v>2</v>
      </c>
      <c r="D11" s="190">
        <v>38052</v>
      </c>
      <c r="E11" s="192">
        <v>45300</v>
      </c>
      <c r="F11" s="186">
        <f t="shared" si="0"/>
        <v>1.4026939154667906</v>
      </c>
      <c r="G11" s="174">
        <v>0</v>
      </c>
      <c r="H11" s="192">
        <v>9290</v>
      </c>
      <c r="I11" s="186">
        <f t="shared" si="1"/>
        <v>0.28766062858027558</v>
      </c>
      <c r="J11" s="174" t="s">
        <v>638</v>
      </c>
      <c r="K11" s="195">
        <v>0</v>
      </c>
      <c r="L11" s="186">
        <f t="shared" si="2"/>
        <v>0</v>
      </c>
      <c r="M11" s="174" t="s">
        <v>638</v>
      </c>
      <c r="N11" s="196">
        <v>10000</v>
      </c>
      <c r="O11" s="186">
        <f t="shared" si="3"/>
        <v>0.30964545595293391</v>
      </c>
      <c r="P11" s="174" t="s">
        <v>75</v>
      </c>
      <c r="Q11" s="174">
        <v>64590</v>
      </c>
      <c r="R11" s="172"/>
    </row>
    <row r="12" spans="1:18" ht="50.25">
      <c r="A12" s="200" t="s">
        <v>112</v>
      </c>
      <c r="B12" s="181" t="s">
        <v>113</v>
      </c>
      <c r="C12" s="173">
        <v>12</v>
      </c>
      <c r="D12" s="190">
        <v>285391</v>
      </c>
      <c r="E12" s="192">
        <v>339751</v>
      </c>
      <c r="F12" s="186">
        <f t="shared" si="0"/>
        <v>5.3808799171159514</v>
      </c>
      <c r="G12" s="174">
        <v>8</v>
      </c>
      <c r="H12" s="192">
        <v>61935</v>
      </c>
      <c r="I12" s="186">
        <f t="shared" si="1"/>
        <v>0.98090895292898772</v>
      </c>
      <c r="J12" s="174">
        <v>4</v>
      </c>
      <c r="K12" s="195">
        <v>125000</v>
      </c>
      <c r="L12" s="186">
        <f t="shared" si="2"/>
        <v>1.9797145251654711</v>
      </c>
      <c r="M12" s="174">
        <v>1</v>
      </c>
      <c r="N12" s="196">
        <v>230999</v>
      </c>
      <c r="O12" s="186">
        <f t="shared" si="3"/>
        <v>3.6584966047895895</v>
      </c>
      <c r="P12" s="174" t="s">
        <v>75</v>
      </c>
      <c r="Q12" s="174">
        <v>757685</v>
      </c>
      <c r="R12" s="172"/>
    </row>
    <row r="13" spans="1:18" ht="63">
      <c r="A13" s="200"/>
      <c r="B13" s="181" t="s">
        <v>115</v>
      </c>
      <c r="C13" s="173">
        <v>12</v>
      </c>
      <c r="D13" s="190">
        <v>9513</v>
      </c>
      <c r="E13" s="192">
        <v>11325</v>
      </c>
      <c r="F13" s="186">
        <f t="shared" si="0"/>
        <v>3.8783139750577895</v>
      </c>
      <c r="G13" s="174">
        <v>8</v>
      </c>
      <c r="H13" s="192">
        <v>3716</v>
      </c>
      <c r="I13" s="186">
        <f t="shared" si="1"/>
        <v>1.2725664221911475</v>
      </c>
      <c r="J13" s="174">
        <v>2</v>
      </c>
      <c r="K13" s="195">
        <v>0</v>
      </c>
      <c r="L13" s="186">
        <f t="shared" si="2"/>
        <v>0</v>
      </c>
      <c r="M13" s="174" t="s">
        <v>638</v>
      </c>
      <c r="N13" s="196">
        <v>20000</v>
      </c>
      <c r="O13" s="186">
        <f t="shared" si="3"/>
        <v>6.8491196027510632</v>
      </c>
      <c r="P13" s="174" t="s">
        <v>75</v>
      </c>
      <c r="Q13" s="174">
        <v>35041</v>
      </c>
      <c r="R13" s="172"/>
    </row>
    <row r="14" spans="1:18" ht="38.25">
      <c r="A14" s="200"/>
      <c r="B14" s="181" t="s">
        <v>120</v>
      </c>
      <c r="C14" s="173">
        <v>20</v>
      </c>
      <c r="D14" s="190">
        <v>123669</v>
      </c>
      <c r="E14" s="192">
        <v>147225</v>
      </c>
      <c r="F14" s="186">
        <f t="shared" si="0"/>
        <v>11.018804378332865</v>
      </c>
      <c r="G14" s="174">
        <v>10</v>
      </c>
      <c r="H14" s="192">
        <v>0</v>
      </c>
      <c r="I14" s="186">
        <f t="shared" si="1"/>
        <v>0</v>
      </c>
      <c r="J14" s="174" t="s">
        <v>75</v>
      </c>
      <c r="K14" s="195">
        <v>0</v>
      </c>
      <c r="L14" s="186">
        <f t="shared" si="2"/>
        <v>0</v>
      </c>
      <c r="M14" s="174" t="s">
        <v>638</v>
      </c>
      <c r="N14" s="196">
        <v>120000</v>
      </c>
      <c r="O14" s="186">
        <f t="shared" si="3"/>
        <v>8.9811956216671334</v>
      </c>
      <c r="P14" s="174" t="s">
        <v>75</v>
      </c>
      <c r="Q14" s="174">
        <v>267225</v>
      </c>
      <c r="R14" s="172"/>
    </row>
    <row r="15" spans="1:18" ht="50.25">
      <c r="A15" s="200"/>
      <c r="B15" s="181" t="s">
        <v>122</v>
      </c>
      <c r="C15" s="173">
        <v>10</v>
      </c>
      <c r="D15" s="190">
        <v>190261</v>
      </c>
      <c r="E15" s="192">
        <v>226501</v>
      </c>
      <c r="F15" s="186">
        <f t="shared" si="0"/>
        <v>3.5609781405644716</v>
      </c>
      <c r="G15" s="174">
        <v>10</v>
      </c>
      <c r="H15" s="192">
        <v>89563</v>
      </c>
      <c r="I15" s="186">
        <f t="shared" si="1"/>
        <v>1.4080815766966845</v>
      </c>
      <c r="J15" s="174" t="s">
        <v>638</v>
      </c>
      <c r="K15" s="195">
        <v>120000</v>
      </c>
      <c r="L15" s="186">
        <f t="shared" si="2"/>
        <v>1.8866026060270666</v>
      </c>
      <c r="M15" s="174">
        <v>2</v>
      </c>
      <c r="N15" s="196">
        <v>200000</v>
      </c>
      <c r="O15" s="186">
        <f t="shared" si="3"/>
        <v>3.1443376767117774</v>
      </c>
      <c r="P15" s="174" t="s">
        <v>75</v>
      </c>
      <c r="Q15" s="174">
        <v>636064</v>
      </c>
      <c r="R15" s="172"/>
    </row>
    <row r="16" spans="1:18" ht="50.25">
      <c r="A16" s="200"/>
      <c r="B16" s="181" t="s">
        <v>124</v>
      </c>
      <c r="C16" s="173">
        <v>8000</v>
      </c>
      <c r="D16" s="190">
        <v>95130</v>
      </c>
      <c r="E16" s="192">
        <v>113250</v>
      </c>
      <c r="F16" s="186">
        <f t="shared" si="0"/>
        <v>5035.6553299577035</v>
      </c>
      <c r="G16" s="174">
        <v>480</v>
      </c>
      <c r="H16" s="192">
        <v>0</v>
      </c>
      <c r="I16" s="186">
        <f t="shared" si="1"/>
        <v>0</v>
      </c>
      <c r="J16" s="174" t="s">
        <v>75</v>
      </c>
      <c r="K16" s="195">
        <v>0</v>
      </c>
      <c r="L16" s="186">
        <f t="shared" si="2"/>
        <v>0</v>
      </c>
      <c r="M16" s="174" t="s">
        <v>638</v>
      </c>
      <c r="N16" s="196">
        <v>66667</v>
      </c>
      <c r="O16" s="186">
        <f t="shared" si="3"/>
        <v>2964.3446700422974</v>
      </c>
      <c r="P16" s="174" t="s">
        <v>75</v>
      </c>
      <c r="Q16" s="174">
        <v>179917</v>
      </c>
      <c r="R16" s="172"/>
    </row>
    <row r="17" spans="1:18" ht="50.25">
      <c r="A17" s="201"/>
      <c r="B17" s="181" t="s">
        <v>126</v>
      </c>
      <c r="C17" s="173">
        <v>100</v>
      </c>
      <c r="D17" s="190">
        <v>57078</v>
      </c>
      <c r="E17" s="192">
        <v>67950</v>
      </c>
      <c r="F17" s="186">
        <f t="shared" si="0"/>
        <v>50.099904887597788</v>
      </c>
      <c r="G17" s="174">
        <v>40</v>
      </c>
      <c r="H17" s="192">
        <v>26012</v>
      </c>
      <c r="I17" s="186">
        <f t="shared" si="1"/>
        <v>19.178789197000643</v>
      </c>
      <c r="J17" s="174">
        <v>16</v>
      </c>
      <c r="K17" s="195">
        <v>15000</v>
      </c>
      <c r="L17" s="186">
        <f t="shared" si="2"/>
        <v>11.059581652891342</v>
      </c>
      <c r="M17" s="174">
        <v>30</v>
      </c>
      <c r="N17" s="196">
        <v>26667</v>
      </c>
      <c r="O17" s="186">
        <f t="shared" si="3"/>
        <v>19.66172426251023</v>
      </c>
      <c r="P17" s="174" t="s">
        <v>75</v>
      </c>
      <c r="Q17" s="174">
        <v>135629</v>
      </c>
      <c r="R17" s="172"/>
    </row>
    <row r="18" spans="1:18" ht="63">
      <c r="A18" s="200" t="s">
        <v>127</v>
      </c>
      <c r="B18" s="181" t="s">
        <v>128</v>
      </c>
      <c r="C18" s="173">
        <v>12</v>
      </c>
      <c r="D18" s="190">
        <v>24353</v>
      </c>
      <c r="E18" s="192">
        <v>28992</v>
      </c>
      <c r="F18" s="186">
        <f t="shared" si="0"/>
        <v>5.8800344786789935</v>
      </c>
      <c r="G18" s="174">
        <v>26</v>
      </c>
      <c r="H18" s="192">
        <v>8175</v>
      </c>
      <c r="I18" s="186">
        <f t="shared" si="1"/>
        <v>1.6580188280629407</v>
      </c>
      <c r="J18" s="174">
        <v>18</v>
      </c>
      <c r="K18" s="195">
        <v>2000</v>
      </c>
      <c r="L18" s="186">
        <f t="shared" si="2"/>
        <v>0.40563151756891513</v>
      </c>
      <c r="M18" s="174" t="s">
        <v>640</v>
      </c>
      <c r="N18" s="196">
        <v>20000</v>
      </c>
      <c r="O18" s="186">
        <f t="shared" si="3"/>
        <v>4.0563151756891509</v>
      </c>
      <c r="P18" s="174" t="s">
        <v>75</v>
      </c>
      <c r="Q18" s="174">
        <v>59167</v>
      </c>
      <c r="R18" s="172"/>
    </row>
    <row r="19" spans="1:18" ht="72" customHeight="1">
      <c r="A19" s="200"/>
      <c r="B19" s="181" t="s">
        <v>136</v>
      </c>
      <c r="C19" s="173">
        <v>300</v>
      </c>
      <c r="D19" s="190">
        <v>9513</v>
      </c>
      <c r="E19" s="192">
        <v>11325</v>
      </c>
      <c r="F19" s="186">
        <f t="shared" si="0"/>
        <v>79.197650294878656</v>
      </c>
      <c r="G19" s="174">
        <v>370</v>
      </c>
      <c r="H19" s="192">
        <v>5574</v>
      </c>
      <c r="I19" s="186">
        <f t="shared" si="1"/>
        <v>38.979929602088632</v>
      </c>
      <c r="J19" s="174" t="s">
        <v>641</v>
      </c>
      <c r="K19" s="195">
        <v>16000</v>
      </c>
      <c r="L19" s="186">
        <f t="shared" si="2"/>
        <v>111.89072006340474</v>
      </c>
      <c r="M19" s="174" t="s">
        <v>638</v>
      </c>
      <c r="N19" s="196">
        <v>10000</v>
      </c>
      <c r="O19" s="186">
        <f t="shared" si="3"/>
        <v>69.93170003962797</v>
      </c>
      <c r="P19" s="174" t="s">
        <v>75</v>
      </c>
      <c r="Q19" s="174">
        <v>42899</v>
      </c>
      <c r="R19" s="172"/>
    </row>
    <row r="20" spans="1:18" ht="32.25" customHeight="1">
      <c r="A20" s="200"/>
      <c r="B20" s="181" t="s">
        <v>141</v>
      </c>
      <c r="C20" s="173">
        <v>12</v>
      </c>
      <c r="D20" s="190">
        <v>13978</v>
      </c>
      <c r="E20" s="192">
        <v>16640</v>
      </c>
      <c r="F20" s="186">
        <f t="shared" si="0"/>
        <v>5.4497816593886466</v>
      </c>
      <c r="G20" s="174">
        <v>587</v>
      </c>
      <c r="H20" s="192">
        <v>0</v>
      </c>
      <c r="I20" s="186">
        <f t="shared" si="1"/>
        <v>0</v>
      </c>
      <c r="J20" s="174">
        <v>8</v>
      </c>
      <c r="K20" s="195">
        <v>0</v>
      </c>
      <c r="L20" s="186">
        <f t="shared" si="2"/>
        <v>0</v>
      </c>
      <c r="M20" s="174" t="s">
        <v>638</v>
      </c>
      <c r="N20" s="196">
        <v>20000</v>
      </c>
      <c r="O20" s="186">
        <f t="shared" si="3"/>
        <v>6.5502183406113543</v>
      </c>
      <c r="P20" s="174" t="s">
        <v>75</v>
      </c>
      <c r="Q20" s="174">
        <v>36640</v>
      </c>
      <c r="R20" s="172"/>
    </row>
    <row r="21" spans="1:18" ht="87" customHeight="1">
      <c r="A21" s="201"/>
      <c r="B21" s="181" t="s">
        <v>145</v>
      </c>
      <c r="C21" s="173" t="s">
        <v>146</v>
      </c>
      <c r="D21" s="190">
        <v>13978</v>
      </c>
      <c r="E21" s="192">
        <v>16640</v>
      </c>
      <c r="F21" s="186"/>
      <c r="G21" s="174">
        <v>1016</v>
      </c>
      <c r="H21" s="192">
        <v>6689</v>
      </c>
      <c r="I21" s="186"/>
      <c r="J21" s="174" t="s">
        <v>75</v>
      </c>
      <c r="K21" s="195">
        <v>0</v>
      </c>
      <c r="L21" s="186"/>
      <c r="M21" s="174" t="s">
        <v>638</v>
      </c>
      <c r="N21" s="196">
        <v>16000</v>
      </c>
      <c r="O21" s="186"/>
      <c r="P21" s="174" t="s">
        <v>75</v>
      </c>
      <c r="Q21" s="174">
        <v>39329</v>
      </c>
      <c r="R21" s="172"/>
    </row>
    <row r="22" spans="1:18">
      <c r="A22" s="183"/>
      <c r="B22" s="183"/>
      <c r="C22" s="176"/>
      <c r="D22" s="177">
        <f>SUM(D2:D21)</f>
        <v>2283188.7000000002</v>
      </c>
      <c r="E22" s="193">
        <f t="shared" ref="E22:Q22" si="4">SUM(E2:E21)</f>
        <v>2718081</v>
      </c>
      <c r="F22" s="177"/>
      <c r="G22" s="177"/>
      <c r="H22" s="193">
        <f t="shared" si="4"/>
        <v>510708</v>
      </c>
      <c r="I22" s="177"/>
      <c r="J22" s="177"/>
      <c r="K22" s="193">
        <f t="shared" si="4"/>
        <v>744034</v>
      </c>
      <c r="L22" s="177"/>
      <c r="M22" s="177"/>
      <c r="N22" s="193">
        <f t="shared" si="4"/>
        <v>1538777</v>
      </c>
      <c r="O22" s="177"/>
      <c r="P22" s="177"/>
      <c r="Q22" s="177">
        <f t="shared" si="4"/>
        <v>5511599</v>
      </c>
      <c r="R22" s="172"/>
    </row>
  </sheetData>
  <mergeCells count="3">
    <mergeCell ref="A2:A11"/>
    <mergeCell ref="A12:A17"/>
    <mergeCell ref="A18:A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CCE81-5D1A-4B02-BC0C-F8717DC42EC9}"/>
</file>

<file path=customXml/itemProps2.xml><?xml version="1.0" encoding="utf-8"?>
<ds:datastoreItem xmlns:ds="http://schemas.openxmlformats.org/officeDocument/2006/customXml" ds:itemID="{4E6C6AFA-6C4A-42AC-A7DA-A43EBFC3619B}"/>
</file>

<file path=customXml/itemProps3.xml><?xml version="1.0" encoding="utf-8"?>
<ds:datastoreItem xmlns:ds="http://schemas.openxmlformats.org/officeDocument/2006/customXml" ds:itemID="{7C5DAB6D-2341-474F-ACCA-9801EA0B01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2025-09-28T12:38:20Z</dcterms:created>
  <dcterms:modified xsi:type="dcterms:W3CDTF">2026-10-18T21:54:43Z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